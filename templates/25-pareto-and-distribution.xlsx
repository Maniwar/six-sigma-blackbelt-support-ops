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 this" sheetId="1" state="visible" r:id="rId1"/>
    <sheet name="Pareto" sheetId="2" state="visible" r:id="rId2"/>
    <sheet name="Shape and spre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FFFFFFFF"/>
      <sz val="15"/>
    </font>
    <font>
      <i val="1"/>
      <color rgb="FF6B7280"/>
      <sz val="9"/>
    </font>
    <font>
      <b val="1"/>
      <color rgb="FFFFFFFF"/>
      <sz val="10"/>
    </font>
    <font>
      <color rgb="FF1D4ED8"/>
      <sz val="11"/>
    </font>
    <font>
      <b val="1"/>
      <sz val="11"/>
    </font>
    <font>
      <sz val="11"/>
    </font>
  </fonts>
  <fills count="8">
    <fill>
      <patternFill/>
    </fill>
    <fill>
      <patternFill patternType="gray125"/>
    </fill>
    <fill>
      <patternFill patternType="solid">
        <fgColor rgb="FF151B24"/>
      </patternFill>
    </fill>
    <fill>
      <patternFill patternType="solid">
        <fgColor rgb="FF333C49"/>
      </patternFill>
    </fill>
    <fill>
      <patternFill patternType="solid">
        <fgColor rgb="FFECFAEF"/>
      </patternFill>
    </fill>
    <fill>
      <patternFill patternType="solid">
        <fgColor rgb="FFF2F7FF"/>
      </patternFill>
    </fill>
    <fill>
      <patternFill patternType="solid">
        <fgColor rgb="FFFFF9E3"/>
      </patternFill>
    </fill>
    <fill>
      <patternFill patternType="solid">
        <fgColor rgb="FFEEF1F6"/>
      </patternFill>
    </fill>
  </fills>
  <borders count="2">
    <border>
      <left/>
      <right/>
      <top/>
      <bottom/>
      <diagonal/>
    </border>
    <border>
      <bottom style="thin">
        <color rgb="FFD8DEE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5" fillId="7" borderId="0" pivotButton="0" quotePrefix="0" xfId="0"/>
    <xf numFmtId="0" fontId="0" fillId="7" borderId="0" pivotButton="0" quotePrefix="0" xfId="0"/>
    <xf numFmtId="0" fontId="3" fillId="3" borderId="0" applyAlignment="1" pivotButton="0" quotePrefix="0" xfId="0">
      <alignment vertical="center" wrapText="1"/>
    </xf>
    <xf numFmtId="0" fontId="0" fillId="4" borderId="1" pivotButton="0" quotePrefix="0" xfId="0"/>
    <xf numFmtId="164" fontId="4" fillId="4" borderId="1" pivotButton="0" quotePrefix="0" xfId="0"/>
    <xf numFmtId="1" fontId="4" fillId="4" borderId="1" pivotButton="0" quotePrefix="0" xfId="0"/>
    <xf numFmtId="0" fontId="4" fillId="5" borderId="1" pivotButton="0" quotePrefix="0" xfId="0"/>
    <xf numFmtId="3" fontId="4" fillId="5" borderId="1" pivotButton="0" quotePrefix="0" xfId="0"/>
    <xf numFmtId="164" fontId="4" fillId="5" borderId="1" pivotButton="0" quotePrefix="0" xfId="0"/>
    <xf numFmtId="9" fontId="4" fillId="5" borderId="1" pivotButton="0" quotePrefix="0" xfId="0"/>
    <xf numFmtId="0" fontId="0" fillId="6" borderId="1" pivotButton="0" quotePrefix="0" xfId="0"/>
    <xf numFmtId="1" fontId="4" fillId="5" borderId="1" pivotButton="0" quotePrefix="0" xfId="0"/>
    <xf numFmtId="0" fontId="5" fillId="0" borderId="0" pivotButton="0" quotePrefix="0" xfId="0"/>
    <xf numFmtId="4" fontId="4" fillId="5" borderId="1" pivotButton="0" quotePrefix="0" xfId="0"/>
    <xf numFmtId="0" fontId="2" fillId="0" borderId="0" applyAlignment="1" pivotButton="0" quotePrefix="0" xfId="0">
      <alignment vertical="top" wrapText="1"/>
    </xf>
    <xf numFmtId="0" fontId="4" fillId="5" borderId="0" pivotButton="0" quotePrefix="0" xfId="0"/>
    <xf numFmtId="3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/>
            </a:pPr>
            <a:r>
              <a:t>Pareto — ranked, with cumulative share</a:t>
            </a:r>
          </a:p>
        </rich>
      </tx>
    </title>
    <plotArea>
      <barChart>
        <barDir val="col"/>
        <grouping val="clustered"/>
        <ser>
          <idx val="0"/>
          <order val="0"/>
          <tx>
            <v>Count</v>
          </tx>
          <spPr>
            <a:solidFill>
              <a:srgbClr val="1F4E79"/>
            </a:solidFill>
            <a:ln>
              <a:prstDash val="solid"/>
            </a:ln>
          </spPr>
          <invertIfNegative val="0"/>
          <cat>
            <numRef>
              <f>'Pareto'!$H$5:$H$14</f>
            </numRef>
          </cat>
          <val>
            <numRef>
              <f>'Pareto'!$I$5:$I$14</f>
            </numRef>
          </val>
        </ser>
        <gapWidth val="40"/>
        <axId val="10"/>
        <axId val="100"/>
      </barChart>
      <lineChart>
        <grouping val="standard"/>
        <ser>
          <idx val="1"/>
          <order val="1"/>
          <tx>
            <v>Cumulative share</v>
          </tx>
          <spPr>
            <a:ln w="24000">
              <a:solidFill>
                <a:srgbClr val="B4530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'Pareto'!$J$5:$J$14</f>
            </numRef>
          </val>
        </ser>
        <ser>
          <idx val="2"/>
          <order val="2"/>
          <tx>
            <v>80% — the vital few are left of here</v>
          </tx>
          <spPr>
            <a:ln>
              <a:solidFill>
                <a:srgbClr val="C0392B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'Pareto'!$K$5:$K$14</f>
            </numRef>
          </val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tickLblPos val="nextTo"/>
        <crossAx val="10"/>
      </valAx>
      <valAx>
        <axId val="2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Cumulative share</a:t>
                </a:r>
              </a:p>
            </rich>
          </tx>
        </title>
        <numFmt formatCode="0%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/>
            </a:pPr>
            <a:r>
              <a:t>Mean, median and p90 — quoting the mean hides the tail</a:t>
            </a:r>
          </a:p>
        </rich>
      </tx>
    </title>
    <plotArea>
      <barChart>
        <barDir val="col"/>
        <grouping val="clustered"/>
        <ser>
          <idx val="0"/>
          <order val="0"/>
          <tx>
            <v>Seconds</v>
          </tx>
          <spPr>
            <a:ln>
              <a:prstDash val="solid"/>
            </a:ln>
          </spPr>
          <invertIfNegative val="0"/>
          <dPt>
            <idx val="0"/>
            <spPr>
              <a:solidFill>
                <a:srgbClr val="9AA4B2"/>
              </a:solidFill>
              <a:ln>
                <a:prstDash val="solid"/>
              </a:ln>
            </spPr>
          </dPt>
          <dPt>
            <idx val="1"/>
            <spPr>
              <a:solidFill>
                <a:srgbClr val="1F4E79"/>
              </a:solidFill>
              <a:ln>
                <a:prstDash val="solid"/>
              </a:ln>
            </spPr>
          </dPt>
          <dPt>
            <idx val="2"/>
            <spPr>
              <a:solidFill>
                <a:srgbClr val="C0392B"/>
              </a:solidFill>
              <a:ln>
                <a:prstDash val="solid"/>
              </a:ln>
            </spPr>
          </dPt>
          <cat>
            <numRef>
              <f>'Shape and spread'!$F$19:$F$21</f>
            </numRef>
          </cat>
          <val>
            <numRef>
              <f>'Shape and spread'!$G$19:$G$21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tickLblPos val="nextTo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2</row>
      <rowOff>0</rowOff>
    </from>
    <ext cx="93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8" customWidth="1" min="2" max="2"/>
  </cols>
  <sheetData>
    <row r="1"/>
    <row r="2">
      <c r="B2" s="1" t="inlineStr">
        <is>
          <t>Yellow cells</t>
        </is>
      </c>
    </row>
    <row r="3" ht="15" customHeight="1">
      <c r="B3" s="2" t="inlineStr">
        <is>
          <t>You fill these in.</t>
        </is>
      </c>
    </row>
    <row r="4">
      <c r="B4" s="1" t="inlineStr">
        <is>
          <t>Blue cells</t>
        </is>
      </c>
    </row>
    <row r="5" ht="15" customHeight="1">
      <c r="B5" s="2" t="inlineStr">
        <is>
          <t>Calculated for you. Do not type over them — they contain formulas.</t>
        </is>
      </c>
    </row>
    <row r="6">
      <c r="B6" s="1" t="inlineStr">
        <is>
          <t>Green row</t>
        </is>
      </c>
    </row>
    <row r="7" ht="15" customHeight="1">
      <c r="B7" s="2" t="inlineStr">
        <is>
          <t>A worked example so you can see the expected format. Delete it when you start.</t>
        </is>
      </c>
    </row>
    <row r="8">
      <c r="B8" s="1" t="inlineStr">
        <is>
          <t>What this is for</t>
        </is>
      </c>
    </row>
    <row r="9" ht="30" customHeight="1">
      <c r="B9" s="2" t="inlineStr">
        <is>
          <t>Two things you should do before any analysis: find out where the bulk of the problem is, and find out what shape your data actually has.</t>
        </is>
      </c>
    </row>
    <row r="10">
      <c r="B10" s="1" t="inlineStr">
        <is>
          <t>Pareto tab</t>
        </is>
      </c>
    </row>
    <row r="11" ht="30" customHeight="1">
      <c r="B11" s="2" t="inlineStr">
        <is>
          <t>Enter categories and counts. Share and cumulative calculate themselves. The last column is the one people skip — validate the top category by reading tickets before you build a case on it.</t>
        </is>
      </c>
    </row>
    <row r="12">
      <c r="B12" s="1" t="inlineStr">
        <is>
          <t>Shape and spread tab</t>
        </is>
      </c>
    </row>
    <row r="13" ht="30" customHeight="1">
      <c r="B13" s="2" t="inlineStr">
        <is>
          <t>Paste raw values into column B. The verdict tells you whether your data is skewed enough that the mean and a t-test would mislead you. Support durations almost always are.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printOptions horizontalCentered="1"/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1" customWidth="1" min="3" max="3"/>
    <col width="9" customWidth="1" min="4" max="4"/>
    <col width="34" customWidth="1" min="5" max="5"/>
    <col width="3" customWidth="1" min="6" max="6"/>
    <col width="7" customWidth="1" min="7" max="7"/>
    <col width="40" customWidth="1" min="8" max="8"/>
    <col width="12" customWidth="1" min="9" max="9"/>
    <col width="13" customWidth="1" min="10" max="10"/>
    <col width="11" customWidth="1" min="11" max="11"/>
  </cols>
  <sheetData>
    <row r="1" ht="26" customHeight="1">
      <c r="A1" s="3" t="inlineStr">
        <is>
          <t>Pareto — where the bulk of the problem actually sits</t>
        </is>
      </c>
      <c r="B1" s="4" t="n"/>
      <c r="C1" s="4" t="n"/>
      <c r="D1" s="4" t="n"/>
      <c r="E1" s="4" t="n"/>
    </row>
    <row r="2">
      <c r="A2" s="5" t="inlineStr">
        <is>
          <t>Ranked categories with a running cumulative share, so you can see how much of the problem the top few explain.</t>
        </is>
      </c>
    </row>
    <row r="3">
      <c r="G3" s="6" t="inlineStr">
        <is>
          <t>RANKED — this is what the chart plots. Type above in any order; this sorts itself.</t>
        </is>
      </c>
      <c r="H3" s="7" t="n"/>
      <c r="I3" s="7" t="n"/>
      <c r="J3" s="7" t="n"/>
      <c r="K3" s="7" t="n"/>
    </row>
    <row r="4" ht="30" customHeight="1">
      <c r="A4" s="8" t="inlineStr">
        <is>
          <t>Category</t>
        </is>
      </c>
      <c r="B4" s="8" t="inlineStr">
        <is>
          <t>Count</t>
        </is>
      </c>
      <c r="C4" s="8" t="inlineStr">
        <is>
          <t>Share</t>
        </is>
      </c>
      <c r="D4" s="8" t="inlineStr">
        <is>
          <t>Rank</t>
        </is>
      </c>
      <c r="E4" s="8" t="inlineStr">
        <is>
          <t>Validated by reading tickets?</t>
        </is>
      </c>
      <c r="G4" s="8" t="inlineStr">
        <is>
          <t>#</t>
        </is>
      </c>
      <c r="H4" s="8" t="inlineStr">
        <is>
          <t>Category</t>
        </is>
      </c>
      <c r="I4" s="8" t="inlineStr">
        <is>
          <t>Count</t>
        </is>
      </c>
      <c r="J4" s="8" t="inlineStr">
        <is>
          <t>Cumulative</t>
        </is>
      </c>
      <c r="K4" s="8" t="inlineStr">
        <is>
          <t>80% line</t>
        </is>
      </c>
    </row>
    <row r="5">
      <c r="A5" s="9" t="inlineStr">
        <is>
          <t>Adjustment not posted at closure</t>
        </is>
      </c>
      <c r="B5" s="9" t="n">
        <v>412</v>
      </c>
      <c r="C5" s="10">
        <f>IF(OR(B5="",SUM($B$5:$B$24)=0),"",B5/SUM($B$5:$B$24))</f>
        <v/>
      </c>
      <c r="D5" s="11">
        <f>IF(B5="","",RANK(B5,$B$5:$B$24,0)+COUNTIF($B$5:B5,B5)-1)</f>
        <v/>
      </c>
      <c r="E5" s="9" t="n"/>
      <c r="G5" s="5" t="n">
        <v>1</v>
      </c>
      <c r="H5" s="12">
        <f>IFERROR(INDEX($A$5:$A$24,MATCH(G5,$D$5:$D$24,0)),"")</f>
        <v/>
      </c>
      <c r="I5" s="13">
        <f>IFERROR(INDEX($B$5:$B$24,MATCH(G5,$D$5:$D$24,0)),"")</f>
        <v/>
      </c>
      <c r="J5" s="14">
        <f>IF(I5="",NA(),SUM($I$5:I5)/SUM($I$5:$I$24))</f>
        <v/>
      </c>
      <c r="K5" s="15">
        <f>IF(I5="",NA(),0.8)</f>
        <v/>
      </c>
    </row>
    <row r="6">
      <c r="A6" s="16" t="inlineStr">
        <is>
          <t>Wrong plan applied</t>
        </is>
      </c>
      <c r="B6" s="16" t="n">
        <v>233</v>
      </c>
      <c r="C6" s="14">
        <f>IF(OR(B6="",SUM($B$5:$B$24)=0),"",B6/SUM($B$5:$B$24))</f>
        <v/>
      </c>
      <c r="D6" s="17">
        <f>IF(B6="","",RANK(B6,$B$5:$B$24,0)+COUNTIF($B$5:B6,B6)-1)</f>
        <v/>
      </c>
      <c r="E6" s="16" t="n"/>
      <c r="G6" s="5" t="n">
        <v>2</v>
      </c>
      <c r="H6" s="12">
        <f>IFERROR(INDEX($A$5:$A$24,MATCH(G6,$D$5:$D$24,0)),"")</f>
        <v/>
      </c>
      <c r="I6" s="13">
        <f>IFERROR(INDEX($B$5:$B$24,MATCH(G6,$D$5:$D$24,0)),"")</f>
        <v/>
      </c>
      <c r="J6" s="14">
        <f>IF(I6="",NA(),SUM($I$5:I6)/SUM($I$5:$I$24))</f>
        <v/>
      </c>
      <c r="K6" s="15">
        <f>IF(I6="",NA(),0.8)</f>
        <v/>
      </c>
    </row>
    <row r="7">
      <c r="A7" s="16" t="inlineStr">
        <is>
          <t>Duplicate charge</t>
        </is>
      </c>
      <c r="B7" s="16" t="n">
        <v>151</v>
      </c>
      <c r="C7" s="14">
        <f>IF(OR(B7="",SUM($B$5:$B$24)=0),"",B7/SUM($B$5:$B$24))</f>
        <v/>
      </c>
      <c r="D7" s="17">
        <f>IF(B7="","",RANK(B7,$B$5:$B$24,0)+COUNTIF($B$5:B7,B7)-1)</f>
        <v/>
      </c>
      <c r="E7" s="16" t="n"/>
      <c r="G7" s="5" t="n">
        <v>3</v>
      </c>
      <c r="H7" s="12">
        <f>IFERROR(INDEX($A$5:$A$24,MATCH(G7,$D$5:$D$24,0)),"")</f>
        <v/>
      </c>
      <c r="I7" s="13">
        <f>IFERROR(INDEX($B$5:$B$24,MATCH(G7,$D$5:$D$24,0)),"")</f>
        <v/>
      </c>
      <c r="J7" s="14">
        <f>IF(I7="",NA(),SUM($I$5:I7)/SUM($I$5:$I$24))</f>
        <v/>
      </c>
      <c r="K7" s="15">
        <f>IF(I7="",NA(),0.8)</f>
        <v/>
      </c>
    </row>
    <row r="8">
      <c r="A8" s="16" t="inlineStr">
        <is>
          <t>Proration misunderstood</t>
        </is>
      </c>
      <c r="B8" s="16" t="n">
        <v>96</v>
      </c>
      <c r="C8" s="14">
        <f>IF(OR(B8="",SUM($B$5:$B$24)=0),"",B8/SUM($B$5:$B$24))</f>
        <v/>
      </c>
      <c r="D8" s="17">
        <f>IF(B8="","",RANK(B8,$B$5:$B$24,0)+COUNTIF($B$5:B8,B8)-1)</f>
        <v/>
      </c>
      <c r="E8" s="16" t="n"/>
      <c r="G8" s="5" t="n">
        <v>4</v>
      </c>
      <c r="H8" s="12">
        <f>IFERROR(INDEX($A$5:$A$24,MATCH(G8,$D$5:$D$24,0)),"")</f>
        <v/>
      </c>
      <c r="I8" s="13">
        <f>IFERROR(INDEX($B$5:$B$24,MATCH(G8,$D$5:$D$24,0)),"")</f>
        <v/>
      </c>
      <c r="J8" s="14">
        <f>IF(I8="",NA(),SUM($I$5:I8)/SUM($I$5:$I$24))</f>
        <v/>
      </c>
      <c r="K8" s="15">
        <f>IF(I8="",NA(),0.8)</f>
        <v/>
      </c>
    </row>
    <row r="9">
      <c r="A9" s="16" t="inlineStr">
        <is>
          <t>Refund timing</t>
        </is>
      </c>
      <c r="B9" s="16" t="n">
        <v>74</v>
      </c>
      <c r="C9" s="14">
        <f>IF(OR(B9="",SUM($B$5:$B$24)=0),"",B9/SUM($B$5:$B$24))</f>
        <v/>
      </c>
      <c r="D9" s="17">
        <f>IF(B9="","",RANK(B9,$B$5:$B$24,0)+COUNTIF($B$5:B9,B9)-1)</f>
        <v/>
      </c>
      <c r="E9" s="16" t="n"/>
      <c r="G9" s="5" t="n">
        <v>5</v>
      </c>
      <c r="H9" s="12">
        <f>IFERROR(INDEX($A$5:$A$24,MATCH(G9,$D$5:$D$24,0)),"")</f>
        <v/>
      </c>
      <c r="I9" s="13">
        <f>IFERROR(INDEX($B$5:$B$24,MATCH(G9,$D$5:$D$24,0)),"")</f>
        <v/>
      </c>
      <c r="J9" s="14">
        <f>IF(I9="",NA(),SUM($I$5:I9)/SUM($I$5:$I$24))</f>
        <v/>
      </c>
      <c r="K9" s="15">
        <f>IF(I9="",NA(),0.8)</f>
        <v/>
      </c>
    </row>
    <row r="10">
      <c r="A10" s="16" t="n"/>
      <c r="B10" s="16" t="n"/>
      <c r="C10" s="14">
        <f>IF(OR(B10="",SUM($B$5:$B$24)=0),"",B10/SUM($B$5:$B$24))</f>
        <v/>
      </c>
      <c r="D10" s="17">
        <f>IF(B10="","",RANK(B10,$B$5:$B$24,0)+COUNTIF($B$5:B10,B10)-1)</f>
        <v/>
      </c>
      <c r="E10" s="16" t="n"/>
      <c r="G10" s="5" t="n">
        <v>6</v>
      </c>
      <c r="H10" s="12">
        <f>IFERROR(INDEX($A$5:$A$24,MATCH(G10,$D$5:$D$24,0)),"")</f>
        <v/>
      </c>
      <c r="I10" s="13">
        <f>IFERROR(INDEX($B$5:$B$24,MATCH(G10,$D$5:$D$24,0)),"")</f>
        <v/>
      </c>
      <c r="J10" s="14">
        <f>IF(I10="",NA(),SUM($I$5:I10)/SUM($I$5:$I$24))</f>
        <v/>
      </c>
      <c r="K10" s="15">
        <f>IF(I10="",NA(),0.8)</f>
        <v/>
      </c>
    </row>
    <row r="11">
      <c r="A11" s="16" t="n"/>
      <c r="B11" s="16" t="n"/>
      <c r="C11" s="14">
        <f>IF(OR(B11="",SUM($B$5:$B$24)=0),"",B11/SUM($B$5:$B$24))</f>
        <v/>
      </c>
      <c r="D11" s="17">
        <f>IF(B11="","",RANK(B11,$B$5:$B$24,0)+COUNTIF($B$5:B11,B11)-1)</f>
        <v/>
      </c>
      <c r="E11" s="16" t="n"/>
      <c r="G11" s="5" t="n">
        <v>7</v>
      </c>
      <c r="H11" s="12">
        <f>IFERROR(INDEX($A$5:$A$24,MATCH(G11,$D$5:$D$24,0)),"")</f>
        <v/>
      </c>
      <c r="I11" s="13">
        <f>IFERROR(INDEX($B$5:$B$24,MATCH(G11,$D$5:$D$24,0)),"")</f>
        <v/>
      </c>
      <c r="J11" s="14">
        <f>IF(I11="",NA(),SUM($I$5:I11)/SUM($I$5:$I$24))</f>
        <v/>
      </c>
      <c r="K11" s="15">
        <f>IF(I11="",NA(),0.8)</f>
        <v/>
      </c>
    </row>
    <row r="12">
      <c r="A12" s="16" t="n"/>
      <c r="B12" s="16" t="n"/>
      <c r="C12" s="14">
        <f>IF(OR(B12="",SUM($B$5:$B$24)=0),"",B12/SUM($B$5:$B$24))</f>
        <v/>
      </c>
      <c r="D12" s="17">
        <f>IF(B12="","",RANK(B12,$B$5:$B$24,0)+COUNTIF($B$5:B12,B12)-1)</f>
        <v/>
      </c>
      <c r="E12" s="16" t="n"/>
      <c r="G12" s="5" t="n">
        <v>8</v>
      </c>
      <c r="H12" s="12">
        <f>IFERROR(INDEX($A$5:$A$24,MATCH(G12,$D$5:$D$24,0)),"")</f>
        <v/>
      </c>
      <c r="I12" s="13">
        <f>IFERROR(INDEX($B$5:$B$24,MATCH(G12,$D$5:$D$24,0)),"")</f>
        <v/>
      </c>
      <c r="J12" s="14">
        <f>IF(I12="",NA(),SUM($I$5:I12)/SUM($I$5:$I$24))</f>
        <v/>
      </c>
      <c r="K12" s="15">
        <f>IF(I12="",NA(),0.8)</f>
        <v/>
      </c>
    </row>
    <row r="13">
      <c r="A13" s="16" t="n"/>
      <c r="B13" s="16" t="n"/>
      <c r="C13" s="14">
        <f>IF(OR(B13="",SUM($B$5:$B$24)=0),"",B13/SUM($B$5:$B$24))</f>
        <v/>
      </c>
      <c r="D13" s="17">
        <f>IF(B13="","",RANK(B13,$B$5:$B$24,0)+COUNTIF($B$5:B13,B13)-1)</f>
        <v/>
      </c>
      <c r="E13" s="16" t="n"/>
      <c r="G13" s="5" t="n">
        <v>9</v>
      </c>
      <c r="H13" s="12">
        <f>IFERROR(INDEX($A$5:$A$24,MATCH(G13,$D$5:$D$24,0)),"")</f>
        <v/>
      </c>
      <c r="I13" s="13">
        <f>IFERROR(INDEX($B$5:$B$24,MATCH(G13,$D$5:$D$24,0)),"")</f>
        <v/>
      </c>
      <c r="J13" s="14">
        <f>IF(I13="",NA(),SUM($I$5:I13)/SUM($I$5:$I$24))</f>
        <v/>
      </c>
      <c r="K13" s="15">
        <f>IF(I13="",NA(),0.8)</f>
        <v/>
      </c>
    </row>
    <row r="14">
      <c r="A14" s="16" t="n"/>
      <c r="B14" s="16" t="n"/>
      <c r="C14" s="14">
        <f>IF(OR(B14="",SUM($B$5:$B$24)=0),"",B14/SUM($B$5:$B$24))</f>
        <v/>
      </c>
      <c r="D14" s="17">
        <f>IF(B14="","",RANK(B14,$B$5:$B$24,0)+COUNTIF($B$5:B14,B14)-1)</f>
        <v/>
      </c>
      <c r="E14" s="16" t="n"/>
      <c r="G14" s="5" t="n">
        <v>10</v>
      </c>
      <c r="H14" s="12">
        <f>IFERROR(INDEX($A$5:$A$24,MATCH(G14,$D$5:$D$24,0)),"")</f>
        <v/>
      </c>
      <c r="I14" s="13">
        <f>IFERROR(INDEX($B$5:$B$24,MATCH(G14,$D$5:$D$24,0)),"")</f>
        <v/>
      </c>
      <c r="J14" s="14">
        <f>IF(I14="",NA(),SUM($I$5:I14)/SUM($I$5:$I$24))</f>
        <v/>
      </c>
      <c r="K14" s="15">
        <f>IF(I14="",NA(),0.8)</f>
        <v/>
      </c>
    </row>
    <row r="15">
      <c r="A15" s="16" t="n"/>
      <c r="B15" s="16" t="n"/>
      <c r="C15" s="14">
        <f>IF(OR(B15="",SUM($B$5:$B$24)=0),"",B15/SUM($B$5:$B$24))</f>
        <v/>
      </c>
      <c r="D15" s="17">
        <f>IF(B15="","",RANK(B15,$B$5:$B$24,0)+COUNTIF($B$5:B15,B15)-1)</f>
        <v/>
      </c>
      <c r="E15" s="16" t="n"/>
      <c r="G15" s="5" t="n">
        <v>11</v>
      </c>
      <c r="H15" s="12">
        <f>IFERROR(INDEX($A$5:$A$24,MATCH(G15,$D$5:$D$24,0)),"")</f>
        <v/>
      </c>
      <c r="I15" s="13">
        <f>IFERROR(INDEX($B$5:$B$24,MATCH(G15,$D$5:$D$24,0)),"")</f>
        <v/>
      </c>
      <c r="J15" s="14">
        <f>IF(I15="",NA(),SUM($I$5:I15)/SUM($I$5:$I$24))</f>
        <v/>
      </c>
      <c r="K15" s="15">
        <f>IF(I15="",NA(),0.8)</f>
        <v/>
      </c>
    </row>
    <row r="16">
      <c r="A16" s="16" t="n"/>
      <c r="B16" s="16" t="n"/>
      <c r="C16" s="14">
        <f>IF(OR(B16="",SUM($B$5:$B$24)=0),"",B16/SUM($B$5:$B$24))</f>
        <v/>
      </c>
      <c r="D16" s="17">
        <f>IF(B16="","",RANK(B16,$B$5:$B$24,0)+COUNTIF($B$5:B16,B16)-1)</f>
        <v/>
      </c>
      <c r="E16" s="16" t="n"/>
      <c r="G16" s="5" t="n">
        <v>12</v>
      </c>
      <c r="H16" s="12">
        <f>IFERROR(INDEX($A$5:$A$24,MATCH(G16,$D$5:$D$24,0)),"")</f>
        <v/>
      </c>
      <c r="I16" s="13">
        <f>IFERROR(INDEX($B$5:$B$24,MATCH(G16,$D$5:$D$24,0)),"")</f>
        <v/>
      </c>
      <c r="J16" s="14">
        <f>IF(I16="",NA(),SUM($I$5:I16)/SUM($I$5:$I$24))</f>
        <v/>
      </c>
      <c r="K16" s="15">
        <f>IF(I16="",NA(),0.8)</f>
        <v/>
      </c>
    </row>
    <row r="17">
      <c r="A17" s="16" t="n"/>
      <c r="B17" s="16" t="n"/>
      <c r="C17" s="14">
        <f>IF(OR(B17="",SUM($B$5:$B$24)=0),"",B17/SUM($B$5:$B$24))</f>
        <v/>
      </c>
      <c r="D17" s="17">
        <f>IF(B17="","",RANK(B17,$B$5:$B$24,0)+COUNTIF($B$5:B17,B17)-1)</f>
        <v/>
      </c>
      <c r="E17" s="16" t="n"/>
      <c r="G17" s="5" t="n">
        <v>13</v>
      </c>
      <c r="H17" s="12">
        <f>IFERROR(INDEX($A$5:$A$24,MATCH(G17,$D$5:$D$24,0)),"")</f>
        <v/>
      </c>
      <c r="I17" s="13">
        <f>IFERROR(INDEX($B$5:$B$24,MATCH(G17,$D$5:$D$24,0)),"")</f>
        <v/>
      </c>
      <c r="J17" s="14">
        <f>IF(I17="",NA(),SUM($I$5:I17)/SUM($I$5:$I$24))</f>
        <v/>
      </c>
      <c r="K17" s="15">
        <f>IF(I17="",NA(),0.8)</f>
        <v/>
      </c>
    </row>
    <row r="18">
      <c r="A18" s="16" t="n"/>
      <c r="B18" s="16" t="n"/>
      <c r="C18" s="14">
        <f>IF(OR(B18="",SUM($B$5:$B$24)=0),"",B18/SUM($B$5:$B$24))</f>
        <v/>
      </c>
      <c r="D18" s="17">
        <f>IF(B18="","",RANK(B18,$B$5:$B$24,0)+COUNTIF($B$5:B18,B18)-1)</f>
        <v/>
      </c>
      <c r="E18" s="16" t="n"/>
      <c r="G18" s="5" t="n">
        <v>14</v>
      </c>
      <c r="H18" s="12">
        <f>IFERROR(INDEX($A$5:$A$24,MATCH(G18,$D$5:$D$24,0)),"")</f>
        <v/>
      </c>
      <c r="I18" s="13">
        <f>IFERROR(INDEX($B$5:$B$24,MATCH(G18,$D$5:$D$24,0)),"")</f>
        <v/>
      </c>
      <c r="J18" s="14">
        <f>IF(I18="",NA(),SUM($I$5:I18)/SUM($I$5:$I$24))</f>
        <v/>
      </c>
      <c r="K18" s="15">
        <f>IF(I18="",NA(),0.8)</f>
        <v/>
      </c>
    </row>
    <row r="19">
      <c r="A19" s="16" t="n"/>
      <c r="B19" s="16" t="n"/>
      <c r="C19" s="14">
        <f>IF(OR(B19="",SUM($B$5:$B$24)=0),"",B19/SUM($B$5:$B$24))</f>
        <v/>
      </c>
      <c r="D19" s="17">
        <f>IF(B19="","",RANK(B19,$B$5:$B$24,0)+COUNTIF($B$5:B19,B19)-1)</f>
        <v/>
      </c>
      <c r="E19" s="16" t="n"/>
      <c r="G19" s="5" t="n">
        <v>15</v>
      </c>
      <c r="H19" s="12">
        <f>IFERROR(INDEX($A$5:$A$24,MATCH(G19,$D$5:$D$24,0)),"")</f>
        <v/>
      </c>
      <c r="I19" s="13">
        <f>IFERROR(INDEX($B$5:$B$24,MATCH(G19,$D$5:$D$24,0)),"")</f>
        <v/>
      </c>
      <c r="J19" s="14">
        <f>IF(I19="",NA(),SUM($I$5:I19)/SUM($I$5:$I$24))</f>
        <v/>
      </c>
      <c r="K19" s="15">
        <f>IF(I19="",NA(),0.8)</f>
        <v/>
      </c>
    </row>
    <row r="20">
      <c r="A20" s="16" t="n"/>
      <c r="B20" s="16" t="n"/>
      <c r="C20" s="14">
        <f>IF(OR(B20="",SUM($B$5:$B$24)=0),"",B20/SUM($B$5:$B$24))</f>
        <v/>
      </c>
      <c r="D20" s="17">
        <f>IF(B20="","",RANK(B20,$B$5:$B$24,0)+COUNTIF($B$5:B20,B20)-1)</f>
        <v/>
      </c>
      <c r="E20" s="16" t="n"/>
      <c r="G20" s="5" t="n">
        <v>16</v>
      </c>
      <c r="H20" s="12">
        <f>IFERROR(INDEX($A$5:$A$24,MATCH(G20,$D$5:$D$24,0)),"")</f>
        <v/>
      </c>
      <c r="I20" s="13">
        <f>IFERROR(INDEX($B$5:$B$24,MATCH(G20,$D$5:$D$24,0)),"")</f>
        <v/>
      </c>
      <c r="J20" s="14">
        <f>IF(I20="",NA(),SUM($I$5:I20)/SUM($I$5:$I$24))</f>
        <v/>
      </c>
      <c r="K20" s="15">
        <f>IF(I20="",NA(),0.8)</f>
        <v/>
      </c>
    </row>
    <row r="21">
      <c r="A21" s="16" t="n"/>
      <c r="B21" s="16" t="n"/>
      <c r="C21" s="14">
        <f>IF(OR(B21="",SUM($B$5:$B$24)=0),"",B21/SUM($B$5:$B$24))</f>
        <v/>
      </c>
      <c r="D21" s="17">
        <f>IF(B21="","",RANK(B21,$B$5:$B$24,0)+COUNTIF($B$5:B21,B21)-1)</f>
        <v/>
      </c>
      <c r="E21" s="16" t="n"/>
      <c r="G21" s="5" t="n">
        <v>17</v>
      </c>
      <c r="H21" s="12">
        <f>IFERROR(INDEX($A$5:$A$24,MATCH(G21,$D$5:$D$24,0)),"")</f>
        <v/>
      </c>
      <c r="I21" s="13">
        <f>IFERROR(INDEX($B$5:$B$24,MATCH(G21,$D$5:$D$24,0)),"")</f>
        <v/>
      </c>
      <c r="J21" s="14">
        <f>IF(I21="",NA(),SUM($I$5:I21)/SUM($I$5:$I$24))</f>
        <v/>
      </c>
      <c r="K21" s="15">
        <f>IF(I21="",NA(),0.8)</f>
        <v/>
      </c>
    </row>
    <row r="22">
      <c r="A22" s="16" t="n"/>
      <c r="B22" s="16" t="n"/>
      <c r="C22" s="14">
        <f>IF(OR(B22="",SUM($B$5:$B$24)=0),"",B22/SUM($B$5:$B$24))</f>
        <v/>
      </c>
      <c r="D22" s="17">
        <f>IF(B22="","",RANK(B22,$B$5:$B$24,0)+COUNTIF($B$5:B22,B22)-1)</f>
        <v/>
      </c>
      <c r="E22" s="16" t="n"/>
      <c r="G22" s="5" t="n">
        <v>18</v>
      </c>
      <c r="H22" s="12">
        <f>IFERROR(INDEX($A$5:$A$24,MATCH(G22,$D$5:$D$24,0)),"")</f>
        <v/>
      </c>
      <c r="I22" s="13">
        <f>IFERROR(INDEX($B$5:$B$24,MATCH(G22,$D$5:$D$24,0)),"")</f>
        <v/>
      </c>
      <c r="J22" s="14">
        <f>IF(I22="",NA(),SUM($I$5:I22)/SUM($I$5:$I$24))</f>
        <v/>
      </c>
      <c r="K22" s="15">
        <f>IF(I22="",NA(),0.8)</f>
        <v/>
      </c>
    </row>
    <row r="23">
      <c r="A23" s="16" t="n"/>
      <c r="B23" s="16" t="n"/>
      <c r="C23" s="14">
        <f>IF(OR(B23="",SUM($B$5:$B$24)=0),"",B23/SUM($B$5:$B$24))</f>
        <v/>
      </c>
      <c r="D23" s="17">
        <f>IF(B23="","",RANK(B23,$B$5:$B$24,0)+COUNTIF($B$5:B23,B23)-1)</f>
        <v/>
      </c>
      <c r="E23" s="16" t="n"/>
      <c r="G23" s="5" t="n">
        <v>19</v>
      </c>
      <c r="H23" s="12">
        <f>IFERROR(INDEX($A$5:$A$24,MATCH(G23,$D$5:$D$24,0)),"")</f>
        <v/>
      </c>
      <c r="I23" s="13">
        <f>IFERROR(INDEX($B$5:$B$24,MATCH(G23,$D$5:$D$24,0)),"")</f>
        <v/>
      </c>
      <c r="J23" s="14">
        <f>IF(I23="",NA(),SUM($I$5:I23)/SUM($I$5:$I$24))</f>
        <v/>
      </c>
      <c r="K23" s="15">
        <f>IF(I23="",NA(),0.8)</f>
        <v/>
      </c>
    </row>
    <row r="24">
      <c r="A24" s="16" t="n"/>
      <c r="B24" s="16" t="n"/>
      <c r="C24" s="14">
        <f>IF(OR(B24="",SUM($B$5:$B$24)=0),"",B24/SUM($B$5:$B$24))</f>
        <v/>
      </c>
      <c r="D24" s="17">
        <f>IF(B24="","",RANK(B24,$B$5:$B$24,0)+COUNTIF($B$5:B24,B24)-1)</f>
        <v/>
      </c>
      <c r="E24" s="16" t="n"/>
      <c r="G24" s="5" t="n">
        <v>20</v>
      </c>
      <c r="H24" s="12">
        <f>IFERROR(INDEX($A$5:$A$24,MATCH(G24,$D$5:$D$24,0)),"")</f>
        <v/>
      </c>
      <c r="I24" s="13">
        <f>IFERROR(INDEX($B$5:$B$24,MATCH(G24,$D$5:$D$24,0)),"")</f>
        <v/>
      </c>
      <c r="J24" s="14">
        <f>IF(I24="",NA(),SUM($I$5:I24)/SUM($I$5:$I$24))</f>
        <v/>
      </c>
      <c r="K24" s="15">
        <f>IF(I24="",NA(),0.8)</f>
        <v/>
      </c>
    </row>
    <row r="26">
      <c r="A26" s="6" t="inlineStr">
        <is>
          <t>SUMMARY</t>
        </is>
      </c>
      <c r="B26" s="7" t="n"/>
      <c r="C26" s="7" t="n"/>
      <c r="D26" s="7" t="n"/>
      <c r="E26" s="7" t="n"/>
    </row>
    <row r="27">
      <c r="A27" s="18" t="inlineStr">
        <is>
          <t>Total</t>
        </is>
      </c>
      <c r="C27" s="12">
        <f>SUM(B5:B24)</f>
        <v/>
      </c>
    </row>
    <row r="28">
      <c r="A28" s="18" t="inlineStr">
        <is>
          <t>Categories</t>
        </is>
      </c>
      <c r="C28" s="12">
        <f>COUNTA(A5:A24)</f>
        <v/>
      </c>
    </row>
    <row r="29">
      <c r="A29" s="18" t="inlineStr">
        <is>
          <t>Share explained by the top three</t>
        </is>
      </c>
      <c r="C29" s="14">
        <f>IFERROR(SUM(I5:I7)/SUM(I5:I24),"")</f>
        <v/>
      </c>
    </row>
    <row r="31">
      <c r="A31" s="5" t="inlineStr">
        <is>
          <t>A Pareto inherits the quality of your categories. Disposition codes are chosen by agents under time pressure, so a Pareto of them ranks your data-entry habits as much as your problems. Read 50 tickets in the top bar before you size a business case on it — that is what the last column is for.</t>
        </is>
      </c>
    </row>
  </sheetData>
  <mergeCells count="7">
    <mergeCell ref="A26:E26"/>
    <mergeCell ref="A29:B29"/>
    <mergeCell ref="A2:E2"/>
    <mergeCell ref="A28:B28"/>
    <mergeCell ref="A1:E1"/>
    <mergeCell ref="A31:E31"/>
    <mergeCell ref="A27:B27"/>
  </mergeCells>
  <dataValidations count="1">
    <dataValidation sqref="E5:E24" showDropDown="0" showInputMessage="0" showErrorMessage="0" allowBlank="1" type="list">
      <formula1>"Yes,No"</formula1>
    </dataValidation>
  </dataValidations>
  <printOptions horizontalCentered="1"/>
  <pageMargins left="0.4" right="0.4" top="0.5" bottom="0.5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60" customWidth="1" min="4" max="4"/>
    <col width="16" customWidth="1" min="6" max="6"/>
    <col width="11" customWidth="1" min="7" max="7"/>
  </cols>
  <sheetData>
    <row r="1" ht="26" customHeight="1">
      <c r="A1" s="3" t="inlineStr">
        <is>
          <t>Is this data the shape you assumed?</t>
        </is>
      </c>
      <c r="B1" s="4" t="n"/>
      <c r="C1" s="4" t="n"/>
      <c r="D1" s="4" t="n"/>
    </row>
    <row r="2">
      <c r="A2" s="5" t="inlineStr">
        <is>
          <t>Support durations are right-skewed. The mean flatters you; the median and p90 do not.</t>
        </is>
      </c>
    </row>
    <row r="3"/>
    <row r="4">
      <c r="A4" s="5" t="inlineStr">
        <is>
          <t>Paste your values into column B</t>
        </is>
      </c>
    </row>
    <row r="5" ht="30" customHeight="1">
      <c r="A5" s="8" t="inlineStr">
        <is>
          <t>Statistic</t>
        </is>
      </c>
      <c r="B5" s="8" t="inlineStr">
        <is>
          <t>Value</t>
        </is>
      </c>
      <c r="C5" s="8" t="inlineStr"/>
      <c r="D5" s="8" t="inlineStr">
        <is>
          <t>What it tells you</t>
        </is>
      </c>
    </row>
    <row r="6">
      <c r="A6" s="18" t="inlineStr">
        <is>
          <t>Count</t>
        </is>
      </c>
      <c r="B6" s="19">
        <f>COUNT($B$20:$B$1000)</f>
        <v/>
      </c>
      <c r="D6" s="20" t="inlineStr">
        <is>
          <t>How many values you pasted.</t>
        </is>
      </c>
    </row>
    <row r="7">
      <c r="A7" s="18" t="inlineStr">
        <is>
          <t>Mean</t>
        </is>
      </c>
      <c r="B7" s="19">
        <f>IFERROR(AVERAGE($B$20:$B$1000),"")</f>
        <v/>
      </c>
      <c r="D7" s="20" t="inlineStr">
        <is>
          <t>Dragged upward by the long tail. Rarely the number to quote.</t>
        </is>
      </c>
    </row>
    <row r="8">
      <c r="A8" s="18" t="inlineStr">
        <is>
          <t>Median (p50)</t>
        </is>
      </c>
      <c r="B8" s="19">
        <f>IFERROR(MEDIAN($B$20:$B$1000),"")</f>
        <v/>
      </c>
      <c r="D8" s="20" t="inlineStr">
        <is>
          <t>The typical experience. Quote this.</t>
        </is>
      </c>
    </row>
    <row r="9">
      <c r="A9" s="18" t="inlineStr">
        <is>
          <t>p90</t>
        </is>
      </c>
      <c r="B9" s="19">
        <f>IFERROR(PERCENTILE($B$20:$B$1000,0.9),"")</f>
        <v/>
      </c>
      <c r="D9" s="20" t="inlineStr">
        <is>
          <t>What your worst-served customers get. This is what generates complaints.</t>
        </is>
      </c>
    </row>
    <row r="10">
      <c r="A10" s="18" t="inlineStr">
        <is>
          <t>Standard deviation</t>
        </is>
      </c>
      <c r="B10" s="19">
        <f>IFERROR(STDEV($B$20:$B$1000),"")</f>
        <v/>
      </c>
      <c r="D10" s="20" t="inlineStr">
        <is>
          <t>Assumes symmetry, so it describes skewed data poorly.</t>
        </is>
      </c>
    </row>
    <row r="11">
      <c r="A11" s="18" t="inlineStr">
        <is>
          <t>Interquartile range</t>
        </is>
      </c>
      <c r="B11" s="19">
        <f>IFERROR(QUARTILE($B$20:$B$1000,3)-QUARTILE($B$20:$B$1000,1),"")</f>
        <v/>
      </c>
      <c r="D11" s="20" t="inlineStr">
        <is>
          <t>The middle half. A better spread measure for this data.</t>
        </is>
      </c>
    </row>
    <row r="12">
      <c r="A12" s="18" t="inlineStr">
        <is>
          <t>Mean ÷ median</t>
        </is>
      </c>
      <c r="B12" s="19">
        <f>IFERROR(AVERAGE($B$20:$B$1000)/MEDIAN($B$20:$B$1000),"")</f>
        <v/>
      </c>
      <c r="D12" s="20" t="inlineStr">
        <is>
          <t>Above about 1.2 means meaningful right skew — use non-parametric tests and quote percentiles.</t>
        </is>
      </c>
    </row>
    <row r="14">
      <c r="A14" s="12" t="inlineStr">
        <is>
          <t>VERDICT</t>
        </is>
      </c>
      <c r="B14" s="7" t="n"/>
      <c r="C14" s="7" t="n"/>
      <c r="D14" s="7" t="n"/>
    </row>
    <row r="15">
      <c r="A15" s="21">
        <f>IF(COUNT($B$20:$B$1000)=0,"Paste your data into column B below.",IF(AVERAGE($B$20:$B$1000)/MEDIAN($B$20:$B$1000)&gt;1.2,"RIGHT-SKEWED — quote the median and p90, and prefer non-parametric tests.","ROUGHLY SYMMETRIC — the mean and a parametric test are defensible."))</f>
        <v/>
      </c>
    </row>
    <row r="18">
      <c r="A18" s="18" t="inlineStr">
        <is>
          <t>Your data</t>
        </is>
      </c>
      <c r="F18" s="18" t="inlineStr">
        <is>
          <t>What you would quote</t>
        </is>
      </c>
    </row>
    <row r="19">
      <c r="B19" s="5" t="inlineStr">
        <is>
          <t>Values ↓</t>
        </is>
      </c>
      <c r="F19" s="5" t="inlineStr">
        <is>
          <t>Mean</t>
        </is>
      </c>
      <c r="G19" s="13">
        <f>IFERROR(AVERAGE($B$20:$B$1000),"")</f>
        <v/>
      </c>
    </row>
    <row r="20">
      <c r="B20" s="22" t="n">
        <v>182</v>
      </c>
      <c r="F20" s="5" t="inlineStr">
        <is>
          <t>Median (p50)</t>
        </is>
      </c>
      <c r="G20" s="13">
        <f>IFERROR(MEDIAN($B$20:$B$1000),"")</f>
        <v/>
      </c>
    </row>
    <row r="21">
      <c r="B21" s="22" t="n">
        <v>201</v>
      </c>
      <c r="F21" s="5" t="inlineStr">
        <is>
          <t>p90</t>
        </is>
      </c>
      <c r="G21" s="13">
        <f>IFERROR(PERCENTILE($B$20:$B$1000,0.9),"")</f>
        <v/>
      </c>
    </row>
    <row r="22">
      <c r="B22" s="22" t="n">
        <v>214</v>
      </c>
    </row>
    <row r="23">
      <c r="B23" s="22" t="n">
        <v>227</v>
      </c>
    </row>
    <row r="24">
      <c r="B24" s="22" t="n">
        <v>236</v>
      </c>
    </row>
    <row r="25">
      <c r="B25" s="22" t="n">
        <v>241</v>
      </c>
    </row>
    <row r="26">
      <c r="B26" s="22" t="n">
        <v>248</v>
      </c>
    </row>
    <row r="27">
      <c r="B27" s="22" t="n">
        <v>255</v>
      </c>
    </row>
    <row r="28">
      <c r="B28" s="22" t="n">
        <v>259</v>
      </c>
    </row>
    <row r="29">
      <c r="B29" s="22" t="n">
        <v>263</v>
      </c>
    </row>
    <row r="30">
      <c r="B30" s="22" t="n">
        <v>268</v>
      </c>
    </row>
    <row r="31">
      <c r="B31" s="22" t="n">
        <v>272</v>
      </c>
    </row>
    <row r="32">
      <c r="B32" s="22" t="n">
        <v>277</v>
      </c>
    </row>
    <row r="33">
      <c r="B33" s="22" t="n">
        <v>281</v>
      </c>
    </row>
    <row r="34">
      <c r="B34" s="22" t="n">
        <v>286</v>
      </c>
    </row>
    <row r="35">
      <c r="B35" s="22" t="n">
        <v>292</v>
      </c>
    </row>
    <row r="36">
      <c r="B36" s="22" t="n">
        <v>298</v>
      </c>
    </row>
    <row r="37">
      <c r="B37" s="22" t="n">
        <v>305</v>
      </c>
    </row>
    <row r="38">
      <c r="B38" s="22" t="n">
        <v>311</v>
      </c>
    </row>
    <row r="39">
      <c r="B39" s="22" t="n">
        <v>318</v>
      </c>
    </row>
    <row r="40">
      <c r="B40" s="22" t="n">
        <v>326</v>
      </c>
    </row>
    <row r="41">
      <c r="B41" s="22" t="n">
        <v>335</v>
      </c>
    </row>
    <row r="42">
      <c r="B42" s="22" t="n">
        <v>346</v>
      </c>
    </row>
    <row r="43">
      <c r="B43" s="22" t="n">
        <v>358</v>
      </c>
    </row>
    <row r="44">
      <c r="B44" s="22" t="n">
        <v>372</v>
      </c>
    </row>
    <row r="45">
      <c r="B45" s="22" t="n">
        <v>389</v>
      </c>
    </row>
    <row r="46">
      <c r="B46" s="22" t="n">
        <v>408</v>
      </c>
    </row>
    <row r="47">
      <c r="B47" s="22" t="n">
        <v>431</v>
      </c>
    </row>
    <row r="48">
      <c r="B48" s="22" t="n">
        <v>459</v>
      </c>
    </row>
    <row r="49">
      <c r="B49" s="22" t="n">
        <v>494</v>
      </c>
    </row>
    <row r="50">
      <c r="B50" s="22" t="n">
        <v>538</v>
      </c>
    </row>
    <row r="51">
      <c r="B51" s="22" t="n">
        <v>594</v>
      </c>
    </row>
    <row r="52">
      <c r="B52" s="22" t="n">
        <v>668</v>
      </c>
    </row>
    <row r="53">
      <c r="B53" s="22" t="n">
        <v>771</v>
      </c>
    </row>
    <row r="54">
      <c r="B54" s="22" t="n">
        <v>918</v>
      </c>
    </row>
    <row r="55">
      <c r="B55" s="22" t="n">
        <v>1140</v>
      </c>
    </row>
    <row r="56">
      <c r="B56" s="22" t="n">
        <v>1502</v>
      </c>
    </row>
    <row r="57">
      <c r="B57" s="22" t="n">
        <v>2160</v>
      </c>
    </row>
    <row r="58">
      <c r="B58" s="22" t="n">
        <v>3480</v>
      </c>
    </row>
    <row r="59">
      <c r="B59" s="22" t="n">
        <v>5220</v>
      </c>
    </row>
  </sheetData>
  <mergeCells count="4">
    <mergeCell ref="A1:D1"/>
    <mergeCell ref="A14:D14"/>
    <mergeCell ref="A2:D2"/>
    <mergeCell ref="A15:D15"/>
  </mergeCells>
  <printOptions horizontalCentered="1"/>
  <pageMargins left="0.4" right="0.4" top="0.5" bottom="0.5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2026-08-01T02:41:21Z</dcterms:created>
  <dcterms:modified xsi:type="dcterms:W3CDTF">2026-08-01T02:41:21Z</dcterms:modified>
</cp:coreProperties>
</file>