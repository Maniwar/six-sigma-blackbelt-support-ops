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1"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9" t="inlineStr">
        <is>
          <t>Wrong plan applied</t>
        </is>
      </c>
      <c r="B6" s="9" t="n">
        <v>233</v>
      </c>
      <c r="C6" s="14">
        <f>IF(OR(B6="",SUM($B$5:$B$24)=0),"",B6/SUM($B$5:$B$24))</f>
        <v/>
      </c>
      <c r="D6" s="16">
        <f>IF(B6="","",RANK(B6,$B$5:$B$24,0)+COUNTIF($B$5:B6,B6)-1)</f>
        <v/>
      </c>
      <c r="E6" s="17" t="n"/>
      <c r="G6" s="5" t="n">
        <v>2</v>
      </c>
      <c r="H6" s="12">
        <f>IFERROR(INDEX($A$5:$A$24,MATCH(G6,$D$5:$D$24,0)),"")</f>
        <v/>
      </c>
      <c r="I6" s="13">
        <f>IFERROR(INDEX($B$5:$B$24,MATCH(G6,$D$5:$D$24,0)),"")</f>
        <v/>
      </c>
      <c r="J6" s="14">
        <f>IF(I6="",NA(),SUM($I$5:I6)/SUM($I$5:$I$24))</f>
        <v/>
      </c>
      <c r="K6" s="15">
        <f>IF(I6="",NA(),0.8)</f>
        <v/>
      </c>
    </row>
    <row r="7">
      <c r="A7" s="9" t="inlineStr">
        <is>
          <t>Duplicate charge</t>
        </is>
      </c>
      <c r="B7" s="9" t="n">
        <v>151</v>
      </c>
      <c r="C7" s="14">
        <f>IF(OR(B7="",SUM($B$5:$B$24)=0),"",B7/SUM($B$5:$B$24))</f>
        <v/>
      </c>
      <c r="D7" s="16">
        <f>IF(B7="","",RANK(B7,$B$5:$B$24,0)+COUNTIF($B$5:B7,B7)-1)</f>
        <v/>
      </c>
      <c r="E7" s="17" t="n"/>
      <c r="G7" s="5" t="n">
        <v>3</v>
      </c>
      <c r="H7" s="12">
        <f>IFERROR(INDEX($A$5:$A$24,MATCH(G7,$D$5:$D$24,0)),"")</f>
        <v/>
      </c>
      <c r="I7" s="13">
        <f>IFERROR(INDEX($B$5:$B$24,MATCH(G7,$D$5:$D$24,0)),"")</f>
        <v/>
      </c>
      <c r="J7" s="14">
        <f>IF(I7="",NA(),SUM($I$5:I7)/SUM($I$5:$I$24))</f>
        <v/>
      </c>
      <c r="K7" s="15">
        <f>IF(I7="",NA(),0.8)</f>
        <v/>
      </c>
    </row>
    <row r="8">
      <c r="A8" s="9" t="inlineStr">
        <is>
          <t>Proration misunderstood</t>
        </is>
      </c>
      <c r="B8" s="9" t="n">
        <v>96</v>
      </c>
      <c r="C8" s="14">
        <f>IF(OR(B8="",SUM($B$5:$B$24)=0),"",B8/SUM($B$5:$B$24))</f>
        <v/>
      </c>
      <c r="D8" s="16">
        <f>IF(B8="","",RANK(B8,$B$5:$B$24,0)+COUNTIF($B$5:B8,B8)-1)</f>
        <v/>
      </c>
      <c r="E8" s="17" t="n"/>
      <c r="G8" s="5" t="n">
        <v>4</v>
      </c>
      <c r="H8" s="12">
        <f>IFERROR(INDEX($A$5:$A$24,MATCH(G8,$D$5:$D$24,0)),"")</f>
        <v/>
      </c>
      <c r="I8" s="13">
        <f>IFERROR(INDEX($B$5:$B$24,MATCH(G8,$D$5:$D$24,0)),"")</f>
        <v/>
      </c>
      <c r="J8" s="14">
        <f>IF(I8="",NA(),SUM($I$5:I8)/SUM($I$5:$I$24))</f>
        <v/>
      </c>
      <c r="K8" s="15">
        <f>IF(I8="",NA(),0.8)</f>
        <v/>
      </c>
    </row>
    <row r="9">
      <c r="A9" s="9" t="inlineStr">
        <is>
          <t>Refund timing</t>
        </is>
      </c>
      <c r="B9" s="9" t="n">
        <v>74</v>
      </c>
      <c r="C9" s="14">
        <f>IF(OR(B9="",SUM($B$5:$B$24)=0),"",B9/SUM($B$5:$B$24))</f>
        <v/>
      </c>
      <c r="D9" s="16">
        <f>IF(B9="","",RANK(B9,$B$5:$B$24,0)+COUNTIF($B$5:B9,B9)-1)</f>
        <v/>
      </c>
      <c r="E9" s="17" t="n"/>
      <c r="G9" s="5" t="n">
        <v>5</v>
      </c>
      <c r="H9" s="12">
        <f>IFERROR(INDEX($A$5:$A$24,MATCH(G9,$D$5:$D$24,0)),"")</f>
        <v/>
      </c>
      <c r="I9" s="13">
        <f>IFERROR(INDEX($B$5:$B$24,MATCH(G9,$D$5:$D$24,0)),"")</f>
        <v/>
      </c>
      <c r="J9" s="14">
        <f>IF(I9="",NA(),SUM($I$5:I9)/SUM($I$5:$I$24))</f>
        <v/>
      </c>
      <c r="K9" s="15">
        <f>IF(I9="",NA(),0.8)</f>
        <v/>
      </c>
    </row>
    <row r="10">
      <c r="A10" s="17" t="n"/>
      <c r="B10" s="17" t="n"/>
      <c r="C10" s="14">
        <f>IF(OR(B10="",SUM($B$5:$B$24)=0),"",B10/SUM($B$5:$B$24))</f>
        <v/>
      </c>
      <c r="D10" s="16">
        <f>IF(B10="","",RANK(B10,$B$5:$B$24,0)+COUNTIF($B$5:B10,B10)-1)</f>
        <v/>
      </c>
      <c r="E10" s="17" t="n"/>
      <c r="G10" s="5" t="n">
        <v>6</v>
      </c>
      <c r="H10" s="12">
        <f>IFERROR(INDEX($A$5:$A$24,MATCH(G10,$D$5:$D$24,0)),"")</f>
        <v/>
      </c>
      <c r="I10" s="13">
        <f>IFERROR(INDEX($B$5:$B$24,MATCH(G10,$D$5:$D$24,0)),"")</f>
        <v/>
      </c>
      <c r="J10" s="14">
        <f>IF(I10="",NA(),SUM($I$5:I10)/SUM($I$5:$I$24))</f>
        <v/>
      </c>
      <c r="K10" s="15">
        <f>IF(I10="",NA(),0.8)</f>
        <v/>
      </c>
    </row>
    <row r="11">
      <c r="A11" s="17" t="n"/>
      <c r="B11" s="17" t="n"/>
      <c r="C11" s="14">
        <f>IF(OR(B11="",SUM($B$5:$B$24)=0),"",B11/SUM($B$5:$B$24))</f>
        <v/>
      </c>
      <c r="D11" s="16">
        <f>IF(B11="","",RANK(B11,$B$5:$B$24,0)+COUNTIF($B$5:B11,B11)-1)</f>
        <v/>
      </c>
      <c r="E11" s="17" t="n"/>
      <c r="G11" s="5" t="n">
        <v>7</v>
      </c>
      <c r="H11" s="12">
        <f>IFERROR(INDEX($A$5:$A$24,MATCH(G11,$D$5:$D$24,0)),"")</f>
        <v/>
      </c>
      <c r="I11" s="13">
        <f>IFERROR(INDEX($B$5:$B$24,MATCH(G11,$D$5:$D$24,0)),"")</f>
        <v/>
      </c>
      <c r="J11" s="14">
        <f>IF(I11="",NA(),SUM($I$5:I11)/SUM($I$5:$I$24))</f>
        <v/>
      </c>
      <c r="K11" s="15">
        <f>IF(I11="",NA(),0.8)</f>
        <v/>
      </c>
    </row>
    <row r="12">
      <c r="A12" s="17" t="n"/>
      <c r="B12" s="17" t="n"/>
      <c r="C12" s="14">
        <f>IF(OR(B12="",SUM($B$5:$B$24)=0),"",B12/SUM($B$5:$B$24))</f>
        <v/>
      </c>
      <c r="D12" s="16">
        <f>IF(B12="","",RANK(B12,$B$5:$B$24,0)+COUNTIF($B$5:B12,B12)-1)</f>
        <v/>
      </c>
      <c r="E12" s="17" t="n"/>
      <c r="G12" s="5" t="n">
        <v>8</v>
      </c>
      <c r="H12" s="12">
        <f>IFERROR(INDEX($A$5:$A$24,MATCH(G12,$D$5:$D$24,0)),"")</f>
        <v/>
      </c>
      <c r="I12" s="13">
        <f>IFERROR(INDEX($B$5:$B$24,MATCH(G12,$D$5:$D$24,0)),"")</f>
        <v/>
      </c>
      <c r="J12" s="14">
        <f>IF(I12="",NA(),SUM($I$5:I12)/SUM($I$5:$I$24))</f>
        <v/>
      </c>
      <c r="K12" s="15">
        <f>IF(I12="",NA(),0.8)</f>
        <v/>
      </c>
    </row>
    <row r="13">
      <c r="A13" s="17" t="n"/>
      <c r="B13" s="17" t="n"/>
      <c r="C13" s="14">
        <f>IF(OR(B13="",SUM($B$5:$B$24)=0),"",B13/SUM($B$5:$B$24))</f>
        <v/>
      </c>
      <c r="D13" s="16">
        <f>IF(B13="","",RANK(B13,$B$5:$B$24,0)+COUNTIF($B$5:B13,B13)-1)</f>
        <v/>
      </c>
      <c r="E13" s="17" t="n"/>
      <c r="G13" s="5" t="n">
        <v>9</v>
      </c>
      <c r="H13" s="12">
        <f>IFERROR(INDEX($A$5:$A$24,MATCH(G13,$D$5:$D$24,0)),"")</f>
        <v/>
      </c>
      <c r="I13" s="13">
        <f>IFERROR(INDEX($B$5:$B$24,MATCH(G13,$D$5:$D$24,0)),"")</f>
        <v/>
      </c>
      <c r="J13" s="14">
        <f>IF(I13="",NA(),SUM($I$5:I13)/SUM($I$5:$I$24))</f>
        <v/>
      </c>
      <c r="K13" s="15">
        <f>IF(I13="",NA(),0.8)</f>
        <v/>
      </c>
    </row>
    <row r="14">
      <c r="A14" s="17" t="n"/>
      <c r="B14" s="17" t="n"/>
      <c r="C14" s="14">
        <f>IF(OR(B14="",SUM($B$5:$B$24)=0),"",B14/SUM($B$5:$B$24))</f>
        <v/>
      </c>
      <c r="D14" s="16">
        <f>IF(B14="","",RANK(B14,$B$5:$B$24,0)+COUNTIF($B$5:B14,B14)-1)</f>
        <v/>
      </c>
      <c r="E14" s="17" t="n"/>
      <c r="G14" s="5" t="n">
        <v>10</v>
      </c>
      <c r="H14" s="12">
        <f>IFERROR(INDEX($A$5:$A$24,MATCH(G14,$D$5:$D$24,0)),"")</f>
        <v/>
      </c>
      <c r="I14" s="13">
        <f>IFERROR(INDEX($B$5:$B$24,MATCH(G14,$D$5:$D$24,0)),"")</f>
        <v/>
      </c>
      <c r="J14" s="14">
        <f>IF(I14="",NA(),SUM($I$5:I14)/SUM($I$5:$I$24))</f>
        <v/>
      </c>
      <c r="K14" s="15">
        <f>IF(I14="",NA(),0.8)</f>
        <v/>
      </c>
    </row>
    <row r="15">
      <c r="A15" s="17" t="n"/>
      <c r="B15" s="17" t="n"/>
      <c r="C15" s="14">
        <f>IF(OR(B15="",SUM($B$5:$B$24)=0),"",B15/SUM($B$5:$B$24))</f>
        <v/>
      </c>
      <c r="D15" s="16">
        <f>IF(B15="","",RANK(B15,$B$5:$B$24,0)+COUNTIF($B$5:B15,B15)-1)</f>
        <v/>
      </c>
      <c r="E15" s="17" t="n"/>
      <c r="G15" s="5" t="n">
        <v>11</v>
      </c>
      <c r="H15" s="12">
        <f>IFERROR(INDEX($A$5:$A$24,MATCH(G15,$D$5:$D$24,0)),"")</f>
        <v/>
      </c>
      <c r="I15" s="13">
        <f>IFERROR(INDEX($B$5:$B$24,MATCH(G15,$D$5:$D$24,0)),"")</f>
        <v/>
      </c>
      <c r="J15" s="14">
        <f>IF(I15="",NA(),SUM($I$5:I15)/SUM($I$5:$I$24))</f>
        <v/>
      </c>
      <c r="K15" s="15">
        <f>IF(I15="",NA(),0.8)</f>
        <v/>
      </c>
    </row>
    <row r="16">
      <c r="A16" s="17" t="n"/>
      <c r="B16" s="17" t="n"/>
      <c r="C16" s="14">
        <f>IF(OR(B16="",SUM($B$5:$B$24)=0),"",B16/SUM($B$5:$B$24))</f>
        <v/>
      </c>
      <c r="D16" s="16">
        <f>IF(B16="","",RANK(B16,$B$5:$B$24,0)+COUNTIF($B$5:B16,B16)-1)</f>
        <v/>
      </c>
      <c r="E16" s="17" t="n"/>
      <c r="G16" s="5" t="n">
        <v>12</v>
      </c>
      <c r="H16" s="12">
        <f>IFERROR(INDEX($A$5:$A$24,MATCH(G16,$D$5:$D$24,0)),"")</f>
        <v/>
      </c>
      <c r="I16" s="13">
        <f>IFERROR(INDEX($B$5:$B$24,MATCH(G16,$D$5:$D$24,0)),"")</f>
        <v/>
      </c>
      <c r="J16" s="14">
        <f>IF(I16="",NA(),SUM($I$5:I16)/SUM($I$5:$I$24))</f>
        <v/>
      </c>
      <c r="K16" s="15">
        <f>IF(I16="",NA(),0.8)</f>
        <v/>
      </c>
    </row>
    <row r="17">
      <c r="A17" s="17" t="n"/>
      <c r="B17" s="17" t="n"/>
      <c r="C17" s="14">
        <f>IF(OR(B17="",SUM($B$5:$B$24)=0),"",B17/SUM($B$5:$B$24))</f>
        <v/>
      </c>
      <c r="D17" s="16">
        <f>IF(B17="","",RANK(B17,$B$5:$B$24,0)+COUNTIF($B$5:B17,B17)-1)</f>
        <v/>
      </c>
      <c r="E17" s="17" t="n"/>
      <c r="G17" s="5" t="n">
        <v>13</v>
      </c>
      <c r="H17" s="12">
        <f>IFERROR(INDEX($A$5:$A$24,MATCH(G17,$D$5:$D$24,0)),"")</f>
        <v/>
      </c>
      <c r="I17" s="13">
        <f>IFERROR(INDEX($B$5:$B$24,MATCH(G17,$D$5:$D$24,0)),"")</f>
        <v/>
      </c>
      <c r="J17" s="14">
        <f>IF(I17="",NA(),SUM($I$5:I17)/SUM($I$5:$I$24))</f>
        <v/>
      </c>
      <c r="K17" s="15">
        <f>IF(I17="",NA(),0.8)</f>
        <v/>
      </c>
    </row>
    <row r="18">
      <c r="A18" s="17" t="n"/>
      <c r="B18" s="17" t="n"/>
      <c r="C18" s="14">
        <f>IF(OR(B18="",SUM($B$5:$B$24)=0),"",B18/SUM($B$5:$B$24))</f>
        <v/>
      </c>
      <c r="D18" s="16">
        <f>IF(B18="","",RANK(B18,$B$5:$B$24,0)+COUNTIF($B$5:B18,B18)-1)</f>
        <v/>
      </c>
      <c r="E18" s="17" t="n"/>
      <c r="G18" s="5" t="n">
        <v>14</v>
      </c>
      <c r="H18" s="12">
        <f>IFERROR(INDEX($A$5:$A$24,MATCH(G18,$D$5:$D$24,0)),"")</f>
        <v/>
      </c>
      <c r="I18" s="13">
        <f>IFERROR(INDEX($B$5:$B$24,MATCH(G18,$D$5:$D$24,0)),"")</f>
        <v/>
      </c>
      <c r="J18" s="14">
        <f>IF(I18="",NA(),SUM($I$5:I18)/SUM($I$5:$I$24))</f>
        <v/>
      </c>
      <c r="K18" s="15">
        <f>IF(I18="",NA(),0.8)</f>
        <v/>
      </c>
    </row>
    <row r="19">
      <c r="A19" s="17" t="n"/>
      <c r="B19" s="17" t="n"/>
      <c r="C19" s="14">
        <f>IF(OR(B19="",SUM($B$5:$B$24)=0),"",B19/SUM($B$5:$B$24))</f>
        <v/>
      </c>
      <c r="D19" s="16">
        <f>IF(B19="","",RANK(B19,$B$5:$B$24,0)+COUNTIF($B$5:B19,B19)-1)</f>
        <v/>
      </c>
      <c r="E19" s="17" t="n"/>
      <c r="G19" s="5" t="n">
        <v>15</v>
      </c>
      <c r="H19" s="12">
        <f>IFERROR(INDEX($A$5:$A$24,MATCH(G19,$D$5:$D$24,0)),"")</f>
        <v/>
      </c>
      <c r="I19" s="13">
        <f>IFERROR(INDEX($B$5:$B$24,MATCH(G19,$D$5:$D$24,0)),"")</f>
        <v/>
      </c>
      <c r="J19" s="14">
        <f>IF(I19="",NA(),SUM($I$5:I19)/SUM($I$5:$I$24))</f>
        <v/>
      </c>
      <c r="K19" s="15">
        <f>IF(I19="",NA(),0.8)</f>
        <v/>
      </c>
    </row>
    <row r="20">
      <c r="A20" s="17" t="n"/>
      <c r="B20" s="17" t="n"/>
      <c r="C20" s="14">
        <f>IF(OR(B20="",SUM($B$5:$B$24)=0),"",B20/SUM($B$5:$B$24))</f>
        <v/>
      </c>
      <c r="D20" s="16">
        <f>IF(B20="","",RANK(B20,$B$5:$B$24,0)+COUNTIF($B$5:B20,B20)-1)</f>
        <v/>
      </c>
      <c r="E20" s="17" t="n"/>
      <c r="G20" s="5" t="n">
        <v>16</v>
      </c>
      <c r="H20" s="12">
        <f>IFERROR(INDEX($A$5:$A$24,MATCH(G20,$D$5:$D$24,0)),"")</f>
        <v/>
      </c>
      <c r="I20" s="13">
        <f>IFERROR(INDEX($B$5:$B$24,MATCH(G20,$D$5:$D$24,0)),"")</f>
        <v/>
      </c>
      <c r="J20" s="14">
        <f>IF(I20="",NA(),SUM($I$5:I20)/SUM($I$5:$I$24))</f>
        <v/>
      </c>
      <c r="K20" s="15">
        <f>IF(I20="",NA(),0.8)</f>
        <v/>
      </c>
    </row>
    <row r="21">
      <c r="A21" s="17" t="n"/>
      <c r="B21" s="17" t="n"/>
      <c r="C21" s="14">
        <f>IF(OR(B21="",SUM($B$5:$B$24)=0),"",B21/SUM($B$5:$B$24))</f>
        <v/>
      </c>
      <c r="D21" s="16">
        <f>IF(B21="","",RANK(B21,$B$5:$B$24,0)+COUNTIF($B$5:B21,B21)-1)</f>
        <v/>
      </c>
      <c r="E21" s="17" t="n"/>
      <c r="G21" s="5" t="n">
        <v>17</v>
      </c>
      <c r="H21" s="12">
        <f>IFERROR(INDEX($A$5:$A$24,MATCH(G21,$D$5:$D$24,0)),"")</f>
        <v/>
      </c>
      <c r="I21" s="13">
        <f>IFERROR(INDEX($B$5:$B$24,MATCH(G21,$D$5:$D$24,0)),"")</f>
        <v/>
      </c>
      <c r="J21" s="14">
        <f>IF(I21="",NA(),SUM($I$5:I21)/SUM($I$5:$I$24))</f>
        <v/>
      </c>
      <c r="K21" s="15">
        <f>IF(I21="",NA(),0.8)</f>
        <v/>
      </c>
    </row>
    <row r="22">
      <c r="A22" s="17" t="n"/>
      <c r="B22" s="17" t="n"/>
      <c r="C22" s="14">
        <f>IF(OR(B22="",SUM($B$5:$B$24)=0),"",B22/SUM($B$5:$B$24))</f>
        <v/>
      </c>
      <c r="D22" s="16">
        <f>IF(B22="","",RANK(B22,$B$5:$B$24,0)+COUNTIF($B$5:B22,B22)-1)</f>
        <v/>
      </c>
      <c r="E22" s="17" t="n"/>
      <c r="G22" s="5" t="n">
        <v>18</v>
      </c>
      <c r="H22" s="12">
        <f>IFERROR(INDEX($A$5:$A$24,MATCH(G22,$D$5:$D$24,0)),"")</f>
        <v/>
      </c>
      <c r="I22" s="13">
        <f>IFERROR(INDEX($B$5:$B$24,MATCH(G22,$D$5:$D$24,0)),"")</f>
        <v/>
      </c>
      <c r="J22" s="14">
        <f>IF(I22="",NA(),SUM($I$5:I22)/SUM($I$5:$I$24))</f>
        <v/>
      </c>
      <c r="K22" s="15">
        <f>IF(I22="",NA(),0.8)</f>
        <v/>
      </c>
    </row>
    <row r="23">
      <c r="A23" s="17" t="n"/>
      <c r="B23" s="17" t="n"/>
      <c r="C23" s="14">
        <f>IF(OR(B23="",SUM($B$5:$B$24)=0),"",B23/SUM($B$5:$B$24))</f>
        <v/>
      </c>
      <c r="D23" s="16">
        <f>IF(B23="","",RANK(B23,$B$5:$B$24,0)+COUNTIF($B$5:B23,B23)-1)</f>
        <v/>
      </c>
      <c r="E23" s="17" t="n"/>
      <c r="G23" s="5" t="n">
        <v>19</v>
      </c>
      <c r="H23" s="12">
        <f>IFERROR(INDEX($A$5:$A$24,MATCH(G23,$D$5:$D$24,0)),"")</f>
        <v/>
      </c>
      <c r="I23" s="13">
        <f>IFERROR(INDEX($B$5:$B$24,MATCH(G23,$D$5:$D$24,0)),"")</f>
        <v/>
      </c>
      <c r="J23" s="14">
        <f>IF(I23="",NA(),SUM($I$5:I23)/SUM($I$5:$I$24))</f>
        <v/>
      </c>
      <c r="K23" s="15">
        <f>IF(I23="",NA(),0.8)</f>
        <v/>
      </c>
    </row>
    <row r="24">
      <c r="A24" s="17" t="n"/>
      <c r="B24" s="17" t="n"/>
      <c r="C24" s="14">
        <f>IF(OR(B24="",SUM($B$5:$B$24)=0),"",B24/SUM($B$5:$B$24))</f>
        <v/>
      </c>
      <c r="D24" s="16">
        <f>IF(B24="","",RANK(B24,$B$5:$B$24,0)+COUNTIF($B$5:B24,B24)-1)</f>
        <v/>
      </c>
      <c r="E24" s="17"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Support durations are right-skewed. The mean flatters you; the median and p90 do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2026-08-01T06:21:31Z</dcterms:created>
  <dcterms:modified xsi:type="dcterms:W3CDTF">2026-08-01T06:21:31Z</dcterms:modified>
</cp:coreProperties>
</file>