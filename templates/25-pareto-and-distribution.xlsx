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How to use this" sheetId="1" state="visible" r:id="rId1"/>
    <sheet name="Pareto" sheetId="2" state="visible" r:id="rId2"/>
    <sheet name="Shape and spread" sheetId="3" state="visible" r:id="rId3"/>
  </sheets>
  <definedNames/>
  <calcPr calcId="124519" fullCalcOnLoad="1"/>
</workbook>
</file>

<file path=xl/styles.xml><?xml version="1.0" encoding="utf-8"?>
<styleSheet xmlns="http://schemas.openxmlformats.org/spreadsheetml/2006/main">
  <numFmts count="1">
    <numFmt numFmtId="164" formatCode="0.0%"/>
  </numFmts>
  <fonts count="7">
    <font>
      <name val="Calibri"/>
      <family val="2"/>
      <color theme="1"/>
      <sz val="11"/>
      <scheme val="minor"/>
    </font>
    <font>
      <b val="1"/>
      <color rgb="FFFFFFFF"/>
      <sz val="15"/>
    </font>
    <font>
      <i val="1"/>
      <color rgb="FF6B7280"/>
      <sz val="9"/>
    </font>
    <font>
      <b val="1"/>
      <color rgb="FFFFFFFF"/>
      <sz val="10"/>
    </font>
    <font>
      <color rgb="FF1D4ED8"/>
      <sz val="11"/>
    </font>
    <font>
      <b val="1"/>
      <sz val="11"/>
    </font>
    <font>
      <sz val="11"/>
    </font>
  </fonts>
  <fills count="8">
    <fill>
      <patternFill/>
    </fill>
    <fill>
      <patternFill patternType="gray125"/>
    </fill>
    <fill>
      <patternFill patternType="solid">
        <fgColor rgb="FF151B24"/>
      </patternFill>
    </fill>
    <fill>
      <patternFill patternType="solid">
        <fgColor rgb="FF333C49"/>
      </patternFill>
    </fill>
    <fill>
      <patternFill patternType="solid">
        <fgColor rgb="FFECFAEF"/>
      </patternFill>
    </fill>
    <fill>
      <patternFill patternType="solid">
        <fgColor rgb="FFF2F7FF"/>
      </patternFill>
    </fill>
    <fill>
      <patternFill patternType="solid">
        <fgColor rgb="FFFFF9E3"/>
      </patternFill>
    </fill>
    <fill>
      <patternFill patternType="solid">
        <fgColor rgb="FFEEF1F6"/>
      </patternFill>
    </fill>
  </fills>
  <borders count="2">
    <border>
      <left/>
      <right/>
      <top/>
      <bottom/>
      <diagonal/>
    </border>
    <border>
      <bottom style="thin">
        <color rgb="FFD8DEE7"/>
      </bottom>
    </border>
  </borders>
  <cellStyleXfs count="1">
    <xf numFmtId="0" fontId="0" fillId="0" borderId="0"/>
  </cellStyleXfs>
  <cellXfs count="24">
    <xf numFmtId="0" fontId="0" fillId="0" borderId="0" pivotButton="0" quotePrefix="0" xfId="0"/>
    <xf numFmtId="0" fontId="5" fillId="0" borderId="0" applyAlignment="1" pivotButton="0" quotePrefix="0" xfId="0">
      <alignment vertical="top" wrapText="1"/>
    </xf>
    <xf numFmtId="0" fontId="6" fillId="0" borderId="0" applyAlignment="1" pivotButton="0" quotePrefix="0" xfId="0">
      <alignment vertical="top" wrapText="1"/>
    </xf>
    <xf numFmtId="0" fontId="1" fillId="2" borderId="0" pivotButton="0" quotePrefix="0" xfId="0"/>
    <xf numFmtId="0" fontId="0" fillId="2" borderId="0" pivotButton="0" quotePrefix="0" xfId="0"/>
    <xf numFmtId="0" fontId="2" fillId="0" borderId="0" pivotButton="0" quotePrefix="0" xfId="0"/>
    <xf numFmtId="0" fontId="5" fillId="7" borderId="0" pivotButton="0" quotePrefix="0" xfId="0"/>
    <xf numFmtId="0" fontId="0" fillId="7" borderId="0" pivotButton="0" quotePrefix="0" xfId="0"/>
    <xf numFmtId="0" fontId="3" fillId="3" borderId="0" applyAlignment="1" pivotButton="0" quotePrefix="0" xfId="0">
      <alignment vertical="center" wrapText="1"/>
    </xf>
    <xf numFmtId="0" fontId="0" fillId="4" borderId="1" pivotButton="0" quotePrefix="0" xfId="0"/>
    <xf numFmtId="164" fontId="4" fillId="4" borderId="1" pivotButton="0" quotePrefix="0" xfId="0"/>
    <xf numFmtId="1" fontId="4" fillId="4" borderId="1" pivotButton="0" quotePrefix="0" xfId="0"/>
    <xf numFmtId="0" fontId="4" fillId="5" borderId="1" pivotButton="0" quotePrefix="0" xfId="0"/>
    <xf numFmtId="3" fontId="4" fillId="5" borderId="1" pivotButton="0" quotePrefix="0" xfId="0"/>
    <xf numFmtId="164" fontId="4" fillId="5" borderId="1" pivotButton="0" quotePrefix="0" xfId="0"/>
    <xf numFmtId="9" fontId="4" fillId="5" borderId="1" pivotButton="0" quotePrefix="0" xfId="0"/>
    <xf numFmtId="1" fontId="4" fillId="5" borderId="1" pivotButton="0" quotePrefix="0" xfId="0"/>
    <xf numFmtId="0" fontId="0" fillId="6" borderId="1" pivotButton="0" quotePrefix="0" xfId="0"/>
    <xf numFmtId="0" fontId="2" fillId="0" borderId="0" applyAlignment="1" pivotButton="0" quotePrefix="0" xfId="0">
      <alignment vertical="center" wrapText="1"/>
    </xf>
    <xf numFmtId="0" fontId="5" fillId="0" borderId="0" pivotButton="0" quotePrefix="0" xfId="0"/>
    <xf numFmtId="4" fontId="4" fillId="5" borderId="1" pivotButton="0" quotePrefix="0" xfId="0"/>
    <xf numFmtId="0" fontId="2" fillId="0" borderId="0" applyAlignment="1" pivotButton="0" quotePrefix="0" xfId="0">
      <alignment vertical="top" wrapText="1"/>
    </xf>
    <xf numFmtId="0" fontId="4" fillId="5" borderId="0" pivotButton="0" quotePrefix="0" xfId="0"/>
    <xf numFmtId="3" fontId="0" fillId="4"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roundedCorners val="0"/>
  <style val="10"/>
  <chart>
    <title>
      <tx>
        <rich>
          <a:bodyPr/>
          <a:p>
            <a:pPr>
              <a:defRPr/>
            </a:pPr>
            <a:r>
              <a:t>Pareto — ranked, with cumulative share</a:t>
            </a:r>
          </a:p>
        </rich>
      </tx>
    </title>
    <plotArea>
      <barChart>
        <barDir val="col"/>
        <grouping val="clustered"/>
        <ser>
          <idx val="0"/>
          <order val="0"/>
          <tx>
            <v>Count</v>
          </tx>
          <spPr>
            <a:solidFill>
              <a:srgbClr val="1F4E79"/>
            </a:solidFill>
            <a:ln>
              <a:prstDash val="solid"/>
            </a:ln>
          </spPr>
          <invertIfNegative val="0"/>
          <cat>
            <numRef>
              <f>'Pareto'!$H$5:$H$14</f>
            </numRef>
          </cat>
          <val>
            <numRef>
              <f>'Pareto'!$I$5:$I$14</f>
            </numRef>
          </val>
        </ser>
        <gapWidth val="40"/>
        <axId val="10"/>
        <axId val="100"/>
      </barChart>
      <lineChart>
        <grouping val="standard"/>
        <ser>
          <idx val="1"/>
          <order val="1"/>
          <tx>
            <v>Cumulative share</v>
          </tx>
          <spPr>
            <a:ln w="24000">
              <a:solidFill>
                <a:srgbClr val="B45309"/>
              </a:solidFill>
              <a:prstDash val="solid"/>
            </a:ln>
          </spPr>
          <marker>
            <symbol val="none"/>
            <spPr>
              <a:ln>
                <a:prstDash val="solid"/>
              </a:ln>
            </spPr>
          </marker>
          <val>
            <numRef>
              <f>'Pareto'!$J$5:$J$14</f>
            </numRef>
          </val>
        </ser>
        <ser>
          <idx val="2"/>
          <order val="2"/>
          <tx>
            <v>80% — the vital few are left of here</v>
          </tx>
          <spPr>
            <a:ln>
              <a:solidFill>
                <a:srgbClr val="C0392B"/>
              </a:solidFill>
              <a:prstDash val="dash"/>
            </a:ln>
          </spPr>
          <marker>
            <symbol val="none"/>
            <spPr>
              <a:ln>
                <a:prstDash val="solid"/>
              </a:ln>
            </spPr>
          </marker>
          <val>
            <numRef>
              <f>'Pareto'!$K$5:$K$14</f>
            </numRef>
          </val>
        </ser>
        <axId val="10"/>
        <axId val="200"/>
      </line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title>
          <tx>
            <rich>
              <a:bodyPr/>
              <a:p>
                <a:pPr>
                  <a:defRPr/>
                </a:pPr>
                <a:r>
                  <a:t>Count</a:t>
                </a:r>
              </a:p>
            </rich>
          </tx>
        </title>
        <majorTickMark val="none"/>
        <minorTickMark val="none"/>
        <tickLblPos val="nextTo"/>
        <crossAx val="10"/>
      </valAx>
      <valAx>
        <axId val="200"/>
        <scaling>
          <orientation val="minMax"/>
        </scaling>
        <delete val="0"/>
        <axPos val="l"/>
        <majorGridlines/>
        <title>
          <tx>
            <rich>
              <a:bodyPr/>
              <a:p>
                <a:pPr>
                  <a:defRPr/>
                </a:pPr>
                <a:r>
                  <a:t>Cumulative share</a:t>
                </a:r>
              </a:p>
            </rich>
          </tx>
        </title>
        <numFmt formatCode="0%" sourceLinked="0"/>
        <majorTickMark val="none"/>
        <minorTickMark val="none"/>
        <crossAx val="10"/>
        <crosses val="max"/>
      </valAx>
    </plotArea>
    <legend>
      <legendPos val="b"/>
    </legend>
    <plotVisOnly val="1"/>
    <dispBlanksAs val="gap"/>
  </chart>
</chartSpace>
</file>

<file path=xl/charts/chart2.xml><?xml version="1.0" encoding="utf-8"?>
<chartSpace xmlns:a="http://schemas.openxmlformats.org/drawingml/2006/main" xmlns="http://schemas.openxmlformats.org/drawingml/2006/chart">
  <roundedCorners val="0"/>
  <style val="10"/>
  <chart>
    <title>
      <tx>
        <rich>
          <a:bodyPr/>
          <a:p>
            <a:pPr>
              <a:defRPr/>
            </a:pPr>
            <a:r>
              <a:t>Mean, median and p90 — quoting the mean hides the tail</a:t>
            </a:r>
          </a:p>
        </rich>
      </tx>
    </title>
    <plotArea>
      <barChart>
        <barDir val="col"/>
        <grouping val="clustered"/>
        <ser>
          <idx val="0"/>
          <order val="0"/>
          <tx>
            <v>Seconds</v>
          </tx>
          <spPr>
            <a:ln>
              <a:prstDash val="solid"/>
            </a:ln>
          </spPr>
          <invertIfNegative val="0"/>
          <dPt>
            <idx val="0"/>
            <spPr>
              <a:solidFill>
                <a:srgbClr val="9AA4B2"/>
              </a:solidFill>
              <a:ln>
                <a:prstDash val="solid"/>
              </a:ln>
            </spPr>
          </dPt>
          <dPt>
            <idx val="1"/>
            <spPr>
              <a:solidFill>
                <a:srgbClr val="1F4E79"/>
              </a:solidFill>
              <a:ln>
                <a:prstDash val="solid"/>
              </a:ln>
            </spPr>
          </dPt>
          <dPt>
            <idx val="2"/>
            <spPr>
              <a:solidFill>
                <a:srgbClr val="C0392B"/>
              </a:solidFill>
              <a:ln>
                <a:prstDash val="solid"/>
              </a:ln>
            </spPr>
          </dPt>
          <cat>
            <numRef>
              <f>'Shape and spread'!$F$19:$F$21</f>
            </numRef>
          </cat>
          <val>
            <numRef>
              <f>'Shape and spread'!$G$19:$G$21</f>
            </numRef>
          </val>
        </ser>
        <gapWidth val="60"/>
        <axId val="10"/>
        <axId val="100"/>
      </barChart>
      <catAx>
        <axId val="10"/>
        <scaling>
          <orientation val="minMax"/>
        </scaling>
        <delete val="0"/>
        <axPos val="l"/>
        <majorTickMark val="none"/>
        <minorTickMark val="none"/>
        <tickLblPos val="low"/>
        <crossAx val="100"/>
        <lblOffset val="100"/>
        <tickLblSkip val="1"/>
        <tickMarkSkip val="1"/>
      </catAx>
      <valAx>
        <axId val="100"/>
        <scaling>
          <orientation val="minMax"/>
        </scaling>
        <delete val="0"/>
        <axPos val="l"/>
        <majorGridlines/>
        <majorTickMark val="none"/>
        <minorTickMark val="none"/>
        <tickLblPos val="nextTo"/>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12</col>
      <colOff>0</colOff>
      <row>2</row>
      <rowOff>0</rowOff>
    </from>
    <ext cx="9360000" cy="396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2</row>
      <rowOff>0</rowOff>
    </from>
    <ext cx="5400000" cy="270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outlinePr summaryBelow="1" summaryRight="1"/>
    <pageSetUpPr fitToPage="1"/>
  </sheetPr>
  <dimension ref="A1:B40"/>
  <sheetViews>
    <sheetView showGridLines="0" workbookViewId="0">
      <selection activeCell="A1" sqref="A1"/>
    </sheetView>
  </sheetViews>
  <sheetFormatPr baseColWidth="8" defaultRowHeight="15"/>
  <cols>
    <col width="2" customWidth="1" min="1" max="1"/>
    <col width="108" customWidth="1" min="2" max="2"/>
  </cols>
  <sheetData>
    <row r="1"/>
    <row r="2">
      <c r="B2" s="1" t="inlineStr">
        <is>
          <t>Yellow cells</t>
        </is>
      </c>
    </row>
    <row r="3" ht="15" customHeight="1">
      <c r="B3" s="2" t="inlineStr">
        <is>
          <t>You fill these in.</t>
        </is>
      </c>
    </row>
    <row r="4">
      <c r="B4" s="1" t="inlineStr">
        <is>
          <t>Blue cells</t>
        </is>
      </c>
    </row>
    <row r="5" ht="15" customHeight="1">
      <c r="B5" s="2" t="inlineStr">
        <is>
          <t>Calculated for you. Do not type over them — they contain formulas.</t>
        </is>
      </c>
    </row>
    <row r="6">
      <c r="B6" s="1" t="inlineStr">
        <is>
          <t>Green row</t>
        </is>
      </c>
    </row>
    <row r="7" ht="15" customHeight="1">
      <c r="B7" s="2" t="inlineStr">
        <is>
          <t>A worked example so you can see the expected format. Delete it when you start.</t>
        </is>
      </c>
    </row>
    <row r="8">
      <c r="B8" s="1" t="inlineStr">
        <is>
          <t>What this is for</t>
        </is>
      </c>
    </row>
    <row r="9" ht="30" customHeight="1">
      <c r="B9" s="2" t="inlineStr">
        <is>
          <t>Two things you should do before any analysis: find out where the bulk of the problem is, and find out what shape your data actually has.</t>
        </is>
      </c>
    </row>
    <row r="10">
      <c r="B10" s="1" t="inlineStr">
        <is>
          <t>Pareto tab</t>
        </is>
      </c>
    </row>
    <row r="11" ht="30" customHeight="1">
      <c r="B11" s="2" t="inlineStr">
        <is>
          <t>Enter categories and counts. Share and cumulative calculate themselves. The last column is the one people skip — validate the top category by reading tickets before you build a case on it.</t>
        </is>
      </c>
    </row>
    <row r="12">
      <c r="B12" s="1" t="inlineStr">
        <is>
          <t>Shape and spread tab</t>
        </is>
      </c>
    </row>
    <row r="13" ht="30" customHeight="1">
      <c r="B13" s="2" t="inlineStr">
        <is>
          <t>Paste raw values into column B. The verdict tells you whether your data is skewed enough that the mean and a t-test would mislead you. Support durations almost always are.</t>
        </is>
      </c>
    </row>
    <row r="14"/>
    <row r="15"/>
    <row r="16"/>
    <row r="17"/>
    <row r="18"/>
    <row r="19"/>
    <row r="20"/>
    <row r="21"/>
    <row r="22"/>
    <row r="23"/>
    <row r="24"/>
    <row r="25"/>
    <row r="26"/>
    <row r="27"/>
    <row r="28"/>
    <row r="29"/>
    <row r="30"/>
    <row r="31"/>
    <row r="32"/>
    <row r="33"/>
    <row r="34"/>
    <row r="35"/>
    <row r="36"/>
    <row r="37"/>
    <row r="38"/>
    <row r="39"/>
    <row r="40"/>
  </sheetData>
  <printOptions horizontalCentered="1"/>
  <pageMargins left="0.4" right="0.4" top="0.5" bottom="0.5" header="0.5" footer="0.5"/>
  <pageSetup orientation="landscape" fitToHeight="0" fitToWidth="1"/>
</worksheet>
</file>

<file path=xl/worksheets/sheet2.xml><?xml version="1.0" encoding="utf-8"?>
<worksheet xmlns="http://schemas.openxmlformats.org/spreadsheetml/2006/main">
  <sheetPr>
    <outlinePr summaryBelow="1" summaryRight="1"/>
    <pageSetUpPr fitToPage="1"/>
  </sheetPr>
  <dimension ref="A1:K31"/>
  <sheetViews>
    <sheetView showGridLines="0" workbookViewId="0">
      <pane ySplit="4" topLeftCell="A5" activePane="bottomLeft" state="frozen"/>
      <selection pane="bottomLeft" activeCell="A1" sqref="A1"/>
    </sheetView>
  </sheetViews>
  <sheetFormatPr baseColWidth="8" defaultRowHeight="15"/>
  <cols>
    <col width="40" customWidth="1" min="1" max="1"/>
    <col width="12" customWidth="1" min="2" max="2"/>
    <col width="11" customWidth="1" min="3" max="3"/>
    <col width="9" customWidth="1" min="4" max="4"/>
    <col width="34" customWidth="1" min="5" max="5"/>
    <col width="3" customWidth="1" min="6" max="6"/>
    <col width="7" customWidth="1" min="7" max="7"/>
    <col width="40" customWidth="1" min="8" max="8"/>
    <col width="12" customWidth="1" min="9" max="9"/>
    <col width="13" customWidth="1" min="10" max="10"/>
    <col width="11" customWidth="1" min="11" max="11"/>
  </cols>
  <sheetData>
    <row r="1" ht="26" customHeight="1">
      <c r="A1" s="3" t="inlineStr">
        <is>
          <t>Pareto — where the bulk of the problem actually sits</t>
        </is>
      </c>
      <c r="B1" s="4" t="n"/>
      <c r="C1" s="4" t="n"/>
      <c r="D1" s="4" t="n"/>
      <c r="E1" s="4" t="n"/>
    </row>
    <row r="2">
      <c r="A2" s="5" t="inlineStr">
        <is>
          <t>Ranked categories with a running cumulative share, so you can see how much of the problem the top few explain.</t>
        </is>
      </c>
    </row>
    <row r="3">
      <c r="G3" s="6" t="inlineStr">
        <is>
          <t>RANKED — this is what the chart plots. Type above in any order; this sorts itself.</t>
        </is>
      </c>
      <c r="H3" s="7" t="n"/>
      <c r="I3" s="7" t="n"/>
      <c r="J3" s="7" t="n"/>
      <c r="K3" s="7" t="n"/>
    </row>
    <row r="4" ht="30" customHeight="1">
      <c r="A4" s="8" t="inlineStr">
        <is>
          <t>Category</t>
        </is>
      </c>
      <c r="B4" s="8" t="inlineStr">
        <is>
          <t>Count</t>
        </is>
      </c>
      <c r="C4" s="8" t="inlineStr">
        <is>
          <t>Share</t>
        </is>
      </c>
      <c r="D4" s="8" t="inlineStr">
        <is>
          <t>Rank</t>
        </is>
      </c>
      <c r="E4" s="8" t="inlineStr">
        <is>
          <t>Validated by reading tickets?</t>
        </is>
      </c>
      <c r="G4" s="8" t="inlineStr">
        <is>
          <t>#</t>
        </is>
      </c>
      <c r="H4" s="8" t="inlineStr">
        <is>
          <t>Category</t>
        </is>
      </c>
      <c r="I4" s="8" t="inlineStr">
        <is>
          <t>Count</t>
        </is>
      </c>
      <c r="J4" s="8" t="inlineStr">
        <is>
          <t>Cumulative</t>
        </is>
      </c>
      <c r="K4" s="8" t="inlineStr">
        <is>
          <t>80% line</t>
        </is>
      </c>
    </row>
    <row r="5">
      <c r="A5" s="9" t="inlineStr">
        <is>
          <t>Adjustment not posted at closure</t>
        </is>
      </c>
      <c r="B5" s="9" t="n">
        <v>412</v>
      </c>
      <c r="C5" s="10">
        <f>IF(OR(B5="",SUM($B$5:$B$24)=0),"",B5/SUM($B$5:$B$24))</f>
        <v/>
      </c>
      <c r="D5" s="11">
        <f>IF(B5="","",RANK(B5,$B$5:$B$24,0)+COUNTIF($B$5:B5,B5)-1)</f>
        <v/>
      </c>
      <c r="E5" s="9" t="inlineStr">
        <is>
          <t>Yes</t>
        </is>
      </c>
      <c r="G5" s="5" t="n">
        <v>1</v>
      </c>
      <c r="H5" s="12">
        <f>IFERROR(INDEX($A$5:$A$24,MATCH(G5,$D$5:$D$24,0)),"")</f>
        <v/>
      </c>
      <c r="I5" s="13">
        <f>IFERROR(INDEX($B$5:$B$24,MATCH(G5,$D$5:$D$24,0)),"")</f>
        <v/>
      </c>
      <c r="J5" s="14">
        <f>IF(I5="",NA(),SUM($I$5:I5)/SUM($I$5:$I$24))</f>
        <v/>
      </c>
      <c r="K5" s="15">
        <f>IF(I5="",NA(),0.8)</f>
        <v/>
      </c>
    </row>
    <row r="6">
      <c r="A6" s="9" t="inlineStr">
        <is>
          <t>Wrong plan applied</t>
        </is>
      </c>
      <c r="B6" s="9" t="n">
        <v>233</v>
      </c>
      <c r="C6" s="14">
        <f>IF(OR(B6="",SUM($B$5:$B$24)=0),"",B6/SUM($B$5:$B$24))</f>
        <v/>
      </c>
      <c r="D6" s="16">
        <f>IF(B6="","",RANK(B6,$B$5:$B$24,0)+COUNTIF($B$5:B6,B6)-1)</f>
        <v/>
      </c>
      <c r="E6" s="17" t="n"/>
      <c r="G6" s="5" t="n">
        <v>2</v>
      </c>
      <c r="H6" s="12">
        <f>IFERROR(INDEX($A$5:$A$24,MATCH(G6,$D$5:$D$24,0)),"")</f>
        <v/>
      </c>
      <c r="I6" s="13">
        <f>IFERROR(INDEX($B$5:$B$24,MATCH(G6,$D$5:$D$24,0)),"")</f>
        <v/>
      </c>
      <c r="J6" s="14">
        <f>IF(I6="",NA(),SUM($I$5:I6)/SUM($I$5:$I$24))</f>
        <v/>
      </c>
      <c r="K6" s="15">
        <f>IF(I6="",NA(),0.8)</f>
        <v/>
      </c>
    </row>
    <row r="7">
      <c r="A7" s="9" t="inlineStr">
        <is>
          <t>Duplicate charge</t>
        </is>
      </c>
      <c r="B7" s="9" t="n">
        <v>151</v>
      </c>
      <c r="C7" s="14">
        <f>IF(OR(B7="",SUM($B$5:$B$24)=0),"",B7/SUM($B$5:$B$24))</f>
        <v/>
      </c>
      <c r="D7" s="16">
        <f>IF(B7="","",RANK(B7,$B$5:$B$24,0)+COUNTIF($B$5:B7,B7)-1)</f>
        <v/>
      </c>
      <c r="E7" s="17" t="n"/>
      <c r="G7" s="5" t="n">
        <v>3</v>
      </c>
      <c r="H7" s="12">
        <f>IFERROR(INDEX($A$5:$A$24,MATCH(G7,$D$5:$D$24,0)),"")</f>
        <v/>
      </c>
      <c r="I7" s="13">
        <f>IFERROR(INDEX($B$5:$B$24,MATCH(G7,$D$5:$D$24,0)),"")</f>
        <v/>
      </c>
      <c r="J7" s="14">
        <f>IF(I7="",NA(),SUM($I$5:I7)/SUM($I$5:$I$24))</f>
        <v/>
      </c>
      <c r="K7" s="15">
        <f>IF(I7="",NA(),0.8)</f>
        <v/>
      </c>
    </row>
    <row r="8">
      <c r="A8" s="9" t="inlineStr">
        <is>
          <t>Proration misunderstood</t>
        </is>
      </c>
      <c r="B8" s="9" t="n">
        <v>96</v>
      </c>
      <c r="C8" s="14">
        <f>IF(OR(B8="",SUM($B$5:$B$24)=0),"",B8/SUM($B$5:$B$24))</f>
        <v/>
      </c>
      <c r="D8" s="16">
        <f>IF(B8="","",RANK(B8,$B$5:$B$24,0)+COUNTIF($B$5:B8,B8)-1)</f>
        <v/>
      </c>
      <c r="E8" s="17" t="n"/>
      <c r="G8" s="5" t="n">
        <v>4</v>
      </c>
      <c r="H8" s="12">
        <f>IFERROR(INDEX($A$5:$A$24,MATCH(G8,$D$5:$D$24,0)),"")</f>
        <v/>
      </c>
      <c r="I8" s="13">
        <f>IFERROR(INDEX($B$5:$B$24,MATCH(G8,$D$5:$D$24,0)),"")</f>
        <v/>
      </c>
      <c r="J8" s="14">
        <f>IF(I8="",NA(),SUM($I$5:I8)/SUM($I$5:$I$24))</f>
        <v/>
      </c>
      <c r="K8" s="15">
        <f>IF(I8="",NA(),0.8)</f>
        <v/>
      </c>
    </row>
    <row r="9">
      <c r="A9" s="9" t="inlineStr">
        <is>
          <t>Refund timing</t>
        </is>
      </c>
      <c r="B9" s="9" t="n">
        <v>74</v>
      </c>
      <c r="C9" s="14">
        <f>IF(OR(B9="",SUM($B$5:$B$24)=0),"",B9/SUM($B$5:$B$24))</f>
        <v/>
      </c>
      <c r="D9" s="16">
        <f>IF(B9="","",RANK(B9,$B$5:$B$24,0)+COUNTIF($B$5:B9,B9)-1)</f>
        <v/>
      </c>
      <c r="E9" s="17" t="n"/>
      <c r="G9" s="5" t="n">
        <v>5</v>
      </c>
      <c r="H9" s="12">
        <f>IFERROR(INDEX($A$5:$A$24,MATCH(G9,$D$5:$D$24,0)),"")</f>
        <v/>
      </c>
      <c r="I9" s="13">
        <f>IFERROR(INDEX($B$5:$B$24,MATCH(G9,$D$5:$D$24,0)),"")</f>
        <v/>
      </c>
      <c r="J9" s="14">
        <f>IF(I9="",NA(),SUM($I$5:I9)/SUM($I$5:$I$24))</f>
        <v/>
      </c>
      <c r="K9" s="15">
        <f>IF(I9="",NA(),0.8)</f>
        <v/>
      </c>
    </row>
    <row r="10">
      <c r="A10" s="17" t="n"/>
      <c r="B10" s="17" t="n"/>
      <c r="C10" s="14">
        <f>IF(OR(B10="",SUM($B$5:$B$24)=0),"",B10/SUM($B$5:$B$24))</f>
        <v/>
      </c>
      <c r="D10" s="16">
        <f>IF(B10="","",RANK(B10,$B$5:$B$24,0)+COUNTIF($B$5:B10,B10)-1)</f>
        <v/>
      </c>
      <c r="E10" s="17" t="n"/>
      <c r="G10" s="5" t="n">
        <v>6</v>
      </c>
      <c r="H10" s="12">
        <f>IFERROR(INDEX($A$5:$A$24,MATCH(G10,$D$5:$D$24,0)),"")</f>
        <v/>
      </c>
      <c r="I10" s="13">
        <f>IFERROR(INDEX($B$5:$B$24,MATCH(G10,$D$5:$D$24,0)),"")</f>
        <v/>
      </c>
      <c r="J10" s="14">
        <f>IF(I10="",NA(),SUM($I$5:I10)/SUM($I$5:$I$24))</f>
        <v/>
      </c>
      <c r="K10" s="15">
        <f>IF(I10="",NA(),0.8)</f>
        <v/>
      </c>
    </row>
    <row r="11">
      <c r="A11" s="17" t="n"/>
      <c r="B11" s="17" t="n"/>
      <c r="C11" s="14">
        <f>IF(OR(B11="",SUM($B$5:$B$24)=0),"",B11/SUM($B$5:$B$24))</f>
        <v/>
      </c>
      <c r="D11" s="16">
        <f>IF(B11="","",RANK(B11,$B$5:$B$24,0)+COUNTIF($B$5:B11,B11)-1)</f>
        <v/>
      </c>
      <c r="E11" s="17" t="n"/>
      <c r="G11" s="5" t="n">
        <v>7</v>
      </c>
      <c r="H11" s="12">
        <f>IFERROR(INDEX($A$5:$A$24,MATCH(G11,$D$5:$D$24,0)),"")</f>
        <v/>
      </c>
      <c r="I11" s="13">
        <f>IFERROR(INDEX($B$5:$B$24,MATCH(G11,$D$5:$D$24,0)),"")</f>
        <v/>
      </c>
      <c r="J11" s="14">
        <f>IF(I11="",NA(),SUM($I$5:I11)/SUM($I$5:$I$24))</f>
        <v/>
      </c>
      <c r="K11" s="15">
        <f>IF(I11="",NA(),0.8)</f>
        <v/>
      </c>
    </row>
    <row r="12">
      <c r="A12" s="17" t="n"/>
      <c r="B12" s="17" t="n"/>
      <c r="C12" s="14">
        <f>IF(OR(B12="",SUM($B$5:$B$24)=0),"",B12/SUM($B$5:$B$24))</f>
        <v/>
      </c>
      <c r="D12" s="16">
        <f>IF(B12="","",RANK(B12,$B$5:$B$24,0)+COUNTIF($B$5:B12,B12)-1)</f>
        <v/>
      </c>
      <c r="E12" s="17" t="n"/>
      <c r="G12" s="5" t="n">
        <v>8</v>
      </c>
      <c r="H12" s="12">
        <f>IFERROR(INDEX($A$5:$A$24,MATCH(G12,$D$5:$D$24,0)),"")</f>
        <v/>
      </c>
      <c r="I12" s="13">
        <f>IFERROR(INDEX($B$5:$B$24,MATCH(G12,$D$5:$D$24,0)),"")</f>
        <v/>
      </c>
      <c r="J12" s="14">
        <f>IF(I12="",NA(),SUM($I$5:I12)/SUM($I$5:$I$24))</f>
        <v/>
      </c>
      <c r="K12" s="15">
        <f>IF(I12="",NA(),0.8)</f>
        <v/>
      </c>
    </row>
    <row r="13">
      <c r="A13" s="17" t="n"/>
      <c r="B13" s="17" t="n"/>
      <c r="C13" s="14">
        <f>IF(OR(B13="",SUM($B$5:$B$24)=0),"",B13/SUM($B$5:$B$24))</f>
        <v/>
      </c>
      <c r="D13" s="16">
        <f>IF(B13="","",RANK(B13,$B$5:$B$24,0)+COUNTIF($B$5:B13,B13)-1)</f>
        <v/>
      </c>
      <c r="E13" s="17" t="n"/>
      <c r="G13" s="5" t="n">
        <v>9</v>
      </c>
      <c r="H13" s="12">
        <f>IFERROR(INDEX($A$5:$A$24,MATCH(G13,$D$5:$D$24,0)),"")</f>
        <v/>
      </c>
      <c r="I13" s="13">
        <f>IFERROR(INDEX($B$5:$B$24,MATCH(G13,$D$5:$D$24,0)),"")</f>
        <v/>
      </c>
      <c r="J13" s="14">
        <f>IF(I13="",NA(),SUM($I$5:I13)/SUM($I$5:$I$24))</f>
        <v/>
      </c>
      <c r="K13" s="15">
        <f>IF(I13="",NA(),0.8)</f>
        <v/>
      </c>
    </row>
    <row r="14">
      <c r="A14" s="17" t="n"/>
      <c r="B14" s="17" t="n"/>
      <c r="C14" s="14">
        <f>IF(OR(B14="",SUM($B$5:$B$24)=0),"",B14/SUM($B$5:$B$24))</f>
        <v/>
      </c>
      <c r="D14" s="16">
        <f>IF(B14="","",RANK(B14,$B$5:$B$24,0)+COUNTIF($B$5:B14,B14)-1)</f>
        <v/>
      </c>
      <c r="E14" s="17" t="n"/>
      <c r="G14" s="5" t="n">
        <v>10</v>
      </c>
      <c r="H14" s="12">
        <f>IFERROR(INDEX($A$5:$A$24,MATCH(G14,$D$5:$D$24,0)),"")</f>
        <v/>
      </c>
      <c r="I14" s="13">
        <f>IFERROR(INDEX($B$5:$B$24,MATCH(G14,$D$5:$D$24,0)),"")</f>
        <v/>
      </c>
      <c r="J14" s="14">
        <f>IF(I14="",NA(),SUM($I$5:I14)/SUM($I$5:$I$24))</f>
        <v/>
      </c>
      <c r="K14" s="15">
        <f>IF(I14="",NA(),0.8)</f>
        <v/>
      </c>
    </row>
    <row r="15">
      <c r="A15" s="17" t="n"/>
      <c r="B15" s="17" t="n"/>
      <c r="C15" s="14">
        <f>IF(OR(B15="",SUM($B$5:$B$24)=0),"",B15/SUM($B$5:$B$24))</f>
        <v/>
      </c>
      <c r="D15" s="16">
        <f>IF(B15="","",RANK(B15,$B$5:$B$24,0)+COUNTIF($B$5:B15,B15)-1)</f>
        <v/>
      </c>
      <c r="E15" s="17" t="n"/>
      <c r="G15" s="5" t="n">
        <v>11</v>
      </c>
      <c r="H15" s="12">
        <f>IFERROR(INDEX($A$5:$A$24,MATCH(G15,$D$5:$D$24,0)),"")</f>
        <v/>
      </c>
      <c r="I15" s="13">
        <f>IFERROR(INDEX($B$5:$B$24,MATCH(G15,$D$5:$D$24,0)),"")</f>
        <v/>
      </c>
      <c r="J15" s="14">
        <f>IF(I15="",NA(),SUM($I$5:I15)/SUM($I$5:$I$24))</f>
        <v/>
      </c>
      <c r="K15" s="15">
        <f>IF(I15="",NA(),0.8)</f>
        <v/>
      </c>
    </row>
    <row r="16">
      <c r="A16" s="17" t="n"/>
      <c r="B16" s="17" t="n"/>
      <c r="C16" s="14">
        <f>IF(OR(B16="",SUM($B$5:$B$24)=0),"",B16/SUM($B$5:$B$24))</f>
        <v/>
      </c>
      <c r="D16" s="16">
        <f>IF(B16="","",RANK(B16,$B$5:$B$24,0)+COUNTIF($B$5:B16,B16)-1)</f>
        <v/>
      </c>
      <c r="E16" s="17" t="n"/>
      <c r="G16" s="5" t="n">
        <v>12</v>
      </c>
      <c r="H16" s="12">
        <f>IFERROR(INDEX($A$5:$A$24,MATCH(G16,$D$5:$D$24,0)),"")</f>
        <v/>
      </c>
      <c r="I16" s="13">
        <f>IFERROR(INDEX($B$5:$B$24,MATCH(G16,$D$5:$D$24,0)),"")</f>
        <v/>
      </c>
      <c r="J16" s="14">
        <f>IF(I16="",NA(),SUM($I$5:I16)/SUM($I$5:$I$24))</f>
        <v/>
      </c>
      <c r="K16" s="15">
        <f>IF(I16="",NA(),0.8)</f>
        <v/>
      </c>
    </row>
    <row r="17">
      <c r="A17" s="17" t="n"/>
      <c r="B17" s="17" t="n"/>
      <c r="C17" s="14">
        <f>IF(OR(B17="",SUM($B$5:$B$24)=0),"",B17/SUM($B$5:$B$24))</f>
        <v/>
      </c>
      <c r="D17" s="16">
        <f>IF(B17="","",RANK(B17,$B$5:$B$24,0)+COUNTIF($B$5:B17,B17)-1)</f>
        <v/>
      </c>
      <c r="E17" s="17" t="n"/>
      <c r="G17" s="5" t="n">
        <v>13</v>
      </c>
      <c r="H17" s="12">
        <f>IFERROR(INDEX($A$5:$A$24,MATCH(G17,$D$5:$D$24,0)),"")</f>
        <v/>
      </c>
      <c r="I17" s="13">
        <f>IFERROR(INDEX($B$5:$B$24,MATCH(G17,$D$5:$D$24,0)),"")</f>
        <v/>
      </c>
      <c r="J17" s="14">
        <f>IF(I17="",NA(),SUM($I$5:I17)/SUM($I$5:$I$24))</f>
        <v/>
      </c>
      <c r="K17" s="15">
        <f>IF(I17="",NA(),0.8)</f>
        <v/>
      </c>
    </row>
    <row r="18">
      <c r="A18" s="17" t="n"/>
      <c r="B18" s="17" t="n"/>
      <c r="C18" s="14">
        <f>IF(OR(B18="",SUM($B$5:$B$24)=0),"",B18/SUM($B$5:$B$24))</f>
        <v/>
      </c>
      <c r="D18" s="16">
        <f>IF(B18="","",RANK(B18,$B$5:$B$24,0)+COUNTIF($B$5:B18,B18)-1)</f>
        <v/>
      </c>
      <c r="E18" s="17" t="n"/>
      <c r="G18" s="5" t="n">
        <v>14</v>
      </c>
      <c r="H18" s="12">
        <f>IFERROR(INDEX($A$5:$A$24,MATCH(G18,$D$5:$D$24,0)),"")</f>
        <v/>
      </c>
      <c r="I18" s="13">
        <f>IFERROR(INDEX($B$5:$B$24,MATCH(G18,$D$5:$D$24,0)),"")</f>
        <v/>
      </c>
      <c r="J18" s="14">
        <f>IF(I18="",NA(),SUM($I$5:I18)/SUM($I$5:$I$24))</f>
        <v/>
      </c>
      <c r="K18" s="15">
        <f>IF(I18="",NA(),0.8)</f>
        <v/>
      </c>
    </row>
    <row r="19">
      <c r="A19" s="17" t="n"/>
      <c r="B19" s="17" t="n"/>
      <c r="C19" s="14">
        <f>IF(OR(B19="",SUM($B$5:$B$24)=0),"",B19/SUM($B$5:$B$24))</f>
        <v/>
      </c>
      <c r="D19" s="16">
        <f>IF(B19="","",RANK(B19,$B$5:$B$24,0)+COUNTIF($B$5:B19,B19)-1)</f>
        <v/>
      </c>
      <c r="E19" s="17" t="n"/>
      <c r="G19" s="5" t="n">
        <v>15</v>
      </c>
      <c r="H19" s="12">
        <f>IFERROR(INDEX($A$5:$A$24,MATCH(G19,$D$5:$D$24,0)),"")</f>
        <v/>
      </c>
      <c r="I19" s="13">
        <f>IFERROR(INDEX($B$5:$B$24,MATCH(G19,$D$5:$D$24,0)),"")</f>
        <v/>
      </c>
      <c r="J19" s="14">
        <f>IF(I19="",NA(),SUM($I$5:I19)/SUM($I$5:$I$24))</f>
        <v/>
      </c>
      <c r="K19" s="15">
        <f>IF(I19="",NA(),0.8)</f>
        <v/>
      </c>
    </row>
    <row r="20">
      <c r="A20" s="17" t="n"/>
      <c r="B20" s="17" t="n"/>
      <c r="C20" s="14">
        <f>IF(OR(B20="",SUM($B$5:$B$24)=0),"",B20/SUM($B$5:$B$24))</f>
        <v/>
      </c>
      <c r="D20" s="16">
        <f>IF(B20="","",RANK(B20,$B$5:$B$24,0)+COUNTIF($B$5:B20,B20)-1)</f>
        <v/>
      </c>
      <c r="E20" s="17" t="n"/>
      <c r="G20" s="5" t="n">
        <v>16</v>
      </c>
      <c r="H20" s="12">
        <f>IFERROR(INDEX($A$5:$A$24,MATCH(G20,$D$5:$D$24,0)),"")</f>
        <v/>
      </c>
      <c r="I20" s="13">
        <f>IFERROR(INDEX($B$5:$B$24,MATCH(G20,$D$5:$D$24,0)),"")</f>
        <v/>
      </c>
      <c r="J20" s="14">
        <f>IF(I20="",NA(),SUM($I$5:I20)/SUM($I$5:$I$24))</f>
        <v/>
      </c>
      <c r="K20" s="15">
        <f>IF(I20="",NA(),0.8)</f>
        <v/>
      </c>
    </row>
    <row r="21">
      <c r="A21" s="17" t="n"/>
      <c r="B21" s="17" t="n"/>
      <c r="C21" s="14">
        <f>IF(OR(B21="",SUM($B$5:$B$24)=0),"",B21/SUM($B$5:$B$24))</f>
        <v/>
      </c>
      <c r="D21" s="16">
        <f>IF(B21="","",RANK(B21,$B$5:$B$24,0)+COUNTIF($B$5:B21,B21)-1)</f>
        <v/>
      </c>
      <c r="E21" s="17" t="n"/>
      <c r="G21" s="5" t="n">
        <v>17</v>
      </c>
      <c r="H21" s="12">
        <f>IFERROR(INDEX($A$5:$A$24,MATCH(G21,$D$5:$D$24,0)),"")</f>
        <v/>
      </c>
      <c r="I21" s="13">
        <f>IFERROR(INDEX($B$5:$B$24,MATCH(G21,$D$5:$D$24,0)),"")</f>
        <v/>
      </c>
      <c r="J21" s="14">
        <f>IF(I21="",NA(),SUM($I$5:I21)/SUM($I$5:$I$24))</f>
        <v/>
      </c>
      <c r="K21" s="15">
        <f>IF(I21="",NA(),0.8)</f>
        <v/>
      </c>
    </row>
    <row r="22">
      <c r="A22" s="17" t="n"/>
      <c r="B22" s="17" t="n"/>
      <c r="C22" s="14">
        <f>IF(OR(B22="",SUM($B$5:$B$24)=0),"",B22/SUM($B$5:$B$24))</f>
        <v/>
      </c>
      <c r="D22" s="16">
        <f>IF(B22="","",RANK(B22,$B$5:$B$24,0)+COUNTIF($B$5:B22,B22)-1)</f>
        <v/>
      </c>
      <c r="E22" s="17" t="n"/>
      <c r="G22" s="5" t="n">
        <v>18</v>
      </c>
      <c r="H22" s="12">
        <f>IFERROR(INDEX($A$5:$A$24,MATCH(G22,$D$5:$D$24,0)),"")</f>
        <v/>
      </c>
      <c r="I22" s="13">
        <f>IFERROR(INDEX($B$5:$B$24,MATCH(G22,$D$5:$D$24,0)),"")</f>
        <v/>
      </c>
      <c r="J22" s="14">
        <f>IF(I22="",NA(),SUM($I$5:I22)/SUM($I$5:$I$24))</f>
        <v/>
      </c>
      <c r="K22" s="15">
        <f>IF(I22="",NA(),0.8)</f>
        <v/>
      </c>
    </row>
    <row r="23">
      <c r="A23" s="17" t="n"/>
      <c r="B23" s="17" t="n"/>
      <c r="C23" s="14">
        <f>IF(OR(B23="",SUM($B$5:$B$24)=0),"",B23/SUM($B$5:$B$24))</f>
        <v/>
      </c>
      <c r="D23" s="16">
        <f>IF(B23="","",RANK(B23,$B$5:$B$24,0)+COUNTIF($B$5:B23,B23)-1)</f>
        <v/>
      </c>
      <c r="E23" s="17" t="n"/>
      <c r="G23" s="5" t="n">
        <v>19</v>
      </c>
      <c r="H23" s="12">
        <f>IFERROR(INDEX($A$5:$A$24,MATCH(G23,$D$5:$D$24,0)),"")</f>
        <v/>
      </c>
      <c r="I23" s="13">
        <f>IFERROR(INDEX($B$5:$B$24,MATCH(G23,$D$5:$D$24,0)),"")</f>
        <v/>
      </c>
      <c r="J23" s="14">
        <f>IF(I23="",NA(),SUM($I$5:I23)/SUM($I$5:$I$24))</f>
        <v/>
      </c>
      <c r="K23" s="15">
        <f>IF(I23="",NA(),0.8)</f>
        <v/>
      </c>
    </row>
    <row r="24">
      <c r="A24" s="17" t="n"/>
      <c r="B24" s="17" t="n"/>
      <c r="C24" s="14">
        <f>IF(OR(B24="",SUM($B$5:$B$24)=0),"",B24/SUM($B$5:$B$24))</f>
        <v/>
      </c>
      <c r="D24" s="16">
        <f>IF(B24="","",RANK(B24,$B$5:$B$24,0)+COUNTIF($B$5:B24,B24)-1)</f>
        <v/>
      </c>
      <c r="E24" s="17" t="n"/>
      <c r="G24" s="5" t="n">
        <v>20</v>
      </c>
      <c r="H24" s="12">
        <f>IFERROR(INDEX($A$5:$A$24,MATCH(G24,$D$5:$D$24,0)),"")</f>
        <v/>
      </c>
      <c r="I24" s="13">
        <f>IFERROR(INDEX($B$5:$B$24,MATCH(G24,$D$5:$D$24,0)),"")</f>
        <v/>
      </c>
      <c r="J24" s="14">
        <f>IF(I24="",NA(),SUM($I$5:I24)/SUM($I$5:$I$24))</f>
        <v/>
      </c>
      <c r="K24" s="15">
        <f>IF(I24="",NA(),0.8)</f>
        <v/>
      </c>
    </row>
    <row r="25" ht="90" customHeight="1">
      <c r="A25" s="18" t="inlineStr">
        <is>
          <t>How to answer the last column, and why it is the one that matters. Open 50 tickets at random from your top category and read them. Count how many are genuinely that category rather than the code an agent picked under time pressure. Answer Yes only if 40 or more of the 50 hold up; below that your Pareto is ranking your data-entry habits and not your problems, and the business case built on it will not survive contact with the process. Row 5 is the worked example: 50 read, 41 held up, so Yes.</t>
        </is>
      </c>
    </row>
    <row r="26">
      <c r="A26" s="6" t="inlineStr">
        <is>
          <t>SUMMARY</t>
        </is>
      </c>
      <c r="B26" s="7" t="n"/>
      <c r="C26" s="7" t="n"/>
      <c r="D26" s="7" t="n"/>
      <c r="E26" s="7" t="n"/>
    </row>
    <row r="27">
      <c r="A27" s="19" t="inlineStr">
        <is>
          <t>Total</t>
        </is>
      </c>
      <c r="C27" s="12">
        <f>SUM(B5:B24)</f>
        <v/>
      </c>
    </row>
    <row r="28">
      <c r="A28" s="19" t="inlineStr">
        <is>
          <t>Categories</t>
        </is>
      </c>
      <c r="C28" s="12">
        <f>COUNTA(A5:A24)</f>
        <v/>
      </c>
    </row>
    <row r="29">
      <c r="A29" s="19" t="inlineStr">
        <is>
          <t>Share explained by the top three</t>
        </is>
      </c>
      <c r="C29" s="14">
        <f>IFERROR(SUM(I5:I7)/SUM(I5:I24),"")</f>
        <v/>
      </c>
    </row>
    <row r="30"/>
    <row r="31">
      <c r="A31" s="5" t="inlineStr">
        <is>
          <t>A Pareto inherits the quality of your categories. Disposition codes are chosen by agents under time pressure, so a Pareto of them ranks your data-entry habits as much as your problems. Read 50 tickets in the top bar before you size a business case on it — that is what the last column is for.</t>
        </is>
      </c>
    </row>
  </sheetData>
  <mergeCells count="8">
    <mergeCell ref="A26:E26"/>
    <mergeCell ref="A29:B29"/>
    <mergeCell ref="A2:E2"/>
    <mergeCell ref="A25:E25"/>
    <mergeCell ref="A28:B28"/>
    <mergeCell ref="A1:E1"/>
    <mergeCell ref="A31:E31"/>
    <mergeCell ref="A27:B27"/>
  </mergeCells>
  <dataValidations count="1">
    <dataValidation sqref="E5:E24" showDropDown="0" showInputMessage="0" showErrorMessage="0" allowBlank="1" type="list">
      <formula1>"Yes,No"</formula1>
    </dataValidation>
  </dataValidations>
  <printOptions horizontalCentered="1"/>
  <pageMargins left="0.4" right="0.4" top="0.5" bottom="0.5" header="0.5" footer="0.5"/>
  <pageSetup orientation="landscape" fitToHeight="0" fitToWidth="1"/>
  <drawing xmlns:r="http://schemas.openxmlformats.org/officeDocument/2006/relationships" r:id="rId1"/>
</worksheet>
</file>

<file path=xl/worksheets/sheet3.xml><?xml version="1.0" encoding="utf-8"?>
<worksheet xmlns="http://schemas.openxmlformats.org/spreadsheetml/2006/main">
  <sheetPr>
    <outlinePr summaryBelow="1" summaryRight="1"/>
    <pageSetUpPr fitToPage="1"/>
  </sheetPr>
  <dimension ref="A1:G59"/>
  <sheetViews>
    <sheetView showGridLines="0" workbookViewId="0">
      <pane ySplit="5" topLeftCell="A6" activePane="bottomLeft" state="frozen"/>
      <selection pane="bottomLeft" activeCell="A1" sqref="A1"/>
    </sheetView>
  </sheetViews>
  <sheetFormatPr baseColWidth="8" defaultRowHeight="15"/>
  <cols>
    <col width="34" customWidth="1" min="1" max="1"/>
    <col width="18" customWidth="1" min="2" max="2"/>
    <col width="18" customWidth="1" min="3" max="3"/>
    <col width="60" customWidth="1" min="4" max="4"/>
    <col width="16" customWidth="1" min="6" max="6"/>
    <col width="11" customWidth="1" min="7" max="7"/>
  </cols>
  <sheetData>
    <row r="1" ht="26" customHeight="1">
      <c r="A1" s="3" t="inlineStr">
        <is>
          <t>Is this data the shape you assumed?</t>
        </is>
      </c>
      <c r="B1" s="4" t="n"/>
      <c r="C1" s="4" t="n"/>
      <c r="D1" s="4" t="n"/>
    </row>
    <row r="2">
      <c r="A2" s="5" t="inlineStr">
        <is>
          <t>Support durations are right-skewed. The mean flatters you; the median and p90 do not.</t>
        </is>
      </c>
    </row>
    <row r="3"/>
    <row r="4">
      <c r="A4" s="5" t="inlineStr">
        <is>
          <t>Paste your values into column B</t>
        </is>
      </c>
    </row>
    <row r="5" ht="30" customHeight="1">
      <c r="A5" s="8" t="inlineStr">
        <is>
          <t>Statistic</t>
        </is>
      </c>
      <c r="B5" s="8" t="inlineStr">
        <is>
          <t>Value</t>
        </is>
      </c>
      <c r="C5" s="8" t="inlineStr"/>
      <c r="D5" s="8" t="inlineStr">
        <is>
          <t>What it tells you</t>
        </is>
      </c>
    </row>
    <row r="6">
      <c r="A6" s="19" t="inlineStr">
        <is>
          <t>Count</t>
        </is>
      </c>
      <c r="B6" s="20">
        <f>COUNT($B$20:$B$1000)</f>
        <v/>
      </c>
      <c r="D6" s="21" t="inlineStr">
        <is>
          <t>How many values you pasted.</t>
        </is>
      </c>
    </row>
    <row r="7">
      <c r="A7" s="19" t="inlineStr">
        <is>
          <t>Mean</t>
        </is>
      </c>
      <c r="B7" s="20">
        <f>IFERROR(AVERAGE($B$20:$B$1000),"")</f>
        <v/>
      </c>
      <c r="D7" s="21" t="inlineStr">
        <is>
          <t>Dragged upward by the long tail. Rarely the number to quote.</t>
        </is>
      </c>
    </row>
    <row r="8">
      <c r="A8" s="19" t="inlineStr">
        <is>
          <t>Median (p50)</t>
        </is>
      </c>
      <c r="B8" s="20">
        <f>IFERROR(MEDIAN($B$20:$B$1000),"")</f>
        <v/>
      </c>
      <c r="D8" s="21" t="inlineStr">
        <is>
          <t>The typical experience. Quote this.</t>
        </is>
      </c>
    </row>
    <row r="9">
      <c r="A9" s="19" t="inlineStr">
        <is>
          <t>p90</t>
        </is>
      </c>
      <c r="B9" s="20">
        <f>IFERROR(PERCENTILE($B$20:$B$1000,0.9),"")</f>
        <v/>
      </c>
      <c r="D9" s="21" t="inlineStr">
        <is>
          <t>What your worst-served customers get. This is what generates complaints.</t>
        </is>
      </c>
    </row>
    <row r="10">
      <c r="A10" s="19" t="inlineStr">
        <is>
          <t>Standard deviation</t>
        </is>
      </c>
      <c r="B10" s="20">
        <f>IFERROR(STDEV($B$20:$B$1000),"")</f>
        <v/>
      </c>
      <c r="D10" s="21" t="inlineStr">
        <is>
          <t>Assumes symmetry, so it describes skewed data poorly.</t>
        </is>
      </c>
    </row>
    <row r="11">
      <c r="A11" s="19" t="inlineStr">
        <is>
          <t>Interquartile range</t>
        </is>
      </c>
      <c r="B11" s="20">
        <f>IFERROR(QUARTILE($B$20:$B$1000,3)-QUARTILE($B$20:$B$1000,1),"")</f>
        <v/>
      </c>
      <c r="D11" s="21" t="inlineStr">
        <is>
          <t>The middle half. A better spread measure for this data.</t>
        </is>
      </c>
    </row>
    <row r="12">
      <c r="A12" s="19" t="inlineStr">
        <is>
          <t>Mean ÷ median</t>
        </is>
      </c>
      <c r="B12" s="20">
        <f>IFERROR(AVERAGE($B$20:$B$1000)/MEDIAN($B$20:$B$1000),"")</f>
        <v/>
      </c>
      <c r="D12" s="21" t="inlineStr">
        <is>
          <t>Above about 1.2 means meaningful right skew — use non-parametric tests and quote percentiles.</t>
        </is>
      </c>
    </row>
    <row r="13"/>
    <row r="14">
      <c r="A14" s="12" t="inlineStr">
        <is>
          <t>VERDICT</t>
        </is>
      </c>
      <c r="B14" s="7" t="n"/>
      <c r="C14" s="7" t="n"/>
      <c r="D14" s="7" t="n"/>
    </row>
    <row r="15">
      <c r="A15" s="22">
        <f>IF(COUNT($B$20:$B$1000)=0,"Paste your data into column B below.",IF(AVERAGE($B$20:$B$1000)/MEDIAN($B$20:$B$1000)&gt;1.2,"RIGHT-SKEWED — quote the median and p90, and prefer non-parametric tests.","ROUGHLY SYMMETRIC — the mean and a parametric test are defensible."))</f>
        <v/>
      </c>
    </row>
    <row r="16"/>
    <row r="17"/>
    <row r="18">
      <c r="A18" s="19" t="inlineStr">
        <is>
          <t>Your data</t>
        </is>
      </c>
      <c r="F18" s="19" t="inlineStr">
        <is>
          <t>What you would quote</t>
        </is>
      </c>
    </row>
    <row r="19">
      <c r="B19" s="5" t="inlineStr">
        <is>
          <t>Values ↓</t>
        </is>
      </c>
      <c r="F19" s="5" t="inlineStr">
        <is>
          <t>Mean</t>
        </is>
      </c>
      <c r="G19" s="13">
        <f>IFERROR(AVERAGE($B$20:$B$1000),"")</f>
        <v/>
      </c>
    </row>
    <row r="20">
      <c r="B20" s="23" t="n">
        <v>182</v>
      </c>
      <c r="F20" s="5" t="inlineStr">
        <is>
          <t>Median (p50)</t>
        </is>
      </c>
      <c r="G20" s="13">
        <f>IFERROR(MEDIAN($B$20:$B$1000),"")</f>
        <v/>
      </c>
    </row>
    <row r="21">
      <c r="B21" s="23" t="n">
        <v>201</v>
      </c>
      <c r="F21" s="5" t="inlineStr">
        <is>
          <t>p90</t>
        </is>
      </c>
      <c r="G21" s="13">
        <f>IFERROR(PERCENTILE($B$20:$B$1000,0.9),"")</f>
        <v/>
      </c>
    </row>
    <row r="22">
      <c r="B22" s="23" t="n">
        <v>214</v>
      </c>
    </row>
    <row r="23">
      <c r="B23" s="23" t="n">
        <v>227</v>
      </c>
    </row>
    <row r="24">
      <c r="B24" s="23" t="n">
        <v>236</v>
      </c>
    </row>
    <row r="25">
      <c r="B25" s="23" t="n">
        <v>241</v>
      </c>
    </row>
    <row r="26">
      <c r="B26" s="23" t="n">
        <v>248</v>
      </c>
    </row>
    <row r="27">
      <c r="B27" s="23" t="n">
        <v>255</v>
      </c>
    </row>
    <row r="28">
      <c r="B28" s="23" t="n">
        <v>259</v>
      </c>
    </row>
    <row r="29">
      <c r="B29" s="23" t="n">
        <v>263</v>
      </c>
    </row>
    <row r="30">
      <c r="B30" s="23" t="n">
        <v>268</v>
      </c>
    </row>
    <row r="31">
      <c r="B31" s="23" t="n">
        <v>272</v>
      </c>
    </row>
    <row r="32">
      <c r="B32" s="23" t="n">
        <v>277</v>
      </c>
    </row>
    <row r="33">
      <c r="B33" s="23" t="n">
        <v>281</v>
      </c>
    </row>
    <row r="34">
      <c r="B34" s="23" t="n">
        <v>286</v>
      </c>
    </row>
    <row r="35">
      <c r="B35" s="23" t="n">
        <v>292</v>
      </c>
    </row>
    <row r="36">
      <c r="B36" s="23" t="n">
        <v>298</v>
      </c>
    </row>
    <row r="37">
      <c r="B37" s="23" t="n">
        <v>305</v>
      </c>
    </row>
    <row r="38">
      <c r="B38" s="23" t="n">
        <v>311</v>
      </c>
    </row>
    <row r="39">
      <c r="B39" s="23" t="n">
        <v>318</v>
      </c>
    </row>
    <row r="40">
      <c r="B40" s="23" t="n">
        <v>326</v>
      </c>
    </row>
    <row r="41">
      <c r="B41" s="23" t="n">
        <v>335</v>
      </c>
    </row>
    <row r="42">
      <c r="B42" s="23" t="n">
        <v>346</v>
      </c>
    </row>
    <row r="43">
      <c r="B43" s="23" t="n">
        <v>358</v>
      </c>
    </row>
    <row r="44">
      <c r="B44" s="23" t="n">
        <v>372</v>
      </c>
    </row>
    <row r="45">
      <c r="B45" s="23" t="n">
        <v>389</v>
      </c>
    </row>
    <row r="46">
      <c r="B46" s="23" t="n">
        <v>408</v>
      </c>
    </row>
    <row r="47">
      <c r="B47" s="23" t="n">
        <v>431</v>
      </c>
    </row>
    <row r="48">
      <c r="B48" s="23" t="n">
        <v>459</v>
      </c>
    </row>
    <row r="49">
      <c r="B49" s="23" t="n">
        <v>494</v>
      </c>
    </row>
    <row r="50">
      <c r="B50" s="23" t="n">
        <v>538</v>
      </c>
    </row>
    <row r="51">
      <c r="B51" s="23" t="n">
        <v>594</v>
      </c>
    </row>
    <row r="52">
      <c r="B52" s="23" t="n">
        <v>668</v>
      </c>
    </row>
    <row r="53">
      <c r="B53" s="23" t="n">
        <v>771</v>
      </c>
    </row>
    <row r="54">
      <c r="B54" s="23" t="n">
        <v>918</v>
      </c>
    </row>
    <row r="55">
      <c r="B55" s="23" t="n">
        <v>1140</v>
      </c>
    </row>
    <row r="56">
      <c r="B56" s="23" t="n">
        <v>1502</v>
      </c>
    </row>
    <row r="57">
      <c r="B57" s="23" t="n">
        <v>2160</v>
      </c>
    </row>
    <row r="58">
      <c r="B58" s="23" t="n">
        <v>3480</v>
      </c>
    </row>
    <row r="59">
      <c r="B59" s="23" t="n">
        <v>5220</v>
      </c>
    </row>
  </sheetData>
  <mergeCells count="4">
    <mergeCell ref="A1:D1"/>
    <mergeCell ref="A14:D14"/>
    <mergeCell ref="A2:D2"/>
    <mergeCell ref="A15:D15"/>
  </mergeCells>
  <printOptions horizontalCentered="1"/>
  <pageMargins left="0.4" right="0.4" top="0.5" bottom="0.5" header="0.5" footer="0.5"/>
  <pageSetup orientation="landscape" fitToHeight="0" fitToWidth="1"/>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2026-08-01T06:15:24Z</dcterms:created>
  <dcterms:modified xsi:type="dcterms:W3CDTF">2026-08-01T06:15:24Z</dcterms:modified>
</cp:coreProperties>
</file>