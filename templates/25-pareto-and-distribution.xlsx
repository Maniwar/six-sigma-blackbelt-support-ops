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
      <i val="1"/>
      <color rgb="FF4B5563"/>
      <sz val="9"/>
    </font>
    <font>
      <b val="1"/>
      <sz val="10"/>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5">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7"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applyAlignment="1" pivotButton="0" quotePrefix="0" xfId="0">
      <alignment vertical="top" wrapText="1"/>
    </xf>
    <xf numFmtId="0" fontId="3" fillId="3" borderId="0" applyAlignment="1" pivotButton="0" quotePrefix="0" xfId="0">
      <alignment vertical="center" wrapText="1"/>
    </xf>
    <xf numFmtId="0" fontId="0" fillId="4" borderId="1" pivotButton="0" quotePrefix="0" xfId="0"/>
    <xf numFmtId="164" fontId="4" fillId="5" borderId="1" pivotButton="0" quotePrefix="0" xfId="0"/>
    <xf numFmtId="1" fontId="4" fillId="5" borderId="1" pivotButton="0" quotePrefix="0" xfId="0"/>
    <xf numFmtId="0" fontId="4" fillId="5" borderId="1" pivotButton="0" quotePrefix="0" xfId="0"/>
    <xf numFmtId="3" fontId="4" fillId="5" borderId="1" pivotButton="0" quotePrefix="0" xfId="0"/>
    <xf numFmtId="9"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7" borderId="0" pivotButton="0" quotePrefix="0" xfId="0"/>
    <xf numFmtId="0" fontId="0" fillId="7" borderId="0" pivotButton="0" quotePrefix="0" xfId="0"/>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H40"/>
  <sheetViews>
    <sheetView showGridLines="0" workbookViewId="0">
      <selection activeCell="A1" sqref="A1"/>
    </sheetView>
  </sheetViews>
  <sheetFormatPr baseColWidth="8" defaultRowHeight="15"/>
  <cols>
    <col width="2" customWidth="1" min="1" max="1"/>
    <col width="108" customWidth="1" min="2" max="2"/>
    <col width="13" customWidth="1" min="3" max="3"/>
    <col width="13" customWidth="1" min="4" max="4"/>
    <col width="13" customWidth="1" min="5" max="5"/>
    <col width="13" customWidth="1" min="6" max="6"/>
    <col width="13" customWidth="1" min="7" max="7"/>
    <col width="13" customWidth="1" min="8" max="8"/>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ht="14" customHeight="1">
      <c r="A16" s="3" t="inlineStr">
        <is>
          <t>WHAT THE COLUMNS MEAN — the short version sits above each table; this is the same thing with the worked example</t>
        </is>
      </c>
    </row>
    <row r="17" ht="22" customHeight="1">
      <c r="A17" s="4" t="inlineStr">
        <is>
          <t>Share = that category's count as a percentage of the total, before any sorting. The largest billing category runs 412 of 966 contacts, 42.7% (B5, C5). Read it beside the cumulative column: share tells you how big one bar is, cumulative tells you how few bars you need</t>
        </is>
      </c>
    </row>
    <row r="18" ht="22" customHeight="1">
      <c r="A18" s="4" t="inlineStr">
        <is>
          <t>Rank = position by weighted total, 1 being highest. Ties are not broken, so two rows can share a rank. Always read it with the totals beside it: a rank on its own hides both a photo finish and an exact tie, and no amount of re-scoring separates two rows that scored the same</t>
        </is>
      </c>
    </row>
    <row r="19" ht="22" customHeight="1">
      <c r="A19" s="4" t="inlineStr">
        <is>
          <t>Cumulative = the running total of share down the SORTED list, which is the line a Pareto chart draws. The top category alone reaches 42.7% and the top two reach 66.8% (J5, J6), so two of the categories carry two-thirds of the volume. Where the line crosses 80% is the set worth working on</t>
        </is>
      </c>
    </row>
    <row r="20"/>
    <row r="21"/>
    <row r="22"/>
    <row r="23"/>
    <row r="24"/>
    <row r="25"/>
    <row r="26"/>
    <row r="27"/>
    <row r="28"/>
    <row r="29"/>
    <row r="30"/>
    <row r="31"/>
    <row r="32"/>
    <row r="33"/>
    <row r="34"/>
    <row r="35"/>
    <row r="36"/>
    <row r="37"/>
    <row r="38"/>
    <row r="39"/>
    <row r="40"/>
  </sheetData>
  <mergeCells count="4">
    <mergeCell ref="A18:H18"/>
    <mergeCell ref="A19:H19"/>
    <mergeCell ref="A16:H16"/>
    <mergeCell ref="A17:H17"/>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V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s>
  <sheetData>
    <row r="1" ht="26" customHeight="1">
      <c r="A1" s="5" t="inlineStr">
        <is>
          <t>Pareto — where the bulk of the problem actually sits</t>
        </is>
      </c>
      <c r="B1" s="6" t="n"/>
      <c r="C1" s="6" t="n"/>
      <c r="D1" s="6" t="n"/>
      <c r="E1" s="6" t="n"/>
    </row>
    <row r="2">
      <c r="A2" s="7" t="inlineStr">
        <is>
          <t>Ranked categories with a running cumulative share, so you can see how much of the problem the top few explain.</t>
        </is>
      </c>
    </row>
    <row r="3" ht="65" customHeight="1">
      <c r="G3" s="8" t="inlineStr">
        <is>
          <t>RANKED — this is what the chart plots. Type above in any order; this sorts itself.  ·  Key:
• Share = that category's count as a percentage of the total, before any sorting.
• Rank = position by weighted total, 1 being highest.
• Cumulative = the running total of share down the SORTED list, which is the line a Pareto chart draws.</t>
        </is>
      </c>
    </row>
    <row r="4" ht="30" customHeight="1">
      <c r="A4" s="9" t="inlineStr">
        <is>
          <t>Category</t>
        </is>
      </c>
      <c r="B4" s="9" t="inlineStr">
        <is>
          <t>Count</t>
        </is>
      </c>
      <c r="C4" s="9" t="inlineStr">
        <is>
          <t>Share</t>
        </is>
      </c>
      <c r="D4" s="9" t="inlineStr">
        <is>
          <t>Rank</t>
        </is>
      </c>
      <c r="E4" s="9" t="inlineStr">
        <is>
          <t>Validated by reading tickets?</t>
        </is>
      </c>
      <c r="G4" s="9" t="inlineStr">
        <is>
          <t>#</t>
        </is>
      </c>
      <c r="H4" s="9" t="inlineStr">
        <is>
          <t>Category</t>
        </is>
      </c>
      <c r="I4" s="9" t="inlineStr">
        <is>
          <t>Count</t>
        </is>
      </c>
      <c r="J4" s="9" t="inlineStr">
        <is>
          <t>Cumulative</t>
        </is>
      </c>
      <c r="K4" s="9" t="inlineStr">
        <is>
          <t>80% line</t>
        </is>
      </c>
    </row>
    <row r="5">
      <c r="A5" s="10" t="inlineStr">
        <is>
          <t>Adjustment not posted at closure</t>
        </is>
      </c>
      <c r="B5" s="10" t="n">
        <v>412</v>
      </c>
      <c r="C5" s="11">
        <f>IF(OR(B5="",SUM($B$5:$B$24)=0),"",B5/SUM($B$5:$B$24))</f>
        <v/>
      </c>
      <c r="D5" s="12">
        <f>IF(B5="","",RANK(B5,$B$5:$B$24,0)+COUNTIF($B$5:B5,B5)-1)</f>
        <v/>
      </c>
      <c r="E5" s="10" t="inlineStr">
        <is>
          <t>Yes</t>
        </is>
      </c>
      <c r="G5" s="7" t="n">
        <v>1</v>
      </c>
      <c r="H5" s="13">
        <f>IFERROR(INDEX($A$5:$A$24,MATCH(G5,$D$5:$D$24,0)),"")</f>
        <v/>
      </c>
      <c r="I5" s="14">
        <f>IFERROR(INDEX($B$5:$B$24,MATCH(G5,$D$5:$D$24,0)),"")</f>
        <v/>
      </c>
      <c r="J5" s="11">
        <f>IF(I5="",NA(),SUM($I$5:I5)/SUM($I$5:$I$24))</f>
        <v/>
      </c>
      <c r="K5" s="15">
        <f>IF(I5="",NA(),0.8)</f>
        <v/>
      </c>
    </row>
    <row r="6">
      <c r="A6" s="10" t="inlineStr">
        <is>
          <t>Wrong plan applied</t>
        </is>
      </c>
      <c r="B6" s="10" t="n">
        <v>233</v>
      </c>
      <c r="C6" s="11">
        <f>IF(OR(B6="",SUM($B$5:$B$24)=0),"",B6/SUM($B$5:$B$24))</f>
        <v/>
      </c>
      <c r="D6" s="12">
        <f>IF(B6="","",RANK(B6,$B$5:$B$24,0)+COUNTIF($B$5:B6,B6)-1)</f>
        <v/>
      </c>
      <c r="E6" s="16" t="n"/>
      <c r="G6" s="7" t="n">
        <v>2</v>
      </c>
      <c r="H6" s="13">
        <f>IFERROR(INDEX($A$5:$A$24,MATCH(G6,$D$5:$D$24,0)),"")</f>
        <v/>
      </c>
      <c r="I6" s="14">
        <f>IFERROR(INDEX($B$5:$B$24,MATCH(G6,$D$5:$D$24,0)),"")</f>
        <v/>
      </c>
      <c r="J6" s="11">
        <f>IF(I6="",NA(),SUM($I$5:I6)/SUM($I$5:$I$24))</f>
        <v/>
      </c>
      <c r="K6" s="15">
        <f>IF(I6="",NA(),0.8)</f>
        <v/>
      </c>
    </row>
    <row r="7">
      <c r="A7" s="10" t="inlineStr">
        <is>
          <t>Duplicate charge</t>
        </is>
      </c>
      <c r="B7" s="10" t="n">
        <v>151</v>
      </c>
      <c r="C7" s="11">
        <f>IF(OR(B7="",SUM($B$5:$B$24)=0),"",B7/SUM($B$5:$B$24))</f>
        <v/>
      </c>
      <c r="D7" s="12">
        <f>IF(B7="","",RANK(B7,$B$5:$B$24,0)+COUNTIF($B$5:B7,B7)-1)</f>
        <v/>
      </c>
      <c r="E7" s="16" t="n"/>
      <c r="G7" s="7" t="n">
        <v>3</v>
      </c>
      <c r="H7" s="13">
        <f>IFERROR(INDEX($A$5:$A$24,MATCH(G7,$D$5:$D$24,0)),"")</f>
        <v/>
      </c>
      <c r="I7" s="14">
        <f>IFERROR(INDEX($B$5:$B$24,MATCH(G7,$D$5:$D$24,0)),"")</f>
        <v/>
      </c>
      <c r="J7" s="11">
        <f>IF(I7="",NA(),SUM($I$5:I7)/SUM($I$5:$I$24))</f>
        <v/>
      </c>
      <c r="K7" s="15">
        <f>IF(I7="",NA(),0.8)</f>
        <v/>
      </c>
    </row>
    <row r="8">
      <c r="A8" s="10" t="inlineStr">
        <is>
          <t>Proration misunderstood</t>
        </is>
      </c>
      <c r="B8" s="10" t="n">
        <v>96</v>
      </c>
      <c r="C8" s="11">
        <f>IF(OR(B8="",SUM($B$5:$B$24)=0),"",B8/SUM($B$5:$B$24))</f>
        <v/>
      </c>
      <c r="D8" s="12">
        <f>IF(B8="","",RANK(B8,$B$5:$B$24,0)+COUNTIF($B$5:B8,B8)-1)</f>
        <v/>
      </c>
      <c r="E8" s="16" t="n"/>
      <c r="G8" s="7" t="n">
        <v>4</v>
      </c>
      <c r="H8" s="13">
        <f>IFERROR(INDEX($A$5:$A$24,MATCH(G8,$D$5:$D$24,0)),"")</f>
        <v/>
      </c>
      <c r="I8" s="14">
        <f>IFERROR(INDEX($B$5:$B$24,MATCH(G8,$D$5:$D$24,0)),"")</f>
        <v/>
      </c>
      <c r="J8" s="11">
        <f>IF(I8="",NA(),SUM($I$5:I8)/SUM($I$5:$I$24))</f>
        <v/>
      </c>
      <c r="K8" s="15">
        <f>IF(I8="",NA(),0.8)</f>
        <v/>
      </c>
    </row>
    <row r="9">
      <c r="A9" s="10" t="inlineStr">
        <is>
          <t>Refund timing</t>
        </is>
      </c>
      <c r="B9" s="10" t="n">
        <v>74</v>
      </c>
      <c r="C9" s="11">
        <f>IF(OR(B9="",SUM($B$5:$B$24)=0),"",B9/SUM($B$5:$B$24))</f>
        <v/>
      </c>
      <c r="D9" s="12">
        <f>IF(B9="","",RANK(B9,$B$5:$B$24,0)+COUNTIF($B$5:B9,B9)-1)</f>
        <v/>
      </c>
      <c r="E9" s="16" t="n"/>
      <c r="G9" s="7" t="n">
        <v>5</v>
      </c>
      <c r="H9" s="13">
        <f>IFERROR(INDEX($A$5:$A$24,MATCH(G9,$D$5:$D$24,0)),"")</f>
        <v/>
      </c>
      <c r="I9" s="14">
        <f>IFERROR(INDEX($B$5:$B$24,MATCH(G9,$D$5:$D$24,0)),"")</f>
        <v/>
      </c>
      <c r="J9" s="11">
        <f>IF(I9="",NA(),SUM($I$5:I9)/SUM($I$5:$I$24))</f>
        <v/>
      </c>
      <c r="K9" s="15">
        <f>IF(I9="",NA(),0.8)</f>
        <v/>
      </c>
    </row>
    <row r="10">
      <c r="A10" s="16" t="n"/>
      <c r="B10" s="16" t="n"/>
      <c r="C10" s="11">
        <f>IF(OR(B10="",SUM($B$5:$B$24)=0),"",B10/SUM($B$5:$B$24))</f>
        <v/>
      </c>
      <c r="D10" s="12">
        <f>IF(B10="","",RANK(B10,$B$5:$B$24,0)+COUNTIF($B$5:B10,B10)-1)</f>
        <v/>
      </c>
      <c r="E10" s="16" t="n"/>
      <c r="G10" s="7" t="n">
        <v>6</v>
      </c>
      <c r="H10" s="13">
        <f>IFERROR(INDEX($A$5:$A$24,MATCH(G10,$D$5:$D$24,0)),"")</f>
        <v/>
      </c>
      <c r="I10" s="14">
        <f>IFERROR(INDEX($B$5:$B$24,MATCH(G10,$D$5:$D$24,0)),"")</f>
        <v/>
      </c>
      <c r="J10" s="11">
        <f>IF(I10="",NA(),SUM($I$5:I10)/SUM($I$5:$I$24))</f>
        <v/>
      </c>
      <c r="K10" s="15">
        <f>IF(I10="",NA(),0.8)</f>
        <v/>
      </c>
    </row>
    <row r="11">
      <c r="A11" s="16" t="n"/>
      <c r="B11" s="16" t="n"/>
      <c r="C11" s="11">
        <f>IF(OR(B11="",SUM($B$5:$B$24)=0),"",B11/SUM($B$5:$B$24))</f>
        <v/>
      </c>
      <c r="D11" s="12">
        <f>IF(B11="","",RANK(B11,$B$5:$B$24,0)+COUNTIF($B$5:B11,B11)-1)</f>
        <v/>
      </c>
      <c r="E11" s="16" t="n"/>
      <c r="G11" s="7" t="n">
        <v>7</v>
      </c>
      <c r="H11" s="13">
        <f>IFERROR(INDEX($A$5:$A$24,MATCH(G11,$D$5:$D$24,0)),"")</f>
        <v/>
      </c>
      <c r="I11" s="14">
        <f>IFERROR(INDEX($B$5:$B$24,MATCH(G11,$D$5:$D$24,0)),"")</f>
        <v/>
      </c>
      <c r="J11" s="11">
        <f>IF(I11="",NA(),SUM($I$5:I11)/SUM($I$5:$I$24))</f>
        <v/>
      </c>
      <c r="K11" s="15">
        <f>IF(I11="",NA(),0.8)</f>
        <v/>
      </c>
    </row>
    <row r="12">
      <c r="A12" s="16" t="n"/>
      <c r="B12" s="16" t="n"/>
      <c r="C12" s="11">
        <f>IF(OR(B12="",SUM($B$5:$B$24)=0),"",B12/SUM($B$5:$B$24))</f>
        <v/>
      </c>
      <c r="D12" s="12">
        <f>IF(B12="","",RANK(B12,$B$5:$B$24,0)+COUNTIF($B$5:B12,B12)-1)</f>
        <v/>
      </c>
      <c r="E12" s="16" t="n"/>
      <c r="G12" s="7" t="n">
        <v>8</v>
      </c>
      <c r="H12" s="13">
        <f>IFERROR(INDEX($A$5:$A$24,MATCH(G12,$D$5:$D$24,0)),"")</f>
        <v/>
      </c>
      <c r="I12" s="14">
        <f>IFERROR(INDEX($B$5:$B$24,MATCH(G12,$D$5:$D$24,0)),"")</f>
        <v/>
      </c>
      <c r="J12" s="11">
        <f>IF(I12="",NA(),SUM($I$5:I12)/SUM($I$5:$I$24))</f>
        <v/>
      </c>
      <c r="K12" s="15">
        <f>IF(I12="",NA(),0.8)</f>
        <v/>
      </c>
    </row>
    <row r="13">
      <c r="A13" s="16" t="n"/>
      <c r="B13" s="16" t="n"/>
      <c r="C13" s="11">
        <f>IF(OR(B13="",SUM($B$5:$B$24)=0),"",B13/SUM($B$5:$B$24))</f>
        <v/>
      </c>
      <c r="D13" s="12">
        <f>IF(B13="","",RANK(B13,$B$5:$B$24,0)+COUNTIF($B$5:B13,B13)-1)</f>
        <v/>
      </c>
      <c r="E13" s="16" t="n"/>
      <c r="G13" s="7" t="n">
        <v>9</v>
      </c>
      <c r="H13" s="13">
        <f>IFERROR(INDEX($A$5:$A$24,MATCH(G13,$D$5:$D$24,0)),"")</f>
        <v/>
      </c>
      <c r="I13" s="14">
        <f>IFERROR(INDEX($B$5:$B$24,MATCH(G13,$D$5:$D$24,0)),"")</f>
        <v/>
      </c>
      <c r="J13" s="11">
        <f>IF(I13="",NA(),SUM($I$5:I13)/SUM($I$5:$I$24))</f>
        <v/>
      </c>
      <c r="K13" s="15">
        <f>IF(I13="",NA(),0.8)</f>
        <v/>
      </c>
    </row>
    <row r="14">
      <c r="A14" s="16" t="n"/>
      <c r="B14" s="16" t="n"/>
      <c r="C14" s="11">
        <f>IF(OR(B14="",SUM($B$5:$B$24)=0),"",B14/SUM($B$5:$B$24))</f>
        <v/>
      </c>
      <c r="D14" s="12">
        <f>IF(B14="","",RANK(B14,$B$5:$B$24,0)+COUNTIF($B$5:B14,B14)-1)</f>
        <v/>
      </c>
      <c r="E14" s="16" t="n"/>
      <c r="G14" s="7" t="n">
        <v>10</v>
      </c>
      <c r="H14" s="13">
        <f>IFERROR(INDEX($A$5:$A$24,MATCH(G14,$D$5:$D$24,0)),"")</f>
        <v/>
      </c>
      <c r="I14" s="14">
        <f>IFERROR(INDEX($B$5:$B$24,MATCH(G14,$D$5:$D$24,0)),"")</f>
        <v/>
      </c>
      <c r="J14" s="11">
        <f>IF(I14="",NA(),SUM($I$5:I14)/SUM($I$5:$I$24))</f>
        <v/>
      </c>
      <c r="K14" s="15">
        <f>IF(I14="",NA(),0.8)</f>
        <v/>
      </c>
    </row>
    <row r="15">
      <c r="A15" s="16" t="n"/>
      <c r="B15" s="16" t="n"/>
      <c r="C15" s="11">
        <f>IF(OR(B15="",SUM($B$5:$B$24)=0),"",B15/SUM($B$5:$B$24))</f>
        <v/>
      </c>
      <c r="D15" s="12">
        <f>IF(B15="","",RANK(B15,$B$5:$B$24,0)+COUNTIF($B$5:B15,B15)-1)</f>
        <v/>
      </c>
      <c r="E15" s="16" t="n"/>
      <c r="G15" s="7" t="n">
        <v>11</v>
      </c>
      <c r="H15" s="13">
        <f>IFERROR(INDEX($A$5:$A$24,MATCH(G15,$D$5:$D$24,0)),"")</f>
        <v/>
      </c>
      <c r="I15" s="14">
        <f>IFERROR(INDEX($B$5:$B$24,MATCH(G15,$D$5:$D$24,0)),"")</f>
        <v/>
      </c>
      <c r="J15" s="11">
        <f>IF(I15="",NA(),SUM($I$5:I15)/SUM($I$5:$I$24))</f>
        <v/>
      </c>
      <c r="K15" s="15">
        <f>IF(I15="",NA(),0.8)</f>
        <v/>
      </c>
    </row>
    <row r="16">
      <c r="A16" s="16" t="n"/>
      <c r="B16" s="16" t="n"/>
      <c r="C16" s="11">
        <f>IF(OR(B16="",SUM($B$5:$B$24)=0),"",B16/SUM($B$5:$B$24))</f>
        <v/>
      </c>
      <c r="D16" s="12">
        <f>IF(B16="","",RANK(B16,$B$5:$B$24,0)+COUNTIF($B$5:B16,B16)-1)</f>
        <v/>
      </c>
      <c r="E16" s="16" t="n"/>
      <c r="G16" s="7" t="n">
        <v>12</v>
      </c>
      <c r="H16" s="13">
        <f>IFERROR(INDEX($A$5:$A$24,MATCH(G16,$D$5:$D$24,0)),"")</f>
        <v/>
      </c>
      <c r="I16" s="14">
        <f>IFERROR(INDEX($B$5:$B$24,MATCH(G16,$D$5:$D$24,0)),"")</f>
        <v/>
      </c>
      <c r="J16" s="11">
        <f>IF(I16="",NA(),SUM($I$5:I16)/SUM($I$5:$I$24))</f>
        <v/>
      </c>
      <c r="K16" s="15">
        <f>IF(I16="",NA(),0.8)</f>
        <v/>
      </c>
    </row>
    <row r="17">
      <c r="A17" s="16" t="n"/>
      <c r="B17" s="16" t="n"/>
      <c r="C17" s="11">
        <f>IF(OR(B17="",SUM($B$5:$B$24)=0),"",B17/SUM($B$5:$B$24))</f>
        <v/>
      </c>
      <c r="D17" s="12">
        <f>IF(B17="","",RANK(B17,$B$5:$B$24,0)+COUNTIF($B$5:B17,B17)-1)</f>
        <v/>
      </c>
      <c r="E17" s="16" t="n"/>
      <c r="G17" s="7" t="n">
        <v>13</v>
      </c>
      <c r="H17" s="13">
        <f>IFERROR(INDEX($A$5:$A$24,MATCH(G17,$D$5:$D$24,0)),"")</f>
        <v/>
      </c>
      <c r="I17" s="14">
        <f>IFERROR(INDEX($B$5:$B$24,MATCH(G17,$D$5:$D$24,0)),"")</f>
        <v/>
      </c>
      <c r="J17" s="11">
        <f>IF(I17="",NA(),SUM($I$5:I17)/SUM($I$5:$I$24))</f>
        <v/>
      </c>
      <c r="K17" s="15">
        <f>IF(I17="",NA(),0.8)</f>
        <v/>
      </c>
    </row>
    <row r="18">
      <c r="A18" s="16" t="n"/>
      <c r="B18" s="16" t="n"/>
      <c r="C18" s="11">
        <f>IF(OR(B18="",SUM($B$5:$B$24)=0),"",B18/SUM($B$5:$B$24))</f>
        <v/>
      </c>
      <c r="D18" s="12">
        <f>IF(B18="","",RANK(B18,$B$5:$B$24,0)+COUNTIF($B$5:B18,B18)-1)</f>
        <v/>
      </c>
      <c r="E18" s="16" t="n"/>
      <c r="G18" s="7" t="n">
        <v>14</v>
      </c>
      <c r="H18" s="13">
        <f>IFERROR(INDEX($A$5:$A$24,MATCH(G18,$D$5:$D$24,0)),"")</f>
        <v/>
      </c>
      <c r="I18" s="14">
        <f>IFERROR(INDEX($B$5:$B$24,MATCH(G18,$D$5:$D$24,0)),"")</f>
        <v/>
      </c>
      <c r="J18" s="11">
        <f>IF(I18="",NA(),SUM($I$5:I18)/SUM($I$5:$I$24))</f>
        <v/>
      </c>
      <c r="K18" s="15">
        <f>IF(I18="",NA(),0.8)</f>
        <v/>
      </c>
    </row>
    <row r="19">
      <c r="A19" s="16" t="n"/>
      <c r="B19" s="16" t="n"/>
      <c r="C19" s="11">
        <f>IF(OR(B19="",SUM($B$5:$B$24)=0),"",B19/SUM($B$5:$B$24))</f>
        <v/>
      </c>
      <c r="D19" s="12">
        <f>IF(B19="","",RANK(B19,$B$5:$B$24,0)+COUNTIF($B$5:B19,B19)-1)</f>
        <v/>
      </c>
      <c r="E19" s="16" t="n"/>
      <c r="G19" s="7" t="n">
        <v>15</v>
      </c>
      <c r="H19" s="13">
        <f>IFERROR(INDEX($A$5:$A$24,MATCH(G19,$D$5:$D$24,0)),"")</f>
        <v/>
      </c>
      <c r="I19" s="14">
        <f>IFERROR(INDEX($B$5:$B$24,MATCH(G19,$D$5:$D$24,0)),"")</f>
        <v/>
      </c>
      <c r="J19" s="11">
        <f>IF(I19="",NA(),SUM($I$5:I19)/SUM($I$5:$I$24))</f>
        <v/>
      </c>
      <c r="K19" s="15">
        <f>IF(I19="",NA(),0.8)</f>
        <v/>
      </c>
    </row>
    <row r="20">
      <c r="A20" s="16" t="n"/>
      <c r="B20" s="16" t="n"/>
      <c r="C20" s="11">
        <f>IF(OR(B20="",SUM($B$5:$B$24)=0),"",B20/SUM($B$5:$B$24))</f>
        <v/>
      </c>
      <c r="D20" s="12">
        <f>IF(B20="","",RANK(B20,$B$5:$B$24,0)+COUNTIF($B$5:B20,B20)-1)</f>
        <v/>
      </c>
      <c r="E20" s="16" t="n"/>
      <c r="G20" s="7" t="n">
        <v>16</v>
      </c>
      <c r="H20" s="13">
        <f>IFERROR(INDEX($A$5:$A$24,MATCH(G20,$D$5:$D$24,0)),"")</f>
        <v/>
      </c>
      <c r="I20" s="14">
        <f>IFERROR(INDEX($B$5:$B$24,MATCH(G20,$D$5:$D$24,0)),"")</f>
        <v/>
      </c>
      <c r="J20" s="11">
        <f>IF(I20="",NA(),SUM($I$5:I20)/SUM($I$5:$I$24))</f>
        <v/>
      </c>
      <c r="K20" s="15">
        <f>IF(I20="",NA(),0.8)</f>
        <v/>
      </c>
    </row>
    <row r="21">
      <c r="A21" s="16" t="n"/>
      <c r="B21" s="16" t="n"/>
      <c r="C21" s="11">
        <f>IF(OR(B21="",SUM($B$5:$B$24)=0),"",B21/SUM($B$5:$B$24))</f>
        <v/>
      </c>
      <c r="D21" s="12">
        <f>IF(B21="","",RANK(B21,$B$5:$B$24,0)+COUNTIF($B$5:B21,B21)-1)</f>
        <v/>
      </c>
      <c r="E21" s="16" t="n"/>
      <c r="G21" s="7" t="n">
        <v>17</v>
      </c>
      <c r="H21" s="13">
        <f>IFERROR(INDEX($A$5:$A$24,MATCH(G21,$D$5:$D$24,0)),"")</f>
        <v/>
      </c>
      <c r="I21" s="14">
        <f>IFERROR(INDEX($B$5:$B$24,MATCH(G21,$D$5:$D$24,0)),"")</f>
        <v/>
      </c>
      <c r="J21" s="11">
        <f>IF(I21="",NA(),SUM($I$5:I21)/SUM($I$5:$I$24))</f>
        <v/>
      </c>
      <c r="K21" s="15">
        <f>IF(I21="",NA(),0.8)</f>
        <v/>
      </c>
    </row>
    <row r="22">
      <c r="A22" s="16" t="n"/>
      <c r="B22" s="16" t="n"/>
      <c r="C22" s="11">
        <f>IF(OR(B22="",SUM($B$5:$B$24)=0),"",B22/SUM($B$5:$B$24))</f>
        <v/>
      </c>
      <c r="D22" s="12">
        <f>IF(B22="","",RANK(B22,$B$5:$B$24,0)+COUNTIF($B$5:B22,B22)-1)</f>
        <v/>
      </c>
      <c r="E22" s="16" t="n"/>
      <c r="G22" s="7" t="n">
        <v>18</v>
      </c>
      <c r="H22" s="13">
        <f>IFERROR(INDEX($A$5:$A$24,MATCH(G22,$D$5:$D$24,0)),"")</f>
        <v/>
      </c>
      <c r="I22" s="14">
        <f>IFERROR(INDEX($B$5:$B$24,MATCH(G22,$D$5:$D$24,0)),"")</f>
        <v/>
      </c>
      <c r="J22" s="11">
        <f>IF(I22="",NA(),SUM($I$5:I22)/SUM($I$5:$I$24))</f>
        <v/>
      </c>
      <c r="K22" s="15">
        <f>IF(I22="",NA(),0.8)</f>
        <v/>
      </c>
    </row>
    <row r="23">
      <c r="A23" s="16" t="n"/>
      <c r="B23" s="16" t="n"/>
      <c r="C23" s="11">
        <f>IF(OR(B23="",SUM($B$5:$B$24)=0),"",B23/SUM($B$5:$B$24))</f>
        <v/>
      </c>
      <c r="D23" s="12">
        <f>IF(B23="","",RANK(B23,$B$5:$B$24,0)+COUNTIF($B$5:B23,B23)-1)</f>
        <v/>
      </c>
      <c r="E23" s="16" t="n"/>
      <c r="G23" s="7" t="n">
        <v>19</v>
      </c>
      <c r="H23" s="13">
        <f>IFERROR(INDEX($A$5:$A$24,MATCH(G23,$D$5:$D$24,0)),"")</f>
        <v/>
      </c>
      <c r="I23" s="14">
        <f>IFERROR(INDEX($B$5:$B$24,MATCH(G23,$D$5:$D$24,0)),"")</f>
        <v/>
      </c>
      <c r="J23" s="11">
        <f>IF(I23="",NA(),SUM($I$5:I23)/SUM($I$5:$I$24))</f>
        <v/>
      </c>
      <c r="K23" s="15">
        <f>IF(I23="",NA(),0.8)</f>
        <v/>
      </c>
    </row>
    <row r="24">
      <c r="A24" s="16" t="n"/>
      <c r="B24" s="16" t="n"/>
      <c r="C24" s="11">
        <f>IF(OR(B24="",SUM($B$5:$B$24)=0),"",B24/SUM($B$5:$B$24))</f>
        <v/>
      </c>
      <c r="D24" s="12">
        <f>IF(B24="","",RANK(B24,$B$5:$B$24,0)+COUNTIF($B$5:B24,B24)-1)</f>
        <v/>
      </c>
      <c r="E24" s="16" t="n"/>
      <c r="G24" s="7" t="n">
        <v>20</v>
      </c>
      <c r="H24" s="13">
        <f>IFERROR(INDEX($A$5:$A$24,MATCH(G24,$D$5:$D$24,0)),"")</f>
        <v/>
      </c>
      <c r="I24" s="14">
        <f>IFERROR(INDEX($B$5:$B$24,MATCH(G24,$D$5:$D$24,0)),"")</f>
        <v/>
      </c>
      <c r="J24" s="11">
        <f>IF(I24="",NA(),SUM($I$5:I24)/SUM($I$5:$I$24))</f>
        <v/>
      </c>
      <c r="K24" s="15">
        <f>IF(I24="",NA(),0.8)</f>
        <v/>
      </c>
    </row>
    <row r="25" ht="90" customHeight="1">
      <c r="A25" s="17"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18" t="inlineStr">
        <is>
          <t>SUMMARY</t>
        </is>
      </c>
      <c r="B26" s="19" t="n"/>
      <c r="C26" s="19" t="n"/>
      <c r="D26" s="19" t="n"/>
      <c r="E26" s="19" t="n"/>
    </row>
    <row r="27" ht="77" customHeight="1">
      <c r="A27" s="20" t="inlineStr">
        <is>
          <t>Total</t>
        </is>
      </c>
      <c r="C27" s="13">
        <f>SUM(B5:B24)</f>
        <v/>
      </c>
      <c r="N27" s="4" t="inlineStr">
        <is>
          <t>HOW TO READ IT.  Bars ranked, line cumulative. The top category runs 42.7% and the top two reach 66.8%, so two of them carry two-thirds of the volume. Where the line crosses 80% is the set worth working on. A flat Pareto with no clear break means the categories are wrong, not that the problem is evenly spread.
SO:  Scope the project to the categories left of the 80% crossing — two of them here — and leave the tail alone. If the bars are flat with no clear break, re-cut the categories before starting: a flat Pareto means the categories are wrong, not that the problem is evenly spread.</t>
        </is>
      </c>
    </row>
    <row r="28">
      <c r="A28" s="20" t="inlineStr">
        <is>
          <t>Categories</t>
        </is>
      </c>
      <c r="C28" s="13">
        <f>COUNTA(A5:A24)</f>
        <v/>
      </c>
    </row>
    <row r="29">
      <c r="A29" s="20" t="inlineStr">
        <is>
          <t>Share explained by the top three</t>
        </is>
      </c>
      <c r="C29" s="11">
        <f>IFERROR(SUM(I5:I7)/SUM(I5:I24),"")</f>
        <v/>
      </c>
    </row>
    <row r="30"/>
    <row r="31">
      <c r="A31" s="7"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10">
    <mergeCell ref="G3:K3"/>
    <mergeCell ref="A26:E26"/>
    <mergeCell ref="A29:B29"/>
    <mergeCell ref="A2:E2"/>
    <mergeCell ref="A25:E25"/>
    <mergeCell ref="A28:B28"/>
    <mergeCell ref="N27:V27"/>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N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26" customHeight="1">
      <c r="A1" s="5" t="inlineStr">
        <is>
          <t>Is this data the shape you assumed?</t>
        </is>
      </c>
      <c r="B1" s="6" t="n"/>
      <c r="C1" s="6" t="n"/>
      <c r="D1" s="6" t="n"/>
    </row>
    <row r="2">
      <c r="A2" s="7" t="inlineStr">
        <is>
          <t>Normality assessment for support data. Support durations are right-skewed: the mean flatters you, the median and p90 do not. Read the skew before you pick a test — a two-sample t-test on data this shaped will mislead you, and the non-parametric equivalent will not. This tab gives you in numbers what a histogram or a boxplot would show you in a picture: where the middle sits, how far the tail runs, and whether the two disagree. It does not draw either one — plot those in your BI tool or notebook and read them beside this.</t>
        </is>
      </c>
    </row>
    <row r="3"/>
    <row r="4">
      <c r="A4" s="7" t="inlineStr">
        <is>
          <t>Paste your values into column B</t>
        </is>
      </c>
    </row>
    <row r="5" ht="30" customHeight="1">
      <c r="A5" s="9" t="inlineStr">
        <is>
          <t>Statistic</t>
        </is>
      </c>
      <c r="B5" s="9" t="inlineStr">
        <is>
          <t>Value</t>
        </is>
      </c>
      <c r="C5" s="9" t="inlineStr"/>
      <c r="D5" s="9" t="inlineStr">
        <is>
          <t>What it tells you</t>
        </is>
      </c>
    </row>
    <row r="6">
      <c r="A6" s="20" t="inlineStr">
        <is>
          <t>Count</t>
        </is>
      </c>
      <c r="B6" s="21">
        <f>COUNT($B$20:$B$1000)</f>
        <v/>
      </c>
      <c r="D6" s="22" t="inlineStr">
        <is>
          <t>How many values you pasted.</t>
        </is>
      </c>
    </row>
    <row r="7">
      <c r="A7" s="20" t="inlineStr">
        <is>
          <t>Mean</t>
        </is>
      </c>
      <c r="B7" s="21">
        <f>IFERROR(AVERAGE($B$20:$B$1000),"")</f>
        <v/>
      </c>
      <c r="D7" s="22" t="inlineStr">
        <is>
          <t>Dragged upward by the long tail. Rarely the number to quote.</t>
        </is>
      </c>
    </row>
    <row r="8">
      <c r="A8" s="20" t="inlineStr">
        <is>
          <t>Median (p50)</t>
        </is>
      </c>
      <c r="B8" s="21">
        <f>IFERROR(MEDIAN($B$20:$B$1000),"")</f>
        <v/>
      </c>
      <c r="D8" s="22" t="inlineStr">
        <is>
          <t>The typical experience. Quote this.</t>
        </is>
      </c>
    </row>
    <row r="9">
      <c r="A9" s="20" t="inlineStr">
        <is>
          <t>p90</t>
        </is>
      </c>
      <c r="B9" s="21">
        <f>IFERROR(PERCENTILE($B$20:$B$1000,0.9),"")</f>
        <v/>
      </c>
      <c r="D9" s="22" t="inlineStr">
        <is>
          <t>What your worst-served customers get. This is what generates complaints.</t>
        </is>
      </c>
    </row>
    <row r="10">
      <c r="A10" s="20" t="inlineStr">
        <is>
          <t>Standard deviation</t>
        </is>
      </c>
      <c r="B10" s="21">
        <f>IFERROR(STDEV($B$20:$B$1000),"")</f>
        <v/>
      </c>
      <c r="D10" s="22" t="inlineStr">
        <is>
          <t>Assumes symmetry, so it describes skewed data poorly.</t>
        </is>
      </c>
    </row>
    <row r="11">
      <c r="A11" s="20" t="inlineStr">
        <is>
          <t>Interquartile range</t>
        </is>
      </c>
      <c r="B11" s="21">
        <f>IFERROR(QUARTILE($B$20:$B$1000,3)-QUARTILE($B$20:$B$1000,1),"")</f>
        <v/>
      </c>
      <c r="D11" s="22" t="inlineStr">
        <is>
          <t>The middle half. A better spread measure for this data.</t>
        </is>
      </c>
    </row>
    <row r="12">
      <c r="A12" s="20" t="inlineStr">
        <is>
          <t>Mean ÷ median</t>
        </is>
      </c>
      <c r="B12" s="21">
        <f>IFERROR(AVERAGE($B$20:$B$1000)/MEDIAN($B$20:$B$1000),"")</f>
        <v/>
      </c>
      <c r="D12" s="22" t="inlineStr">
        <is>
          <t>Above about 1.2 means meaningful right skew — use non-parametric tests and quote percentiles.</t>
        </is>
      </c>
    </row>
    <row r="13"/>
    <row r="14">
      <c r="A14" s="13" t="inlineStr">
        <is>
          <t>VERDICT</t>
        </is>
      </c>
      <c r="B14" s="19" t="n"/>
      <c r="C14" s="19" t="n"/>
      <c r="D14" s="19" t="n"/>
    </row>
    <row r="15">
      <c r="A15" s="23">
        <f>IF(COUNT($B$20:$B$1000)=0,"Paste your data into column B below.",IF(AVERAGE($B$20:$B$1000)/MEDIAN($B$20:$B$1000)&gt;1.2,"RIGHT-SKEWED — quote the median and p90, and prefer non-parametric tests.","ROUGHLY SYMMETRIC — the mean and a parametric test are defensible."))</f>
        <v/>
      </c>
    </row>
    <row r="16"/>
    <row r="17"/>
    <row r="18">
      <c r="A18" s="20" t="inlineStr">
        <is>
          <t>Your data</t>
        </is>
      </c>
      <c r="F18" s="20" t="inlineStr">
        <is>
          <t>What you would quote</t>
        </is>
      </c>
    </row>
    <row r="19">
      <c r="B19" s="7" t="inlineStr">
        <is>
          <t>Values ↓</t>
        </is>
      </c>
      <c r="F19" s="7" t="inlineStr">
        <is>
          <t>Mean</t>
        </is>
      </c>
      <c r="G19" s="14">
        <f>IFERROR(AVERAGE($B$20:$B$1000),"")</f>
        <v/>
      </c>
    </row>
    <row r="20">
      <c r="B20" s="24" t="n">
        <v>182</v>
      </c>
      <c r="F20" s="7" t="inlineStr">
        <is>
          <t>Median (p50)</t>
        </is>
      </c>
      <c r="G20" s="14">
        <f>IFERROR(MEDIAN($B$20:$B$1000),"")</f>
        <v/>
      </c>
    </row>
    <row r="21">
      <c r="B21" s="24" t="n">
        <v>201</v>
      </c>
      <c r="F21" s="7" t="inlineStr">
        <is>
          <t>p90</t>
        </is>
      </c>
      <c r="G21" s="14">
        <f>IFERROR(PERCENTILE($B$20:$B$1000,0.9),"")</f>
        <v/>
      </c>
    </row>
    <row r="22">
      <c r="B22" s="24" t="n">
        <v>214</v>
      </c>
    </row>
    <row r="23">
      <c r="B23" s="24" t="n">
        <v>227</v>
      </c>
    </row>
    <row r="24">
      <c r="B24" s="24" t="n">
        <v>236</v>
      </c>
    </row>
    <row r="25">
      <c r="B25" s="24" t="n">
        <v>241</v>
      </c>
    </row>
    <row r="26">
      <c r="B26" s="24" t="n">
        <v>248</v>
      </c>
    </row>
    <row r="27">
      <c r="B27" s="24" t="n">
        <v>255</v>
      </c>
    </row>
    <row r="28">
      <c r="B28" s="24" t="n">
        <v>259</v>
      </c>
    </row>
    <row r="29">
      <c r="B29" s="24" t="n">
        <v>263</v>
      </c>
    </row>
    <row r="30">
      <c r="B30" s="24" t="n">
        <v>268</v>
      </c>
    </row>
    <row r="31">
      <c r="B31" s="24" t="n">
        <v>272</v>
      </c>
    </row>
    <row r="32">
      <c r="B32" s="24" t="n">
        <v>277</v>
      </c>
    </row>
    <row r="33">
      <c r="B33" s="24" t="n">
        <v>281</v>
      </c>
    </row>
    <row r="34">
      <c r="B34" s="24" t="n">
        <v>286</v>
      </c>
    </row>
    <row r="35">
      <c r="B35" s="24" t="n">
        <v>292</v>
      </c>
    </row>
    <row r="36">
      <c r="B36" s="24" t="n">
        <v>298</v>
      </c>
    </row>
    <row r="37">
      <c r="B37" s="24" t="n">
        <v>305</v>
      </c>
    </row>
    <row r="38">
      <c r="B38" s="24" t="n">
        <v>311</v>
      </c>
    </row>
    <row r="39">
      <c r="B39" s="24" t="n">
        <v>318</v>
      </c>
    </row>
    <row r="40" ht="66" customHeight="1">
      <c r="B40" s="24" t="n">
        <v>326</v>
      </c>
      <c r="F40" s="4" t="inlineStr">
        <is>
          <t>HOW TO READ IT.  Three markers on one axis. The gap between mean and median is the skew, and the distance out to p90 is what your customers actually feel. If the mean sits well below the median you are quoting a number almost nobody experiences — report the median and the p90 together, or report neither.
SO:  Quote the median and the p90 together in every report, and retire the mean. If a target is written against the mean, renegotiate it — the tail is what customers escalate about.</t>
        </is>
      </c>
    </row>
    <row r="41">
      <c r="B41" s="24" t="n">
        <v>335</v>
      </c>
    </row>
    <row r="42">
      <c r="B42" s="24" t="n">
        <v>346</v>
      </c>
    </row>
    <row r="43">
      <c r="B43" s="24" t="n">
        <v>358</v>
      </c>
    </row>
    <row r="44">
      <c r="B44" s="24" t="n">
        <v>372</v>
      </c>
    </row>
    <row r="45">
      <c r="B45" s="24" t="n">
        <v>389</v>
      </c>
    </row>
    <row r="46">
      <c r="B46" s="24" t="n">
        <v>408</v>
      </c>
    </row>
    <row r="47">
      <c r="B47" s="24" t="n">
        <v>431</v>
      </c>
    </row>
    <row r="48">
      <c r="B48" s="24" t="n">
        <v>459</v>
      </c>
    </row>
    <row r="49">
      <c r="B49" s="24" t="n">
        <v>494</v>
      </c>
    </row>
    <row r="50">
      <c r="B50" s="24" t="n">
        <v>538</v>
      </c>
    </row>
    <row r="51">
      <c r="B51" s="24" t="n">
        <v>594</v>
      </c>
    </row>
    <row r="52">
      <c r="B52" s="24" t="n">
        <v>668</v>
      </c>
    </row>
    <row r="53">
      <c r="B53" s="24" t="n">
        <v>771</v>
      </c>
    </row>
    <row r="54">
      <c r="B54" s="24" t="n">
        <v>918</v>
      </c>
    </row>
    <row r="55">
      <c r="B55" s="24" t="n">
        <v>1140</v>
      </c>
    </row>
    <row r="56">
      <c r="B56" s="24" t="n">
        <v>1502</v>
      </c>
    </row>
    <row r="57">
      <c r="B57" s="24" t="n">
        <v>2160</v>
      </c>
    </row>
    <row r="58">
      <c r="B58" s="24" t="n">
        <v>3480</v>
      </c>
    </row>
    <row r="59">
      <c r="B59" s="24" t="n">
        <v>5220</v>
      </c>
    </row>
  </sheetData>
  <mergeCells count="5">
    <mergeCell ref="A1:D1"/>
    <mergeCell ref="A15:D15"/>
    <mergeCell ref="F40:N40"/>
    <mergeCell ref="A2:D2"/>
    <mergeCell ref="A14:D14"/>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