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0" fontId="0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4" fillId="5" borderId="1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'Pareto'!$A$5:$A$14</f>
            </numRef>
          </cat>
          <val>
            <numRef>
              <f>'Pareto'!$B$5:$B$14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'Pareto'!$D$5:$D$14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44" customWidth="1" min="5" max="5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/>
    <row r="4" ht="30" customHeight="1">
      <c r="A4" s="6" t="inlineStr">
        <is>
          <t>Category</t>
        </is>
      </c>
      <c r="B4" s="6" t="inlineStr">
        <is>
          <t>Count</t>
        </is>
      </c>
      <c r="C4" s="6" t="inlineStr">
        <is>
          <t>Share</t>
        </is>
      </c>
      <c r="D4" s="6" t="inlineStr">
        <is>
          <t>Cumulative</t>
        </is>
      </c>
      <c r="E4" s="6" t="inlineStr">
        <is>
          <t>Validated by reading tickets?</t>
        </is>
      </c>
    </row>
    <row r="5">
      <c r="A5" s="7" t="inlineStr">
        <is>
          <t>Adjustment not posted at closure</t>
        </is>
      </c>
      <c r="B5" s="7" t="n">
        <v>412</v>
      </c>
      <c r="C5" s="8">
        <f>IF(OR(B5="",SUM($B$5:$B$24)=0),"",B5/SUM($B$5:$B$24))</f>
        <v/>
      </c>
      <c r="D5" s="8">
        <f>IF(OR(B5="",SUM($B$5:$B$24)=0),"",SUM($B$5:B5)/SUM($B$5:$B$24))</f>
        <v/>
      </c>
      <c r="E5" s="7" t="n"/>
    </row>
    <row r="6">
      <c r="A6" s="9" t="inlineStr">
        <is>
          <t>Wrong plan applied</t>
        </is>
      </c>
      <c r="B6" s="9" t="n">
        <v>233</v>
      </c>
      <c r="C6" s="10">
        <f>IF(OR(B6="",SUM($B$5:$B$24)=0),"",B6/SUM($B$5:$B$24))</f>
        <v/>
      </c>
      <c r="D6" s="10">
        <f>IF(OR(B6="",SUM($B$5:$B$24)=0),"",SUM($B$5:B6)/SUM($B$5:$B$24))</f>
        <v/>
      </c>
      <c r="E6" s="9" t="n"/>
    </row>
    <row r="7">
      <c r="A7" s="9" t="inlineStr">
        <is>
          <t>Duplicate charge</t>
        </is>
      </c>
      <c r="B7" s="9" t="n">
        <v>151</v>
      </c>
      <c r="C7" s="10">
        <f>IF(OR(B7="",SUM($B$5:$B$24)=0),"",B7/SUM($B$5:$B$24))</f>
        <v/>
      </c>
      <c r="D7" s="10">
        <f>IF(OR(B7="",SUM($B$5:$B$24)=0),"",SUM($B$5:B7)/SUM($B$5:$B$24))</f>
        <v/>
      </c>
      <c r="E7" s="9" t="n"/>
    </row>
    <row r="8">
      <c r="A8" s="9" t="inlineStr">
        <is>
          <t>Proration misunderstood</t>
        </is>
      </c>
      <c r="B8" s="9" t="n">
        <v>96</v>
      </c>
      <c r="C8" s="10">
        <f>IF(OR(B8="",SUM($B$5:$B$24)=0),"",B8/SUM($B$5:$B$24))</f>
        <v/>
      </c>
      <c r="D8" s="10">
        <f>IF(OR(B8="",SUM($B$5:$B$24)=0),"",SUM($B$5:B8)/SUM($B$5:$B$24))</f>
        <v/>
      </c>
      <c r="E8" s="9" t="n"/>
    </row>
    <row r="9">
      <c r="A9" s="9" t="inlineStr">
        <is>
          <t>Refund timing</t>
        </is>
      </c>
      <c r="B9" s="9" t="n">
        <v>74</v>
      </c>
      <c r="C9" s="10">
        <f>IF(OR(B9="",SUM($B$5:$B$24)=0),"",B9/SUM($B$5:$B$24))</f>
        <v/>
      </c>
      <c r="D9" s="10">
        <f>IF(OR(B9="",SUM($B$5:$B$24)=0),"",SUM($B$5:B9)/SUM($B$5:$B$24))</f>
        <v/>
      </c>
      <c r="E9" s="9" t="n"/>
    </row>
    <row r="10">
      <c r="A10" s="9" t="n"/>
      <c r="B10" s="9" t="n"/>
      <c r="C10" s="10">
        <f>IF(OR(B10="",SUM($B$5:$B$24)=0),"",B10/SUM($B$5:$B$24))</f>
        <v/>
      </c>
      <c r="D10" s="10">
        <f>IF(OR(B10="",SUM($B$5:$B$24)=0),"",SUM($B$5:B10)/SUM($B$5:$B$24))</f>
        <v/>
      </c>
      <c r="E10" s="9" t="n"/>
    </row>
    <row r="11">
      <c r="A11" s="9" t="n"/>
      <c r="B11" s="9" t="n"/>
      <c r="C11" s="10">
        <f>IF(OR(B11="",SUM($B$5:$B$24)=0),"",B11/SUM($B$5:$B$24))</f>
        <v/>
      </c>
      <c r="D11" s="10">
        <f>IF(OR(B11="",SUM($B$5:$B$24)=0),"",SUM($B$5:B11)/SUM($B$5:$B$24))</f>
        <v/>
      </c>
      <c r="E11" s="9" t="n"/>
    </row>
    <row r="12">
      <c r="A12" s="9" t="n"/>
      <c r="B12" s="9" t="n"/>
      <c r="C12" s="10">
        <f>IF(OR(B12="",SUM($B$5:$B$24)=0),"",B12/SUM($B$5:$B$24))</f>
        <v/>
      </c>
      <c r="D12" s="10">
        <f>IF(OR(B12="",SUM($B$5:$B$24)=0),"",SUM($B$5:B12)/SUM($B$5:$B$24))</f>
        <v/>
      </c>
      <c r="E12" s="9" t="n"/>
    </row>
    <row r="13">
      <c r="A13" s="9" t="n"/>
      <c r="B13" s="9" t="n"/>
      <c r="C13" s="10">
        <f>IF(OR(B13="",SUM($B$5:$B$24)=0),"",B13/SUM($B$5:$B$24))</f>
        <v/>
      </c>
      <c r="D13" s="10">
        <f>IF(OR(B13="",SUM($B$5:$B$24)=0),"",SUM($B$5:B13)/SUM($B$5:$B$24))</f>
        <v/>
      </c>
      <c r="E13" s="9" t="n"/>
    </row>
    <row r="14">
      <c r="A14" s="9" t="n"/>
      <c r="B14" s="9" t="n"/>
      <c r="C14" s="10">
        <f>IF(OR(B14="",SUM($B$5:$B$24)=0),"",B14/SUM($B$5:$B$24))</f>
        <v/>
      </c>
      <c r="D14" s="10">
        <f>IF(OR(B14="",SUM($B$5:$B$24)=0),"",SUM($B$5:B14)/SUM($B$5:$B$24))</f>
        <v/>
      </c>
      <c r="E14" s="9" t="n"/>
    </row>
    <row r="15">
      <c r="A15" s="9" t="n"/>
      <c r="B15" s="9" t="n"/>
      <c r="C15" s="10">
        <f>IF(OR(B15="",SUM($B$5:$B$24)=0),"",B15/SUM($B$5:$B$24))</f>
        <v/>
      </c>
      <c r="D15" s="10">
        <f>IF(OR(B15="",SUM($B$5:$B$24)=0),"",SUM($B$5:B15)/SUM($B$5:$B$24))</f>
        <v/>
      </c>
      <c r="E15" s="9" t="n"/>
    </row>
    <row r="16">
      <c r="A16" s="9" t="n"/>
      <c r="B16" s="9" t="n"/>
      <c r="C16" s="10">
        <f>IF(OR(B16="",SUM($B$5:$B$24)=0),"",B16/SUM($B$5:$B$24))</f>
        <v/>
      </c>
      <c r="D16" s="10">
        <f>IF(OR(B16="",SUM($B$5:$B$24)=0),"",SUM($B$5:B16)/SUM($B$5:$B$24))</f>
        <v/>
      </c>
      <c r="E16" s="9" t="n"/>
    </row>
    <row r="17">
      <c r="A17" s="9" t="n"/>
      <c r="B17" s="9" t="n"/>
      <c r="C17" s="10">
        <f>IF(OR(B17="",SUM($B$5:$B$24)=0),"",B17/SUM($B$5:$B$24))</f>
        <v/>
      </c>
      <c r="D17" s="10">
        <f>IF(OR(B17="",SUM($B$5:$B$24)=0),"",SUM($B$5:B17)/SUM($B$5:$B$24))</f>
        <v/>
      </c>
      <c r="E17" s="9" t="n"/>
    </row>
    <row r="18">
      <c r="A18" s="9" t="n"/>
      <c r="B18" s="9" t="n"/>
      <c r="C18" s="10">
        <f>IF(OR(B18="",SUM($B$5:$B$24)=0),"",B18/SUM($B$5:$B$24))</f>
        <v/>
      </c>
      <c r="D18" s="10">
        <f>IF(OR(B18="",SUM($B$5:$B$24)=0),"",SUM($B$5:B18)/SUM($B$5:$B$24))</f>
        <v/>
      </c>
      <c r="E18" s="9" t="n"/>
    </row>
    <row r="19">
      <c r="A19" s="9" t="n"/>
      <c r="B19" s="9" t="n"/>
      <c r="C19" s="10">
        <f>IF(OR(B19="",SUM($B$5:$B$24)=0),"",B19/SUM($B$5:$B$24))</f>
        <v/>
      </c>
      <c r="D19" s="10">
        <f>IF(OR(B19="",SUM($B$5:$B$24)=0),"",SUM($B$5:B19)/SUM($B$5:$B$24))</f>
        <v/>
      </c>
      <c r="E19" s="9" t="n"/>
    </row>
    <row r="20">
      <c r="A20" s="9" t="n"/>
      <c r="B20" s="9" t="n"/>
      <c r="C20" s="10">
        <f>IF(OR(B20="",SUM($B$5:$B$24)=0),"",B20/SUM($B$5:$B$24))</f>
        <v/>
      </c>
      <c r="D20" s="10">
        <f>IF(OR(B20="",SUM($B$5:$B$24)=0),"",SUM($B$5:B20)/SUM($B$5:$B$24))</f>
        <v/>
      </c>
      <c r="E20" s="9" t="n"/>
    </row>
    <row r="21">
      <c r="A21" s="9" t="n"/>
      <c r="B21" s="9" t="n"/>
      <c r="C21" s="10">
        <f>IF(OR(B21="",SUM($B$5:$B$24)=0),"",B21/SUM($B$5:$B$24))</f>
        <v/>
      </c>
      <c r="D21" s="10">
        <f>IF(OR(B21="",SUM($B$5:$B$24)=0),"",SUM($B$5:B21)/SUM($B$5:$B$24))</f>
        <v/>
      </c>
      <c r="E21" s="9" t="n"/>
    </row>
    <row r="22">
      <c r="A22" s="9" t="n"/>
      <c r="B22" s="9" t="n"/>
      <c r="C22" s="10">
        <f>IF(OR(B22="",SUM($B$5:$B$24)=0),"",B22/SUM($B$5:$B$24))</f>
        <v/>
      </c>
      <c r="D22" s="10">
        <f>IF(OR(B22="",SUM($B$5:$B$24)=0),"",SUM($B$5:B22)/SUM($B$5:$B$24))</f>
        <v/>
      </c>
      <c r="E22" s="9" t="n"/>
    </row>
    <row r="23">
      <c r="A23" s="9" t="n"/>
      <c r="B23" s="9" t="n"/>
      <c r="C23" s="10">
        <f>IF(OR(B23="",SUM($B$5:$B$24)=0),"",B23/SUM($B$5:$B$24))</f>
        <v/>
      </c>
      <c r="D23" s="10">
        <f>IF(OR(B23="",SUM($B$5:$B$24)=0),"",SUM($B$5:B23)/SUM($B$5:$B$24))</f>
        <v/>
      </c>
      <c r="E23" s="9" t="n"/>
    </row>
    <row r="24">
      <c r="A24" s="9" t="n"/>
      <c r="B24" s="9" t="n"/>
      <c r="C24" s="10">
        <f>IF(OR(B24="",SUM($B$5:$B$24)=0),"",B24/SUM($B$5:$B$24))</f>
        <v/>
      </c>
      <c r="D24" s="10">
        <f>IF(OR(B24="",SUM($B$5:$B$24)=0),"",SUM($B$5:B24)/SUM($B$5:$B$24))</f>
        <v/>
      </c>
      <c r="E24" s="9" t="n"/>
    </row>
    <row r="26">
      <c r="A26" s="11" t="inlineStr">
        <is>
          <t>SUMMARY</t>
        </is>
      </c>
      <c r="B26" s="12" t="n"/>
      <c r="C26" s="12" t="n"/>
      <c r="D26" s="12" t="n"/>
      <c r="E26" s="12" t="n"/>
    </row>
    <row r="27">
      <c r="A27" s="13" t="inlineStr">
        <is>
          <t>Total</t>
        </is>
      </c>
      <c r="C27" s="14">
        <f>SUM(B5:B24)</f>
        <v/>
      </c>
    </row>
    <row r="28">
      <c r="A28" s="13" t="inlineStr">
        <is>
          <t>Categories</t>
        </is>
      </c>
      <c r="C28" s="14">
        <f>COUNTA(A5:A24)</f>
        <v/>
      </c>
    </row>
    <row r="29">
      <c r="A29" s="13" t="inlineStr">
        <is>
          <t>Share explained by the top three</t>
        </is>
      </c>
      <c r="C29" s="10">
        <f>IFERROR(SUM(B5:B7)/SUM(B5:B24),"")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6" t="inlineStr">
        <is>
          <t>Statistic</t>
        </is>
      </c>
      <c r="B5" s="6" t="inlineStr">
        <is>
          <t>Value</t>
        </is>
      </c>
      <c r="C5" s="6" t="inlineStr"/>
      <c r="D5" s="6" t="inlineStr">
        <is>
          <t>What it tells you</t>
        </is>
      </c>
    </row>
    <row r="6">
      <c r="A6" s="13" t="inlineStr">
        <is>
          <t>Count</t>
        </is>
      </c>
      <c r="B6" s="15">
        <f>COUNT($B$20:$B$1000)</f>
        <v/>
      </c>
      <c r="D6" s="16" t="inlineStr">
        <is>
          <t>How many values you pasted.</t>
        </is>
      </c>
    </row>
    <row r="7">
      <c r="A7" s="13" t="inlineStr">
        <is>
          <t>Mean</t>
        </is>
      </c>
      <c r="B7" s="15">
        <f>IFERROR(AVERAGE($B$20:$B$1000),"")</f>
        <v/>
      </c>
      <c r="D7" s="16" t="inlineStr">
        <is>
          <t>Dragged upward by the long tail. Rarely the number to quote.</t>
        </is>
      </c>
    </row>
    <row r="8">
      <c r="A8" s="13" t="inlineStr">
        <is>
          <t>Median (p50)</t>
        </is>
      </c>
      <c r="B8" s="15">
        <f>IFERROR(MEDIAN($B$20:$B$1000),"")</f>
        <v/>
      </c>
      <c r="D8" s="16" t="inlineStr">
        <is>
          <t>The typical experience. Quote this.</t>
        </is>
      </c>
    </row>
    <row r="9">
      <c r="A9" s="13" t="inlineStr">
        <is>
          <t>p90</t>
        </is>
      </c>
      <c r="B9" s="15">
        <f>IFERROR(PERCENTILE($B$20:$B$1000,0.9),"")</f>
        <v/>
      </c>
      <c r="D9" s="16" t="inlineStr">
        <is>
          <t>What your worst-served customers get. This is what generates complaints.</t>
        </is>
      </c>
    </row>
    <row r="10">
      <c r="A10" s="13" t="inlineStr">
        <is>
          <t>Standard deviation</t>
        </is>
      </c>
      <c r="B10" s="15">
        <f>IFERROR(STDEV($B$20:$B$1000),"")</f>
        <v/>
      </c>
      <c r="D10" s="16" t="inlineStr">
        <is>
          <t>Assumes symmetry, so it describes skewed data poorly.</t>
        </is>
      </c>
    </row>
    <row r="11">
      <c r="A11" s="13" t="inlineStr">
        <is>
          <t>Interquartile range</t>
        </is>
      </c>
      <c r="B11" s="15">
        <f>IFERROR(QUARTILE($B$20:$B$1000,3)-QUARTILE($B$20:$B$1000,1),"")</f>
        <v/>
      </c>
      <c r="D11" s="16" t="inlineStr">
        <is>
          <t>The middle half. A better spread measure for this data.</t>
        </is>
      </c>
    </row>
    <row r="12">
      <c r="A12" s="13" t="inlineStr">
        <is>
          <t>Mean ÷ median</t>
        </is>
      </c>
      <c r="B12" s="15">
        <f>IFERROR(AVERAGE($B$20:$B$1000)/MEDIAN($B$20:$B$1000),"")</f>
        <v/>
      </c>
      <c r="D12" s="16" t="inlineStr">
        <is>
          <t>Above about 1.2 means meaningful right skew — use non-parametric tests and quote percentiles.</t>
        </is>
      </c>
    </row>
    <row r="14">
      <c r="A14" s="14" t="inlineStr">
        <is>
          <t>VERDICT</t>
        </is>
      </c>
      <c r="B14" s="12" t="n"/>
      <c r="C14" s="12" t="n"/>
      <c r="D14" s="12" t="n"/>
    </row>
    <row r="15">
      <c r="A15" s="17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3" t="inlineStr">
        <is>
          <t>Your data</t>
        </is>
      </c>
    </row>
    <row r="19">
      <c r="B19" s="5" t="inlineStr">
        <is>
          <t>Values ↓</t>
        </is>
      </c>
    </row>
    <row r="20">
      <c r="B20" s="9" t="n"/>
    </row>
    <row r="21">
      <c r="B21" s="9" t="n"/>
    </row>
    <row r="22">
      <c r="B22" s="9" t="n"/>
    </row>
    <row r="23">
      <c r="B23" s="9" t="n"/>
    </row>
    <row r="24">
      <c r="B24" s="9" t="n"/>
    </row>
    <row r="25">
      <c r="B25" s="9" t="n"/>
    </row>
    <row r="26">
      <c r="B26" s="9" t="n"/>
    </row>
    <row r="27">
      <c r="B27" s="9" t="n"/>
    </row>
    <row r="28">
      <c r="B28" s="9" t="n"/>
    </row>
    <row r="29">
      <c r="B29" s="9" t="n"/>
    </row>
    <row r="30">
      <c r="B30" s="9" t="n"/>
    </row>
    <row r="31">
      <c r="B31" s="9" t="n"/>
    </row>
    <row r="32">
      <c r="B32" s="9" t="n"/>
    </row>
    <row r="33">
      <c r="B33" s="9" t="n"/>
    </row>
    <row r="34">
      <c r="B34" s="9" t="n"/>
    </row>
    <row r="35">
      <c r="B35" s="9" t="n"/>
    </row>
    <row r="36">
      <c r="B36" s="9" t="n"/>
    </row>
    <row r="37">
      <c r="B37" s="9" t="n"/>
    </row>
    <row r="38">
      <c r="B38" s="9" t="n"/>
    </row>
    <row r="39">
      <c r="B39" s="9" t="n"/>
    </row>
    <row r="40">
      <c r="B40" s="9" t="n"/>
    </row>
    <row r="41">
      <c r="B41" s="9" t="n"/>
    </row>
    <row r="42">
      <c r="B42" s="9" t="n"/>
    </row>
    <row r="43">
      <c r="B43" s="9" t="n"/>
    </row>
    <row r="44">
      <c r="B44" s="9" t="n"/>
    </row>
    <row r="45">
      <c r="B45" s="9" t="n"/>
    </row>
    <row r="46">
      <c r="B46" s="9" t="n"/>
    </row>
    <row r="47">
      <c r="B47" s="9" t="n"/>
    </row>
    <row r="48">
      <c r="B48" s="9" t="n"/>
    </row>
    <row r="49">
      <c r="B49" s="9" t="n"/>
    </row>
    <row r="50">
      <c r="B50" s="9" t="n"/>
    </row>
    <row r="51">
      <c r="B51" s="9" t="n"/>
    </row>
    <row r="52">
      <c r="B52" s="9" t="n"/>
    </row>
    <row r="53">
      <c r="B53" s="9" t="n"/>
    </row>
    <row r="54">
      <c r="B54" s="9" t="n"/>
    </row>
    <row r="55">
      <c r="B55" s="9" t="n"/>
    </row>
    <row r="56">
      <c r="B56" s="9" t="n"/>
    </row>
    <row r="57">
      <c r="B57" s="9" t="n"/>
    </row>
    <row r="58">
      <c r="B58" s="9" t="n"/>
    </row>
    <row r="59">
      <c r="B59" s="9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2026-07-31T23:20:05Z</dcterms:created>
  <dcterms:modified xsi:type="dcterms:W3CDTF">2026-07-31T23:20:05Z</dcterms:modified>
</cp:coreProperties>
</file>