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Gage R&amp;R study"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0000"/>
    <numFmt numFmtId="166" formatCode="0.00000"/>
    <numFmt numFmtId="167" formatCode="0.0%"/>
    <numFmt numFmtId="168" formatCode="0.000"/>
  </numFmts>
  <fonts count="9">
    <font>
      <name val="Calibri"/>
      <family val="2"/>
      <color theme="1"/>
      <sz val="11"/>
      <scheme val="minor"/>
    </font>
    <font>
      <b val="1"/>
      <color rgb="FFFFFFFF"/>
      <sz val="15"/>
    </font>
    <font>
      <i val="1"/>
      <color rgb="FF6B7280"/>
      <sz val="9"/>
    </font>
    <font>
      <b val="1"/>
      <sz val="11"/>
    </font>
    <font>
      <b val="1"/>
      <color rgb="FFFFFFFF"/>
      <sz val="10"/>
    </font>
    <font>
      <color rgb="FF1D4ED8"/>
      <sz val="11"/>
    </font>
    <font>
      <sz val="11"/>
    </font>
    <font>
      <i val="1"/>
      <color rgb="FF4B5563"/>
      <sz val="9"/>
    </font>
    <font>
      <b val="1"/>
      <sz val="10"/>
    </font>
  </fonts>
  <fills count="8">
    <fill>
      <patternFill/>
    </fill>
    <fill>
      <patternFill patternType="gray125"/>
    </fill>
    <fill>
      <patternFill patternType="solid">
        <fgColor rgb="FF151B24"/>
      </patternFill>
    </fill>
    <fill>
      <patternFill patternType="solid">
        <fgColor rgb="FFEEF1F6"/>
      </patternFill>
    </fill>
    <fill>
      <patternFill patternType="solid">
        <fgColor rgb="FFFFF9E3"/>
      </patternFill>
    </fill>
    <fill>
      <patternFill patternType="solid">
        <fgColor rgb="FF333C49"/>
      </patternFill>
    </fill>
    <fill>
      <patternFill patternType="solid">
        <fgColor rgb="FFF2F7FF"/>
      </patternFill>
    </fill>
    <fill>
      <patternFill patternType="solid">
        <fgColor rgb="FFECFAEF"/>
      </patternFill>
    </fill>
  </fills>
  <borders count="2">
    <border>
      <left/>
      <right/>
      <top/>
      <bottom/>
      <diagonal/>
    </border>
    <border>
      <bottom style="thin">
        <color rgb="FFD8DEE7"/>
      </bottom>
    </border>
  </borders>
  <cellStyleXfs count="1">
    <xf numFmtId="0" fontId="0" fillId="0" borderId="0"/>
  </cellStyleXfs>
  <cellXfs count="27">
    <xf numFmtId="0" fontId="0" fillId="0" borderId="0" pivotButton="0" quotePrefix="0" xfId="0"/>
    <xf numFmtId="0" fontId="3" fillId="0" borderId="0" applyAlignment="1" pivotButton="0" quotePrefix="0" xfId="0">
      <alignment vertical="top" wrapText="1"/>
    </xf>
    <xf numFmtId="0" fontId="6" fillId="0" borderId="0" applyAlignment="1" pivotButton="0" quotePrefix="0" xfId="0">
      <alignment vertical="top" wrapText="1"/>
    </xf>
    <xf numFmtId="0" fontId="8" fillId="0" borderId="0" applyAlignment="1" pivotButton="0" quotePrefix="0" xfId="0">
      <alignment vertical="top" wrapText="1"/>
    </xf>
    <xf numFmtId="0" fontId="7" fillId="0" borderId="0" applyAlignment="1" pivotButton="0" quotePrefix="0" xfId="0">
      <alignment vertical="top" wrapText="1"/>
    </xf>
    <xf numFmtId="0" fontId="1" fillId="2" borderId="0" pivotButton="0" quotePrefix="0" xfId="0"/>
    <xf numFmtId="0" fontId="0" fillId="2" borderId="0" pivotButton="0" quotePrefix="0" xfId="0"/>
    <xf numFmtId="0" fontId="2" fillId="0" borderId="0" pivotButton="0" quotePrefix="0" xfId="0"/>
    <xf numFmtId="0" fontId="3" fillId="3" borderId="0" pivotButton="0" quotePrefix="0" xfId="0"/>
    <xf numFmtId="0" fontId="0" fillId="3" borderId="0" pivotButton="0" quotePrefix="0" xfId="0"/>
    <xf numFmtId="0" fontId="3" fillId="0" borderId="0" pivotButton="0" quotePrefix="0" xfId="0"/>
    <xf numFmtId="0" fontId="0" fillId="4" borderId="1" pivotButton="0" quotePrefix="0" xfId="0"/>
    <xf numFmtId="0" fontId="2" fillId="0" borderId="0" applyAlignment="1" pivotButton="0" quotePrefix="0" xfId="0">
      <alignment vertical="center" wrapText="1"/>
    </xf>
    <xf numFmtId="1" fontId="0" fillId="4" borderId="1" pivotButton="0" quotePrefix="0" xfId="0"/>
    <xf numFmtId="164" fontId="0" fillId="4" borderId="1" pivotButton="0" quotePrefix="0" xfId="0"/>
    <xf numFmtId="0" fontId="3" fillId="3" borderId="0" applyAlignment="1" pivotButton="0" quotePrefix="0" xfId="0">
      <alignment vertical="center" wrapText="1"/>
    </xf>
    <xf numFmtId="0" fontId="4" fillId="5" borderId="0" applyAlignment="1" pivotButton="0" quotePrefix="0" xfId="0">
      <alignment vertical="center" wrapText="1"/>
    </xf>
    <xf numFmtId="2" fontId="0" fillId="7" borderId="1" pivotButton="0" quotePrefix="0" xfId="0"/>
    <xf numFmtId="2" fontId="5" fillId="6" borderId="1" pivotButton="0" quotePrefix="0" xfId="0"/>
    <xf numFmtId="165" fontId="5" fillId="6" borderId="1" pivotButton="0" quotePrefix="0" xfId="0"/>
    <xf numFmtId="1" fontId="5" fillId="6" borderId="1" pivotButton="0" quotePrefix="0" xfId="0"/>
    <xf numFmtId="166" fontId="5" fillId="6" borderId="1" pivotButton="0" quotePrefix="0" xfId="0"/>
    <xf numFmtId="167" fontId="5" fillId="6" borderId="1" pivotButton="0" quotePrefix="0" xfId="0"/>
    <xf numFmtId="168" fontId="5" fillId="6" borderId="1" pivotButton="0" quotePrefix="0" xfId="0"/>
    <xf numFmtId="0" fontId="5" fillId="6" borderId="1" pivotButton="0" quotePrefix="0" xfId="0"/>
    <xf numFmtId="0" fontId="6"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roundedCorners val="0"/>
  <style val="10"/>
  <chart>
    <title>
      <tx>
        <rich>
          <a:bodyPr/>
          <a:p>
            <a:pPr>
              <a:defRPr/>
            </a:pPr>
            <a:r>
              <a:t>Where your measurement error is — under 30% or the study stops here</a:t>
            </a:r>
          </a:p>
        </rich>
      </tx>
    </title>
    <plotArea>
      <barChart>
        <barDir val="col"/>
        <grouping val="clustered"/>
        <ser>
          <idx val="0"/>
          <order val="0"/>
          <tx>
            <v>% study variation</v>
          </tx>
          <spPr>
            <a:ln>
              <a:prstDash val="solid"/>
            </a:ln>
          </spPr>
          <invertIfNegative val="0"/>
          <dPt>
            <idx val="0"/>
            <spPr>
              <a:solidFill>
                <a:srgbClr val="C0392B"/>
              </a:solidFill>
              <a:ln>
                <a:prstDash val="solid"/>
              </a:ln>
            </spPr>
          </dPt>
          <dPt>
            <idx val="1"/>
            <spPr>
              <a:solidFill>
                <a:srgbClr val="E08A3C"/>
              </a:solidFill>
              <a:ln>
                <a:prstDash val="solid"/>
              </a:ln>
            </spPr>
          </dPt>
          <dPt>
            <idx val="2"/>
            <spPr>
              <a:solidFill>
                <a:srgbClr val="B45309"/>
              </a:solidFill>
              <a:ln>
                <a:prstDash val="solid"/>
              </a:ln>
            </spPr>
          </dPt>
          <dPt>
            <idx val="3"/>
            <spPr>
              <a:solidFill>
                <a:srgbClr val="1D6F42"/>
              </a:solidFill>
              <a:ln>
                <a:prstDash val="solid"/>
              </a:ln>
            </spPr>
          </dPt>
          <cat>
            <numRef>
              <f>'Gage R&amp;R study'!$A$55:$A$58</f>
            </numRef>
          </cat>
          <val>
            <numRef>
              <f>'Gage R&amp;R study'!$E$55:$E$58</f>
            </numRef>
          </val>
        </ser>
        <gapWidth val="60"/>
        <axId val="10"/>
        <axId val="100"/>
      </barChart>
      <lineChart>
        <grouping val="standard"/>
        <ser>
          <idx val="1"/>
          <order val="1"/>
          <tx>
            <v>30% — above this the gage is unacceptable</v>
          </tx>
          <spPr>
            <a:ln w="18000">
              <a:solidFill>
                <a:srgbClr val="C0392B"/>
              </a:solidFill>
              <a:prstDash val="dash"/>
            </a:ln>
          </spPr>
          <marker>
            <symbol val="none"/>
            <spPr>
              <a:ln>
                <a:prstDash val="solid"/>
              </a:ln>
            </spPr>
          </marker>
          <val>
            <numRef>
              <f>'Gage R&amp;R study'!$B$67:$E$67</f>
            </numRef>
          </val>
          <smooth val="0"/>
        </ser>
        <axId val="10"/>
        <axId val="100"/>
      </line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Gridlines/>
        <title>
          <tx>
            <rich>
              <a:bodyPr/>
              <a:p>
                <a:pPr>
                  <a:defRPr/>
                </a:pPr>
                <a:r>
                  <a:t>% of total study variation</a:t>
                </a:r>
              </a:p>
            </rich>
          </tx>
        </title>
        <numFmt formatCode="0%" sourceLinked="0"/>
        <majorTickMark val="none"/>
        <minorTickMark val="none"/>
        <tickLblPos val="nextTo"/>
        <crossAx val="10"/>
      </valAx>
    </plotArea>
    <legend>
      <legendPos val="b"/>
    </legend>
    <plotVisOnly val="1"/>
    <dispBlanksAs val="gap"/>
  </chart>
</chartSpace>
</file>

<file path=xl/comments/comment1.xml><?xml version="1.0" encoding="utf-8"?>
<comments xmlns="http://schemas.openxmlformats.org/spreadsheetml/2006/main">
  <authors>
    <author>Template</author>
  </authors>
  <commentList>
    <comment ref="B5" authorId="0" shapeId="0">
      <text>
        <t>Name the measurement, not the metric. 'Handle time from the CRM timestamps' and 'handle time as the analyst clocks it' are two different gages.</t>
      </text>
    </comment>
    <comment ref="B6" authorId="0" shapeId="0">
      <text>
        <t>Ten minimum, and they must span the RANGE YOU ACTUALLY SEE. Sampling ten routine contacts is the single most common way a study flatters the gage.</t>
      </text>
    </comment>
    <comment ref="B7" authorId="0" shapeId="0">
      <text>
        <t>Three minimum. Fewer and reproducibility is a guess.</t>
      </text>
    </comment>
    <comment ref="B8" authorId="0" shapeId="0">
      <text>
        <t>Two minimum, three is better. Randomise the order and blind them to their own previous answer, or you are measuring memory.</t>
      </text>
    </comment>
    <comment ref="B9" authorId="0" shapeId="0">
      <text>
        <t>Only if you have a spec. Leave it if you do not — %study variation is the reading that matters either way. Here: an 18-minute SLA less a 6-minute floor.</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17</col>
      <colOff>0</colOff>
      <row>2</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40"/>
  <sheetViews>
    <sheetView showGridLines="0" workbookViewId="0">
      <selection activeCell="A1" sqref="A1"/>
    </sheetView>
  </sheetViews>
  <sheetFormatPr baseColWidth="8" defaultRowHeight="15"/>
  <cols>
    <col width="2" customWidth="1" min="1" max="1"/>
    <col width="108" customWidth="1" min="2" max="2"/>
    <col width="13" customWidth="1" min="3" max="3"/>
    <col width="13" customWidth="1" min="4" max="4"/>
    <col width="13" customWidth="1" min="5" max="5"/>
    <col width="13" customWidth="1" min="6" max="6"/>
    <col width="13" customWidth="1" min="7" max="7"/>
    <col width="13" customWidth="1" min="8" max="8"/>
  </cols>
  <sheetData>
    <row r="1"/>
    <row r="2">
      <c r="B2" s="1" t="inlineStr">
        <is>
          <t>Continuous Gage R&amp;R — what this answers</t>
        </is>
      </c>
    </row>
    <row r="3" ht="45" customHeight="1">
      <c r="B3" s="2" t="inlineStr">
        <is>
          <t>Before you analyse a continuous metric, find out how much of its variation is the measurement rather than the process. If the gage eats 30% of the variation, every capability number and every hypothesis test downstream is an opinion with decimal places on it.</t>
        </is>
      </c>
    </row>
    <row r="4">
      <c r="B4" s="1" t="inlineStr">
        <is>
          <t>Running the study</t>
        </is>
      </c>
    </row>
    <row r="5" ht="45" customHeight="1">
      <c r="B5" s="2" t="inlineStr">
        <is>
          <t>Pick 10 parts that SPAN THE RANGE YOU ACTUALLY SEE — not ten typical ones. Have 3 appraisers measure each part 3 times. Randomise the order, and make sure no appraiser can see their own earlier answer or anyone else's. Type the 90 readings into the yellow grid; the rest of the workbook is formulas.</t>
        </is>
      </c>
    </row>
    <row r="6">
      <c r="B6" s="1" t="inlineStr">
        <is>
          <t>Reading the answer</t>
        </is>
      </c>
    </row>
    <row r="7" ht="60" customHeight="1">
      <c r="B7" s="2" t="inlineStr">
        <is>
          <t>% Study variation is the headline: under 10% acceptable, 10–30% marginal, over 30% unacceptable. Then look at the split. Repeatability high means the method is loose — tighten the definition. Reproducibility high means the PEOPLE disagree — that is a calibration and rubric problem, and buying a new tool will not touch it.</t>
        </is>
      </c>
    </row>
    <row r="8">
      <c r="B8" s="1" t="inlineStr">
        <is>
          <t>ndc, and why 5</t>
        </is>
      </c>
    </row>
    <row r="9" ht="45" customHeight="1">
      <c r="B9" s="2" t="inlineStr">
        <is>
          <t>Number of distinct categories is how many groups the gage can separate across your parts. Below 5 you effectively have an ordinal scale wearing a number's clothing, and the arithmetic you do on it will not mean what you think.</t>
        </is>
      </c>
    </row>
    <row r="10">
      <c r="B10" s="1" t="inlineStr">
        <is>
          <t>The support-specific trap</t>
        </is>
      </c>
    </row>
    <row r="11" ht="60" customHeight="1">
      <c r="B11" s="2" t="inlineStr">
        <is>
          <t>In support the 'gage' is usually a timestamp definition or a human judgement, not an instrument. Two analysts timing the same call differ because they disagree about when after-call work ends, which is a definition problem showing up as measurement error. Fix the operational definition first (04-operational-definition.md), then re-run this — it is usually most of the gap.</t>
        </is>
      </c>
    </row>
    <row r="12">
      <c r="B12" s="1" t="inlineStr">
        <is>
          <t>Where the numbers go next</t>
        </is>
      </c>
    </row>
    <row r="13" ht="30" customHeight="1">
      <c r="B13" s="2" t="inlineStr">
        <is>
          <t>The verdict and the two percentages belong in 08-msa-gage-rr.md, which is the one-page record you sign. Do not start capability analysis until this passes.</t>
        </is>
      </c>
    </row>
    <row r="14"/>
    <row r="15"/>
    <row r="16" ht="14" customHeight="1">
      <c r="A16" s="3" t="inlineStr">
        <is>
          <t>WHAT THE COLUMNS MEAN — the short version sits above each table; this is the same thing with the worked example</t>
        </is>
      </c>
    </row>
    <row r="17" ht="22" customHeight="1">
      <c r="A17" s="4" t="inlineStr">
        <is>
          <t>trial = one reading. Each appraiser measures every part three times, so a row holds nine numbers for one unchanged item and any difference between them is the measurement, not the process. On Part 1 appraiser A recorded 7.01, 7.26 and 7.98 minutes on the same call (B13:D13) — a 0.97-minute swing from one person measuring one thing three times</t>
        </is>
      </c>
    </row>
    <row r="18" ht="33" customHeight="1">
      <c r="A18" s="4" t="inlineStr">
        <is>
          <t>Widest trial spread = for that part, the largest range any single appraiser produced across their own three readings — repeatability, readable without arithmetic. Part 1 shows 0.97 minutes (M13), from appraiser A's 7.01 to 7.98; B spread 0.63 and C 0.47, so A sets the row. The part's whole range across everyone is 1.54 (L13), so most of it is one person disagreeing with himself</t>
        </is>
      </c>
    </row>
    <row r="19" ht="22" customHeight="1">
      <c r="A19" s="4" t="inlineStr">
        <is>
          <t>Appraiser A / B / C = that person's average of their three readings for that part, one number per person per part. Part 1 reads 7.42, 8.20 and 7.10 minutes (B33:D33) for an unchanged call. Read a row across for disagreement about one part, and a column down for someone consistently high or low</t>
        </is>
      </c>
    </row>
    <row r="20" ht="33" customHeight="1">
      <c r="A20" s="4" t="inlineStr">
        <is>
          <t>Sum of squares = total squared distance from the mean, before it is divided by anything. Two of them can never be compared directly, because each carries a different number of degrees of freedom: parts contribute 644.15 over 9 df and the repeat readings 6.53 over 60 (B47, B50). Divide each by its own df and you get the mean squares, 71.57 against 0.109, which may be compared</t>
        </is>
      </c>
    </row>
    <row r="21" ht="22" customHeight="1">
      <c r="A21" s="4" t="inlineStr">
        <is>
          <t>df = degrees of freedom, the number of independent comparisons behind that row — 9 for ten parts, 2 for three appraisers, 18 for their interaction, 60 for the repeats (C47:C50). It is the divisor that turns a sum of squares into a mean square</t>
        </is>
      </c>
    </row>
    <row r="22" ht="22" customHeight="1">
      <c r="A22" s="4" t="inlineStr">
        <is>
          <t>Variance component = that source's share of the variation as a VARIANCE, in minutes squared, not minutes. Repeatability is 0.109 and reproducibility 0.589 (B56, B57) — a ratio of 5.4 on the squared scale, which is 2.3 once you take square roots and get back to minutes, 0.33 against 0.77. Quote the minutes to anyone who has to act on it</t>
        </is>
      </c>
    </row>
    <row r="23" ht="22" customHeight="1">
      <c r="A23" s="4" t="inlineStr">
        <is>
          <t>% Contribution = each row's share of the total VARIANCE, so it sits on the squared scale, and only the unindented rows add to 100%. Measurement takes 8.1% and the parts 91.9% (C55, C58); the two indented rows, 1.3% and 6.8%, are the halves of that 8.1% and are already counted inside it</t>
        </is>
      </c>
    </row>
    <row r="24" ht="22" customHeight="1">
      <c r="A24" s="4" t="inlineStr">
        <is>
          <t>Study variation (6σ) = six standard deviations of that component, back in minutes — the span that covers virtually everything it produces. Measurement spans 5.01 minutes against the parts' 16.91 (D55, D58). Six sigma here is the convention for quoting a width, not a capability target</t>
        </is>
      </c>
    </row>
    <row r="25" ht="22" customHeight="1">
      <c r="A25" s="4" t="inlineStr">
        <is>
          <t>% Study variation = each row's share of the total STANDARD DEVIATION, not of the variance — which is why it does not match the % Contribution beside it: 28.4% against 8.1% (E55, C55), the first being the square root of the second. This is the column the verdict is read on: under 10% acceptable, 10-30% marginal, over 30% unusable. 28.4% is why this study reads MARGINAL</t>
        </is>
      </c>
    </row>
    <row r="26"/>
    <row r="27"/>
    <row r="28"/>
    <row r="29"/>
    <row r="30"/>
    <row r="31"/>
    <row r="32"/>
    <row r="33"/>
    <row r="34"/>
    <row r="35"/>
    <row r="36"/>
    <row r="37"/>
    <row r="38"/>
    <row r="39"/>
    <row r="40"/>
  </sheetData>
  <mergeCells count="10">
    <mergeCell ref="A18:H18"/>
    <mergeCell ref="A21:H21"/>
    <mergeCell ref="A25:H25"/>
    <mergeCell ref="A20:H20"/>
    <mergeCell ref="A24:H24"/>
    <mergeCell ref="A16:H16"/>
    <mergeCell ref="A19:H19"/>
    <mergeCell ref="A23:H23"/>
    <mergeCell ref="A22:H22"/>
    <mergeCell ref="A17:H17"/>
  </mergeCells>
  <printOptions horizontalCentered="1"/>
  <pageMargins left="0.4" right="0.4"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X67"/>
  <sheetViews>
    <sheetView showGridLines="0" workbookViewId="0">
      <pane ySplit="12" topLeftCell="A13" activePane="bottomLeft" state="frozen"/>
      <selection pane="bottomLef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2" customWidth="1" min="11" max="11"/>
    <col width="12" customWidth="1" min="12" max="12"/>
    <col width="14" customWidth="1" min="13" max="13"/>
    <col width="14" customWidth="1" min="14" max="14"/>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s>
  <sheetData>
    <row r="1" ht="26" customHeight="1">
      <c r="A1" s="5" t="inlineStr">
        <is>
          <t>Measurement System Analysis — continuous Gage R&amp;R (crossed, ANOVA)</t>
        </is>
      </c>
      <c r="B1" s="6" t="n"/>
      <c r="C1" s="6" t="n"/>
      <c r="D1" s="6" t="n"/>
      <c r="E1" s="6" t="n"/>
      <c r="F1" s="6" t="n"/>
      <c r="G1" s="6" t="n"/>
      <c r="H1" s="6" t="n"/>
      <c r="I1" s="6" t="n"/>
      <c r="J1" s="6" t="n"/>
      <c r="K1" s="6" t="n"/>
      <c r="L1" s="6" t="n"/>
      <c r="M1" s="6" t="n"/>
      <c r="N1" s="6" t="n"/>
    </row>
    <row r="2">
      <c r="A2" s="7" t="inlineStr">
        <is>
          <t>How much of the variation you are about to analyse is the measurement rather than the process. The green block is a worked study — overwrite the 90 readings with your own. The yellow cells above it describe your study; everything else calculates.</t>
        </is>
      </c>
    </row>
    <row r="3"/>
    <row r="4">
      <c r="A4" s="8" t="inlineStr">
        <is>
          <t>THE STUDY — what you measured, and what you will compare it against</t>
        </is>
      </c>
      <c r="B4" s="9" t="n"/>
      <c r="C4" s="9" t="n"/>
      <c r="D4" s="9" t="n"/>
      <c r="E4" s="9" t="n"/>
      <c r="F4" s="9" t="n"/>
      <c r="G4" s="9" t="n"/>
      <c r="H4" s="9" t="n"/>
      <c r="I4" s="9" t="n"/>
      <c r="J4" s="9" t="n"/>
      <c r="K4" s="9" t="n"/>
      <c r="L4" s="9" t="n"/>
      <c r="M4" s="9" t="n"/>
      <c r="N4" s="9" t="n"/>
    </row>
    <row r="5" ht="30" customHeight="1">
      <c r="A5" s="10" t="inlineStr">
        <is>
          <t>What is being measured</t>
        </is>
      </c>
      <c r="B5" s="11" t="inlineStr">
        <is>
          <t>Handle time on a billing adjustment, in minutes</t>
        </is>
      </c>
      <c r="C5" s="12" t="inlineStr">
        <is>
          <t>Name the measurement, not the metric. 'Handle time from the CRM timestamps' and 'handle time as the analyst clocks it' are two different gages.</t>
        </is>
      </c>
    </row>
    <row r="6" ht="30" customHeight="1">
      <c r="A6" s="10" t="inlineStr">
        <is>
          <t>Parts / items in the study</t>
        </is>
      </c>
      <c r="B6" s="13" t="n">
        <v>10</v>
      </c>
      <c r="C6" s="12" t="inlineStr">
        <is>
          <t>Ten minimum, and they must span the RANGE YOU ACTUALLY SEE. Sampling ten routine contacts is the single most common way a study flatters the gage.</t>
        </is>
      </c>
    </row>
    <row r="7" ht="15" customHeight="1">
      <c r="A7" s="10" t="inlineStr">
        <is>
          <t>Appraisers / observers</t>
        </is>
      </c>
      <c r="B7" s="13" t="n">
        <v>3</v>
      </c>
      <c r="C7" s="12" t="inlineStr">
        <is>
          <t>Three minimum. Fewer and reproducibility is a guess.</t>
        </is>
      </c>
    </row>
    <row r="8" ht="30" customHeight="1">
      <c r="A8" s="10" t="inlineStr">
        <is>
          <t>Replicates (each appraiser measures each part this many times)</t>
        </is>
      </c>
      <c r="B8" s="13" t="n">
        <v>3</v>
      </c>
      <c r="C8" s="12" t="inlineStr">
        <is>
          <t>Two minimum, three is better. Randomise the order and blind them to their own previous answer, or you are measuring memory.</t>
        </is>
      </c>
    </row>
    <row r="9" ht="30" customHeight="1">
      <c r="A9" s="10" t="inlineStr">
        <is>
          <t>Tolerance width (upper spec − lower spec), same units</t>
        </is>
      </c>
      <c r="B9" s="14" t="n">
        <v>12</v>
      </c>
      <c r="C9" s="12" t="inlineStr">
        <is>
          <t>Only if you have a spec. Leave it if you do not — %study variation is the reading that matters either way. Here: an 18-minute SLA less a 6-minute floor.</t>
        </is>
      </c>
    </row>
    <row r="10"/>
    <row r="11" ht="48" customHeight="1">
      <c r="A11" s="15" t="inlineStr">
        <is>
          <t>THE MEASUREMENTS — one row per part, three trials per appraiser  ·  Key:
• trial = one reading.
• Widest trial spread = for that part, the largest range any single appraiser produced across their own three readings — repeatability, readable without arithmetic.</t>
        </is>
      </c>
      <c r="B11" s="9" t="n"/>
      <c r="C11" s="9" t="n"/>
      <c r="D11" s="9" t="n"/>
      <c r="E11" s="9" t="n"/>
      <c r="F11" s="9" t="n"/>
      <c r="G11" s="9" t="n"/>
      <c r="H11" s="9" t="n"/>
      <c r="I11" s="9" t="n"/>
      <c r="J11" s="9" t="n"/>
      <c r="K11" s="9" t="n"/>
      <c r="L11" s="9" t="n"/>
      <c r="M11" s="9" t="n"/>
      <c r="N11" s="9" t="n"/>
    </row>
    <row r="12" ht="30" customHeight="1">
      <c r="A12" s="16" t="inlineStr">
        <is>
          <t>Part</t>
        </is>
      </c>
      <c r="B12" s="16" t="inlineStr">
        <is>
          <t>A trial 1</t>
        </is>
      </c>
      <c r="C12" s="16" t="inlineStr">
        <is>
          <t>A trial 2</t>
        </is>
      </c>
      <c r="D12" s="16" t="inlineStr">
        <is>
          <t>A trial 3</t>
        </is>
      </c>
      <c r="E12" s="16" t="inlineStr">
        <is>
          <t>B trial 1</t>
        </is>
      </c>
      <c r="F12" s="16" t="inlineStr">
        <is>
          <t>B trial 2</t>
        </is>
      </c>
      <c r="G12" s="16" t="inlineStr">
        <is>
          <t>B trial 3</t>
        </is>
      </c>
      <c r="H12" s="16" t="inlineStr">
        <is>
          <t>C trial 1</t>
        </is>
      </c>
      <c r="I12" s="16" t="inlineStr">
        <is>
          <t>C trial 2</t>
        </is>
      </c>
      <c r="J12" s="16" t="inlineStr">
        <is>
          <t>C trial 3</t>
        </is>
      </c>
      <c r="K12" s="16" t="inlineStr">
        <is>
          <t>Part mean</t>
        </is>
      </c>
      <c r="L12" s="16" t="inlineStr">
        <is>
          <t>Part range</t>
        </is>
      </c>
      <c r="M12" s="16" t="inlineStr">
        <is>
          <t>Widest trial spread</t>
        </is>
      </c>
    </row>
    <row r="13">
      <c r="A13" s="10" t="inlineStr">
        <is>
          <t>Part 1</t>
        </is>
      </c>
      <c r="B13" s="17" t="n">
        <v>7.01</v>
      </c>
      <c r="C13" s="17" t="n">
        <v>7.26</v>
      </c>
      <c r="D13" s="17" t="n">
        <v>7.98</v>
      </c>
      <c r="E13" s="17" t="n">
        <v>8.369999999999999</v>
      </c>
      <c r="F13" s="17" t="n">
        <v>8.43</v>
      </c>
      <c r="G13" s="17" t="n">
        <v>7.8</v>
      </c>
      <c r="H13" s="17" t="n">
        <v>7.36</v>
      </c>
      <c r="I13" s="17" t="n">
        <v>6.89</v>
      </c>
      <c r="J13" s="17" t="n">
        <v>7.05</v>
      </c>
      <c r="K13" s="18">
        <f>AVERAGE(B13:J13)</f>
        <v/>
      </c>
      <c r="L13" s="18">
        <f>MAX(B13:J13)-MIN(B13:J13)</f>
        <v/>
      </c>
      <c r="M13" s="18">
        <f>MAX(MAX(B13:D13)-MIN(B13:D13),MAX(E13:G13)-MIN(E13:G13),MAX(H13:J13)-MIN(H13:J13))</f>
        <v/>
      </c>
    </row>
    <row r="14">
      <c r="A14" s="10" t="inlineStr">
        <is>
          <t>Part 2</t>
        </is>
      </c>
      <c r="B14" s="17" t="n">
        <v>9.15</v>
      </c>
      <c r="C14" s="17" t="n">
        <v>8.68</v>
      </c>
      <c r="D14" s="17" t="n">
        <v>8.949999999999999</v>
      </c>
      <c r="E14" s="17" t="n">
        <v>9.789999999999999</v>
      </c>
      <c r="F14" s="17" t="n">
        <v>10.04</v>
      </c>
      <c r="G14" s="17" t="n">
        <v>10.42</v>
      </c>
      <c r="H14" s="17" t="n">
        <v>8.550000000000001</v>
      </c>
      <c r="I14" s="17" t="n">
        <v>7.9</v>
      </c>
      <c r="J14" s="17" t="n">
        <v>8.43</v>
      </c>
      <c r="K14" s="18">
        <f>AVERAGE(B14:J14)</f>
        <v/>
      </c>
      <c r="L14" s="18">
        <f>MAX(B14:J14)-MIN(B14:J14)</f>
        <v/>
      </c>
      <c r="M14" s="18">
        <f>MAX(MAX(B14:D14)-MIN(B14:D14),MAX(E14:G14)-MIN(E14:G14),MAX(H14:J14)-MIN(H14:J14))</f>
        <v/>
      </c>
    </row>
    <row r="15">
      <c r="A15" s="10" t="inlineStr">
        <is>
          <t>Part 3</t>
        </is>
      </c>
      <c r="B15" s="17" t="n">
        <v>12.39</v>
      </c>
      <c r="C15" s="17" t="n">
        <v>12.17</v>
      </c>
      <c r="D15" s="17" t="n">
        <v>12.9</v>
      </c>
      <c r="E15" s="17" t="n">
        <v>13.33</v>
      </c>
      <c r="F15" s="17" t="n">
        <v>13.55</v>
      </c>
      <c r="G15" s="17" t="n">
        <v>13.4</v>
      </c>
      <c r="H15" s="17" t="n">
        <v>12.53</v>
      </c>
      <c r="I15" s="17" t="n">
        <v>11.45</v>
      </c>
      <c r="J15" s="17" t="n">
        <v>11.6</v>
      </c>
      <c r="K15" s="18">
        <f>AVERAGE(B15:J15)</f>
        <v/>
      </c>
      <c r="L15" s="18">
        <f>MAX(B15:J15)-MIN(B15:J15)</f>
        <v/>
      </c>
      <c r="M15" s="18">
        <f>MAX(MAX(B15:D15)-MIN(B15:D15),MAX(E15:G15)-MIN(E15:G15),MAX(H15:J15)-MIN(H15:J15))</f>
        <v/>
      </c>
    </row>
    <row r="16">
      <c r="A16" s="10" t="inlineStr">
        <is>
          <t>Part 4</t>
        </is>
      </c>
      <c r="B16" s="17" t="n">
        <v>6.4</v>
      </c>
      <c r="C16" s="17" t="n">
        <v>6.7</v>
      </c>
      <c r="D16" s="17" t="n">
        <v>5.66</v>
      </c>
      <c r="E16" s="17" t="n">
        <v>6.99</v>
      </c>
      <c r="F16" s="17" t="n">
        <v>6.81</v>
      </c>
      <c r="G16" s="17" t="n">
        <v>7.65</v>
      </c>
      <c r="H16" s="17" t="n">
        <v>6.09</v>
      </c>
      <c r="I16" s="17" t="n">
        <v>5.53</v>
      </c>
      <c r="J16" s="17" t="n">
        <v>5.19</v>
      </c>
      <c r="K16" s="18">
        <f>AVERAGE(B16:J16)</f>
        <v/>
      </c>
      <c r="L16" s="18">
        <f>MAX(B16:J16)-MIN(B16:J16)</f>
        <v/>
      </c>
      <c r="M16" s="18">
        <f>MAX(MAX(B16:D16)-MIN(B16:D16),MAX(E16:G16)-MIN(E16:G16),MAX(H16:J16)-MIN(H16:J16))</f>
        <v/>
      </c>
    </row>
    <row r="17">
      <c r="A17" s="10" t="inlineStr">
        <is>
          <t>Part 5</t>
        </is>
      </c>
      <c r="B17" s="17" t="n">
        <v>11.02</v>
      </c>
      <c r="C17" s="17" t="n">
        <v>10.14</v>
      </c>
      <c r="D17" s="17" t="n">
        <v>11.16</v>
      </c>
      <c r="E17" s="17" t="n">
        <v>11.68</v>
      </c>
      <c r="F17" s="17" t="n">
        <v>11.4</v>
      </c>
      <c r="G17" s="17" t="n">
        <v>11.84</v>
      </c>
      <c r="H17" s="17" t="n">
        <v>10.52</v>
      </c>
      <c r="I17" s="17" t="n">
        <v>10.3</v>
      </c>
      <c r="J17" s="17" t="n">
        <v>10.2</v>
      </c>
      <c r="K17" s="18">
        <f>AVERAGE(B17:J17)</f>
        <v/>
      </c>
      <c r="L17" s="18">
        <f>MAX(B17:J17)-MIN(B17:J17)</f>
        <v/>
      </c>
      <c r="M17" s="18">
        <f>MAX(MAX(B17:D17)-MIN(B17:D17),MAX(E17:G17)-MIN(E17:G17),MAX(H17:J17)-MIN(H17:J17))</f>
        <v/>
      </c>
    </row>
    <row r="18">
      <c r="A18" s="10" t="inlineStr">
        <is>
          <t>Part 6</t>
        </is>
      </c>
      <c r="B18" s="17" t="n">
        <v>14.62</v>
      </c>
      <c r="C18" s="17" t="n">
        <v>14.93</v>
      </c>
      <c r="D18" s="17" t="n">
        <v>14.79</v>
      </c>
      <c r="E18" s="17" t="n">
        <v>15.91</v>
      </c>
      <c r="F18" s="17" t="n">
        <v>15.83</v>
      </c>
      <c r="G18" s="17" t="n">
        <v>15.44</v>
      </c>
      <c r="H18" s="17" t="n">
        <v>13.78</v>
      </c>
      <c r="I18" s="17" t="n">
        <v>13.82</v>
      </c>
      <c r="J18" s="17" t="n">
        <v>13.81</v>
      </c>
      <c r="K18" s="18">
        <f>AVERAGE(B18:J18)</f>
        <v/>
      </c>
      <c r="L18" s="18">
        <f>MAX(B18:J18)-MIN(B18:J18)</f>
        <v/>
      </c>
      <c r="M18" s="18">
        <f>MAX(MAX(B18:D18)-MIN(B18:D18),MAX(E18:G18)-MIN(E18:G18),MAX(H18:J18)-MIN(H18:J18))</f>
        <v/>
      </c>
    </row>
    <row r="19">
      <c r="A19" s="10" t="inlineStr">
        <is>
          <t>Part 7</t>
        </is>
      </c>
      <c r="B19" s="17" t="n">
        <v>7.96</v>
      </c>
      <c r="C19" s="17" t="n">
        <v>7.66</v>
      </c>
      <c r="D19" s="17" t="n">
        <v>8.25</v>
      </c>
      <c r="E19" s="17" t="n">
        <v>9.029999999999999</v>
      </c>
      <c r="F19" s="17" t="n">
        <v>9.48</v>
      </c>
      <c r="G19" s="17" t="n">
        <v>9.640000000000001</v>
      </c>
      <c r="H19" s="17" t="n">
        <v>7.73</v>
      </c>
      <c r="I19" s="17" t="n">
        <v>7.56</v>
      </c>
      <c r="J19" s="17" t="n">
        <v>8.220000000000001</v>
      </c>
      <c r="K19" s="18">
        <f>AVERAGE(B19:J19)</f>
        <v/>
      </c>
      <c r="L19" s="18">
        <f>MAX(B19:J19)-MIN(B19:J19)</f>
        <v/>
      </c>
      <c r="M19" s="18">
        <f>MAX(MAX(B19:D19)-MIN(B19:D19),MAX(E19:G19)-MIN(E19:G19),MAX(H19:J19)-MIN(H19:J19))</f>
        <v/>
      </c>
    </row>
    <row r="20">
      <c r="A20" s="10" t="inlineStr">
        <is>
          <t>Part 8</t>
        </is>
      </c>
      <c r="B20" s="17" t="n">
        <v>11.47</v>
      </c>
      <c r="C20" s="17" t="n">
        <v>11.83</v>
      </c>
      <c r="D20" s="17" t="n">
        <v>11.55</v>
      </c>
      <c r="E20" s="17" t="n">
        <v>12.9</v>
      </c>
      <c r="F20" s="17" t="n">
        <v>12.79</v>
      </c>
      <c r="G20" s="17" t="n">
        <v>12.99</v>
      </c>
      <c r="H20" s="17" t="n">
        <v>11.52</v>
      </c>
      <c r="I20" s="17" t="n">
        <v>11.83</v>
      </c>
      <c r="J20" s="17" t="n">
        <v>11.04</v>
      </c>
      <c r="K20" s="18">
        <f>AVERAGE(B20:J20)</f>
        <v/>
      </c>
      <c r="L20" s="18">
        <f>MAX(B20:J20)-MIN(B20:J20)</f>
        <v/>
      </c>
      <c r="M20" s="18">
        <f>MAX(MAX(B20:D20)-MIN(B20:D20),MAX(E20:G20)-MIN(E20:G20),MAX(H20:J20)-MIN(H20:J20))</f>
        <v/>
      </c>
    </row>
    <row r="21" ht="88" customHeight="1">
      <c r="A21" s="10" t="inlineStr">
        <is>
          <t>Part 9</t>
        </is>
      </c>
      <c r="B21" s="17" t="n">
        <v>7.33</v>
      </c>
      <c r="C21" s="17" t="n">
        <v>7.68</v>
      </c>
      <c r="D21" s="17" t="n">
        <v>7.33</v>
      </c>
      <c r="E21" s="17" t="n">
        <v>8.550000000000001</v>
      </c>
      <c r="F21" s="17" t="n">
        <v>8.73</v>
      </c>
      <c r="G21" s="17" t="n">
        <v>9.199999999999999</v>
      </c>
      <c r="H21" s="17" t="n">
        <v>7.52</v>
      </c>
      <c r="I21" s="17" t="n">
        <v>7.2</v>
      </c>
      <c r="J21" s="17" t="n">
        <v>7.97</v>
      </c>
      <c r="K21" s="18">
        <f>AVERAGE(B21:J21)</f>
        <v/>
      </c>
      <c r="L21" s="18">
        <f>MAX(B21:J21)-MIN(B21:J21)</f>
        <v/>
      </c>
      <c r="M21" s="18">
        <f>MAX(MAX(B21:D21)-MIN(B21:D21),MAX(E21:G21)-MIN(E21:G21),MAX(H21:J21)-MIN(H21:J21))</f>
        <v/>
      </c>
      <c r="P21" s="4" t="inlineStr">
        <is>
          <t>HOW TO READ IT.  Bars are % study variation, a share of standard deviation. The worked example reads 28.4% — MARGINAL — and the split matters more than the total: reproducibility at 26.1% against repeatability at 11.2% says the three people disagree with each other far more than any one disagrees with himself. That is a rubric and calibration problem, and a better stopwatch will not touch it.
SO:  At 28.4% this is usable with the caution stated, not clean. Reproducibility is more than twice repeatability, so run a calibration session against a written rubric and re-test — a better timing tool would move the smaller of the two problems.</t>
        </is>
      </c>
    </row>
    <row r="22">
      <c r="A22" s="10" t="inlineStr">
        <is>
          <t>Part 10</t>
        </is>
      </c>
      <c r="B22" s="17" t="n">
        <v>13.08</v>
      </c>
      <c r="C22" s="17" t="n">
        <v>13.37</v>
      </c>
      <c r="D22" s="17" t="n">
        <v>12.91</v>
      </c>
      <c r="E22" s="17" t="n">
        <v>14.19</v>
      </c>
      <c r="F22" s="17" t="n">
        <v>14.11</v>
      </c>
      <c r="G22" s="17" t="n">
        <v>14.28</v>
      </c>
      <c r="H22" s="17" t="n">
        <v>12.6</v>
      </c>
      <c r="I22" s="17" t="n">
        <v>12.93</v>
      </c>
      <c r="J22" s="17" t="n">
        <v>12.71</v>
      </c>
      <c r="K22" s="18">
        <f>AVERAGE(B22:J22)</f>
        <v/>
      </c>
      <c r="L22" s="18">
        <f>MAX(B22:J22)-MIN(B22:J22)</f>
        <v/>
      </c>
      <c r="M22" s="18">
        <f>MAX(MAX(B22:D22)-MIN(B22:D22),MAX(E22:G22)-MIN(E22:G22),MAX(H22:J22)-MIN(H22:J22))</f>
        <v/>
      </c>
    </row>
    <row r="23" ht="45" customHeight="1">
      <c r="A23" s="12" t="inlineStr">
        <is>
          <t>Widest trial spread is the repeatability signal you can read without any arithmetic: if one appraiser cannot reproduce their own answer on the same part, no amount of ANOVA will rescue the study.</t>
        </is>
      </c>
    </row>
    <row r="24"/>
    <row r="25">
      <c r="A25" s="8" t="inlineStr">
        <is>
          <t>STEP 1 — the means the ANOVA is built from</t>
        </is>
      </c>
      <c r="B25" s="9" t="n"/>
      <c r="C25" s="9" t="n"/>
      <c r="D25" s="9" t="n"/>
      <c r="E25" s="9" t="n"/>
      <c r="F25" s="9" t="n"/>
      <c r="G25" s="9" t="n"/>
      <c r="H25" s="9" t="n"/>
      <c r="I25" s="9" t="n"/>
      <c r="J25" s="9" t="n"/>
      <c r="K25" s="9" t="n"/>
      <c r="L25" s="9" t="n"/>
      <c r="M25" s="9" t="n"/>
      <c r="N25" s="9" t="n"/>
    </row>
    <row r="26" ht="30" customHeight="1">
      <c r="A26" s="16" t="inlineStr">
        <is>
          <t>Mean</t>
        </is>
      </c>
      <c r="B26" s="16" t="inlineStr">
        <is>
          <t>Value</t>
        </is>
      </c>
      <c r="C26" s="16" t="inlineStr">
        <is>
          <t>What it is</t>
        </is>
      </c>
      <c r="D26" s="16" t="inlineStr"/>
      <c r="E26" s="16" t="inlineStr"/>
      <c r="F26" s="16" t="inlineStr"/>
      <c r="G26" s="16" t="inlineStr"/>
      <c r="H26" s="16" t="inlineStr"/>
      <c r="I26" s="16" t="inlineStr"/>
      <c r="J26" s="16" t="inlineStr"/>
      <c r="K26" s="16" t="inlineStr"/>
      <c r="L26" s="16" t="inlineStr"/>
      <c r="M26" s="16" t="inlineStr"/>
      <c r="N26" s="16" t="inlineStr"/>
    </row>
    <row r="27" ht="15" customHeight="1">
      <c r="A27" s="10" t="inlineStr">
        <is>
          <t>Grand mean</t>
        </is>
      </c>
      <c r="B27" s="19">
        <f>AVERAGE(B13:J22)</f>
        <v/>
      </c>
      <c r="C27" s="12" t="inlineStr">
        <is>
          <t>Every measurement in the study, averaged.</t>
        </is>
      </c>
    </row>
    <row r="28" ht="15" customHeight="1">
      <c r="A28" s="10" t="inlineStr">
        <is>
          <t>Appraiser A mean</t>
        </is>
      </c>
      <c r="B28" s="19">
        <f>AVERAGE(B13:D22)</f>
        <v/>
      </c>
      <c r="C28" s="12" t="inlineStr">
        <is>
          <t>All 30 readings appraiser A took. Spread between these three is reproducibility.</t>
        </is>
      </c>
    </row>
    <row r="29" ht="15" customHeight="1">
      <c r="A29" s="10" t="inlineStr">
        <is>
          <t>Appraiser B mean</t>
        </is>
      </c>
      <c r="B29" s="19">
        <f>AVERAGE(E13:G22)</f>
        <v/>
      </c>
      <c r="C29" s="12" t="inlineStr">
        <is>
          <t>All 30 readings appraiser B took. Spread between these three is reproducibility.</t>
        </is>
      </c>
    </row>
    <row r="30" ht="15" customHeight="1">
      <c r="A30" s="10" t="inlineStr">
        <is>
          <t>Appraiser C mean</t>
        </is>
      </c>
      <c r="B30" s="19">
        <f>AVERAGE(H13:J22)</f>
        <v/>
      </c>
      <c r="C30" s="12" t="inlineStr">
        <is>
          <t>All 30 readings appraiser C took. Spread between these three is reproducibility.</t>
        </is>
      </c>
    </row>
    <row r="31" ht="36" customHeight="1">
      <c r="A31" s="15" t="inlineStr">
        <is>
          <t>STEP 2 — the part × appraiser cell means  ·  Key:
• Appraiser A / B / C = that person's average of their three readings for that part, one number per person per part.</t>
        </is>
      </c>
      <c r="B31" s="9" t="n"/>
      <c r="C31" s="9" t="n"/>
      <c r="D31" s="9" t="n"/>
      <c r="E31" s="9" t="n"/>
      <c r="F31" s="9" t="n"/>
      <c r="G31" s="9" t="n"/>
      <c r="H31" s="9" t="n"/>
      <c r="I31" s="9" t="n"/>
      <c r="J31" s="9" t="n"/>
      <c r="K31" s="9" t="n"/>
      <c r="L31" s="9" t="n"/>
      <c r="M31" s="9" t="n"/>
      <c r="N31" s="9" t="n"/>
    </row>
    <row r="32" ht="30" customHeight="1">
      <c r="A32" s="16" t="inlineStr">
        <is>
          <t>Part</t>
        </is>
      </c>
      <c r="B32" s="16" t="inlineStr">
        <is>
          <t>Appraiser A</t>
        </is>
      </c>
      <c r="C32" s="16" t="inlineStr">
        <is>
          <t>Appraiser B</t>
        </is>
      </c>
      <c r="D32" s="16" t="inlineStr">
        <is>
          <t>Appraiser C</t>
        </is>
      </c>
      <c r="E32" s="16" t="inlineStr"/>
      <c r="F32" s="16" t="inlineStr"/>
      <c r="G32" s="16" t="inlineStr"/>
      <c r="H32" s="16" t="inlineStr"/>
      <c r="I32" s="16" t="inlineStr"/>
      <c r="J32" s="16" t="inlineStr"/>
      <c r="K32" s="16" t="inlineStr"/>
      <c r="L32" s="16" t="inlineStr"/>
      <c r="M32" s="16" t="inlineStr"/>
      <c r="N32" s="16" t="inlineStr"/>
    </row>
    <row r="33">
      <c r="A33" s="10" t="inlineStr">
        <is>
          <t>Part 1</t>
        </is>
      </c>
      <c r="B33" s="19">
        <f>AVERAGE(B13:D13)</f>
        <v/>
      </c>
      <c r="C33" s="19">
        <f>AVERAGE(E13:G13)</f>
        <v/>
      </c>
      <c r="D33" s="19">
        <f>AVERAGE(H13:J13)</f>
        <v/>
      </c>
    </row>
    <row r="34">
      <c r="A34" s="10" t="inlineStr">
        <is>
          <t>Part 2</t>
        </is>
      </c>
      <c r="B34" s="19">
        <f>AVERAGE(B14:D14)</f>
        <v/>
      </c>
      <c r="C34" s="19">
        <f>AVERAGE(E14:G14)</f>
        <v/>
      </c>
      <c r="D34" s="19">
        <f>AVERAGE(H14:J14)</f>
        <v/>
      </c>
    </row>
    <row r="35">
      <c r="A35" s="10" t="inlineStr">
        <is>
          <t>Part 3</t>
        </is>
      </c>
      <c r="B35" s="19">
        <f>AVERAGE(B15:D15)</f>
        <v/>
      </c>
      <c r="C35" s="19">
        <f>AVERAGE(E15:G15)</f>
        <v/>
      </c>
      <c r="D35" s="19">
        <f>AVERAGE(H15:J15)</f>
        <v/>
      </c>
    </row>
    <row r="36">
      <c r="A36" s="10" t="inlineStr">
        <is>
          <t>Part 4</t>
        </is>
      </c>
      <c r="B36" s="19">
        <f>AVERAGE(B16:D16)</f>
        <v/>
      </c>
      <c r="C36" s="19">
        <f>AVERAGE(E16:G16)</f>
        <v/>
      </c>
      <c r="D36" s="19">
        <f>AVERAGE(H16:J16)</f>
        <v/>
      </c>
    </row>
    <row r="37">
      <c r="A37" s="10" t="inlineStr">
        <is>
          <t>Part 5</t>
        </is>
      </c>
      <c r="B37" s="19">
        <f>AVERAGE(B17:D17)</f>
        <v/>
      </c>
      <c r="C37" s="19">
        <f>AVERAGE(E17:G17)</f>
        <v/>
      </c>
      <c r="D37" s="19">
        <f>AVERAGE(H17:J17)</f>
        <v/>
      </c>
    </row>
    <row r="38">
      <c r="A38" s="10" t="inlineStr">
        <is>
          <t>Part 6</t>
        </is>
      </c>
      <c r="B38" s="19">
        <f>AVERAGE(B18:D18)</f>
        <v/>
      </c>
      <c r="C38" s="19">
        <f>AVERAGE(E18:G18)</f>
        <v/>
      </c>
      <c r="D38" s="19">
        <f>AVERAGE(H18:J18)</f>
        <v/>
      </c>
    </row>
    <row r="39">
      <c r="A39" s="10" t="inlineStr">
        <is>
          <t>Part 7</t>
        </is>
      </c>
      <c r="B39" s="19">
        <f>AVERAGE(B19:D19)</f>
        <v/>
      </c>
      <c r="C39" s="19">
        <f>AVERAGE(E19:G19)</f>
        <v/>
      </c>
      <c r="D39" s="19">
        <f>AVERAGE(H19:J19)</f>
        <v/>
      </c>
    </row>
    <row r="40">
      <c r="A40" s="10" t="inlineStr">
        <is>
          <t>Part 8</t>
        </is>
      </c>
      <c r="B40" s="19">
        <f>AVERAGE(B20:D20)</f>
        <v/>
      </c>
      <c r="C40" s="19">
        <f>AVERAGE(E20:G20)</f>
        <v/>
      </c>
      <c r="D40" s="19">
        <f>AVERAGE(H20:J20)</f>
        <v/>
      </c>
    </row>
    <row r="41">
      <c r="A41" s="10" t="inlineStr">
        <is>
          <t>Part 9</t>
        </is>
      </c>
      <c r="B41" s="19">
        <f>AVERAGE(B21:D21)</f>
        <v/>
      </c>
      <c r="C41" s="19">
        <f>AVERAGE(E21:G21)</f>
        <v/>
      </c>
      <c r="D41" s="19">
        <f>AVERAGE(H21:J21)</f>
        <v/>
      </c>
    </row>
    <row r="42">
      <c r="A42" s="10" t="inlineStr">
        <is>
          <t>Part 10</t>
        </is>
      </c>
      <c r="B42" s="19">
        <f>AVERAGE(B22:D22)</f>
        <v/>
      </c>
      <c r="C42" s="19">
        <f>AVERAGE(E22:G22)</f>
        <v/>
      </c>
      <c r="D42" s="19">
        <f>AVERAGE(H22:J22)</f>
        <v/>
      </c>
    </row>
    <row r="43" ht="45" customHeight="1">
      <c r="A43" s="12" t="inlineStr">
        <is>
          <t>One number per part per appraiser. If a row is flat across the appraisers the part is easy to measure; if it is not, that part and that appraiser disagree, and the interaction term below is what prices that.</t>
        </is>
      </c>
    </row>
    <row r="44"/>
    <row r="45" ht="48" customHeight="1">
      <c r="A45" s="15" t="inlineStr">
        <is>
          <t>STEP 3 — ANOVA. Each sum of squares is DEVSQ over one block above  ·  Key:
• Sum of squares = total squared distance from the mean, before it is divided by anything.
• df = degrees of freedom, the number of independent comparisons behind that row — 9 for ten parts, 2 for three appraisers, 18 for their interaction, 60 for the repeats (C47:C50).</t>
        </is>
      </c>
      <c r="B45" s="9" t="n"/>
      <c r="C45" s="9" t="n"/>
      <c r="D45" s="9" t="n"/>
      <c r="E45" s="9" t="n"/>
      <c r="F45" s="9" t="n"/>
      <c r="G45" s="9" t="n"/>
      <c r="H45" s="9" t="n"/>
      <c r="I45" s="9" t="n"/>
      <c r="J45" s="9" t="n"/>
      <c r="K45" s="9" t="n"/>
      <c r="L45" s="9" t="n"/>
      <c r="M45" s="9" t="n"/>
      <c r="N45" s="9" t="n"/>
    </row>
    <row r="46" ht="30" customHeight="1">
      <c r="A46" s="16" t="inlineStr">
        <is>
          <t>Source</t>
        </is>
      </c>
      <c r="B46" s="16" t="inlineStr">
        <is>
          <t>Sum of squares</t>
        </is>
      </c>
      <c r="C46" s="16" t="inlineStr">
        <is>
          <t>df</t>
        </is>
      </c>
      <c r="D46" s="16" t="inlineStr">
        <is>
          <t>Mean square</t>
        </is>
      </c>
      <c r="E46" s="16" t="inlineStr">
        <is>
          <t>Where the sum of squares comes from</t>
        </is>
      </c>
      <c r="F46" s="16" t="inlineStr"/>
      <c r="G46" s="16" t="inlineStr"/>
      <c r="H46" s="16" t="inlineStr"/>
      <c r="I46" s="16" t="inlineStr"/>
      <c r="J46" s="16" t="inlineStr"/>
      <c r="K46" s="16" t="inlineStr"/>
      <c r="L46" s="16" t="inlineStr"/>
      <c r="M46" s="16" t="inlineStr"/>
      <c r="N46" s="16" t="inlineStr"/>
    </row>
    <row r="47" ht="15" customHeight="1">
      <c r="A47" s="10" t="inlineStr">
        <is>
          <t>Parts</t>
        </is>
      </c>
      <c r="B47" s="19">
        <f>9*DEVSQ(K13:K22)</f>
        <v/>
      </c>
      <c r="C47" s="20" t="n">
        <v>9</v>
      </c>
      <c r="D47" s="19">
        <f>IF($C$47=0,0,$B$47/$C$47)</f>
        <v/>
      </c>
      <c r="E47" s="12" t="inlineStr">
        <is>
          <t>Spread of the 10 part means, times the 9 readings behind each.</t>
        </is>
      </c>
    </row>
    <row r="48" ht="15" customHeight="1">
      <c r="A48" s="10" t="inlineStr">
        <is>
          <t>Appraisers</t>
        </is>
      </c>
      <c r="B48" s="19">
        <f>30*DEVSQ(B28:B30)</f>
        <v/>
      </c>
      <c r="C48" s="20" t="n">
        <v>2</v>
      </c>
      <c r="D48" s="19">
        <f>IF($C$48=0,0,$B$48/$C$48)</f>
        <v/>
      </c>
      <c r="E48" s="12" t="inlineStr">
        <is>
          <t>Spread of the 3 appraiser means, times the 30 readings behind each.</t>
        </is>
      </c>
    </row>
    <row r="49" ht="30" customHeight="1">
      <c r="A49" s="10" t="inlineStr">
        <is>
          <t>Part × appraiser</t>
        </is>
      </c>
      <c r="B49" s="19">
        <f>3*DEVSQ(B33:D42)-$B$47-$B$48</f>
        <v/>
      </c>
      <c r="C49" s="20" t="n">
        <v>18</v>
      </c>
      <c r="D49" s="19">
        <f>IF($C$49=0,0,$B$49/$C$49)</f>
        <v/>
      </c>
      <c r="E49" s="12" t="inlineStr">
        <is>
          <t>What is left of the cell-mean spread once parts and appraisers are taken out — the appraisers disagreeing about particular parts rather than in general.</t>
        </is>
      </c>
    </row>
    <row r="50" ht="30" customHeight="1">
      <c r="A50" s="10" t="inlineStr">
        <is>
          <t>Repeatability (error)</t>
        </is>
      </c>
      <c r="B50" s="19">
        <f>$B$51-3*DEVSQ(B33:D42)</f>
        <v/>
      </c>
      <c r="C50" s="20" t="n">
        <v>60</v>
      </c>
      <c r="D50" s="19">
        <f>IF($C$50=0,0,$B$50/$C$50)</f>
        <v/>
      </c>
      <c r="E50" s="12" t="inlineStr">
        <is>
          <t>What is left of the total once the cell means are taken out: the same appraiser, the same part, a different answer.</t>
        </is>
      </c>
    </row>
    <row r="51" ht="15" customHeight="1">
      <c r="A51" s="10" t="inlineStr">
        <is>
          <t>Total</t>
        </is>
      </c>
      <c r="B51" s="19">
        <f>DEVSQ(B13:J22)</f>
        <v/>
      </c>
      <c r="C51" s="20" t="n">
        <v>89</v>
      </c>
      <c r="D51" s="19">
        <f>IF($C$51=0,0,$B$51/$C$51)</f>
        <v/>
      </c>
      <c r="E51" s="12" t="inlineStr">
        <is>
          <t>Every reading against the grand mean.</t>
        </is>
      </c>
    </row>
    <row r="52"/>
    <row r="53" ht="108" customHeight="1">
      <c r="A53" s="15" t="inlineStr">
        <is>
          <t>STEP 4 — variance components, and the two numbers you report  ·  Key:
• Variance component = that source's share of the variation as a VARIANCE, in minutes squared, not minutes.
• % Contribution = each row's share of the total VARIANCE, so it sits on the squared scale, and only the unindented rows add to 100%.
• Study variation (6σ) = six standard deviations of that component, back in minutes — the span that covers virtually everything it produces.
• % Study variation = each row's share of the total STANDARD DEVIATION, not of the variance — which is why it does not match the % Contribution beside it: 28.4% against 8.1% (E55, C55), the first being the square root of the second.</t>
        </is>
      </c>
      <c r="B53" s="9" t="n"/>
      <c r="C53" s="9" t="n"/>
      <c r="D53" s="9" t="n"/>
      <c r="E53" s="9" t="n"/>
      <c r="F53" s="9" t="n"/>
      <c r="G53" s="9" t="n"/>
      <c r="H53" s="9" t="n"/>
      <c r="I53" s="9" t="n"/>
      <c r="J53" s="9" t="n"/>
      <c r="K53" s="9" t="n"/>
      <c r="L53" s="9" t="n"/>
      <c r="M53" s="9" t="n"/>
      <c r="N53" s="9" t="n"/>
    </row>
    <row r="54" ht="30" customHeight="1">
      <c r="A54" s="16" t="inlineStr">
        <is>
          <t>Source</t>
        </is>
      </c>
      <c r="B54" s="16" t="inlineStr">
        <is>
          <t>Variance component</t>
        </is>
      </c>
      <c r="C54" s="16" t="inlineStr">
        <is>
          <t>% Contribution</t>
        </is>
      </c>
      <c r="D54" s="16" t="inlineStr">
        <is>
          <t>Study variation (6σ)</t>
        </is>
      </c>
      <c r="E54" s="16" t="inlineStr">
        <is>
          <t>% Study variation</t>
        </is>
      </c>
      <c r="F54" s="16" t="inlineStr">
        <is>
          <t>Verdict</t>
        </is>
      </c>
      <c r="G54" s="16" t="inlineStr"/>
      <c r="H54" s="16" t="inlineStr"/>
      <c r="I54" s="16" t="inlineStr"/>
      <c r="J54" s="16" t="inlineStr"/>
      <c r="K54" s="16" t="inlineStr"/>
      <c r="L54" s="16" t="inlineStr"/>
      <c r="M54" s="16" t="inlineStr"/>
      <c r="N54" s="16" t="inlineStr"/>
    </row>
    <row r="55" ht="30" customHeight="1">
      <c r="A55" s="10" t="inlineStr">
        <is>
          <t>Total Gage R&amp;R (measurement error)</t>
        </is>
      </c>
      <c r="B55" s="21">
        <f>MAX(0,$D$50)+MAX(0,($D$48-$D$49)/30)+MAX(0,($D$49-$D$50)/3)</f>
        <v/>
      </c>
      <c r="C55" s="22">
        <f>IF($B$59=0,"",$B$55/$B$59)</f>
        <v/>
      </c>
      <c r="D55" s="23">
        <f>6*SQRT($B$55)</f>
        <v/>
      </c>
      <c r="E55" s="22">
        <f>IF($B$59=0,"",SQRT($B$55)/SQRT($B$59))</f>
        <v/>
      </c>
      <c r="F55" s="24">
        <f>IF($E$55="","",IF($E$55&lt;0.1,"ACCEPTABLE — under 10%",IF($E$55&lt;=0.3,"MARGINAL — usable with stated caution","UNACCEPTABLE — fix it before you analyse anything")))</f>
        <v/>
      </c>
      <c r="G55" s="12" t="inlineStr">
        <is>
          <t>Everything the measurement contributes. This is the number you report. It is the two indented rows below added together, not a fourth thing beside them.</t>
        </is>
      </c>
    </row>
    <row r="56" ht="30" customHeight="1">
      <c r="A56" s="25" t="inlineStr">
        <is>
          <t xml:space="preserve">    of which repeatability</t>
        </is>
      </c>
      <c r="B56" s="21">
        <f>MAX(0,$D$50)</f>
        <v/>
      </c>
      <c r="C56" s="22">
        <f>IF($B$59=0,"",$B$56/$B$59)</f>
        <v/>
      </c>
      <c r="D56" s="23">
        <f>6*SQRT($B$56)</f>
        <v/>
      </c>
      <c r="E56" s="22">
        <f>IF($B$59=0,"",SQRT($B$56)/SQRT($B$59))</f>
        <v/>
      </c>
      <c r="G56" s="12" t="inlineStr">
        <is>
          <t>Same appraiser, same part, a different answer. The instrument or the procedure — fix it with a clearer definition or a tighter method.</t>
        </is>
      </c>
    </row>
    <row r="57" ht="30" customHeight="1">
      <c r="A57" s="25" t="inlineStr">
        <is>
          <t xml:space="preserve">    of which reproducibility</t>
        </is>
      </c>
      <c r="B57" s="21">
        <f>MAX(0,($D$48-$D$49)/30)+MAX(0,($D$49-$D$50)/3)</f>
        <v/>
      </c>
      <c r="C57" s="22">
        <f>IF($B$59=0,"",$B$57/$B$59)</f>
        <v/>
      </c>
      <c r="D57" s="23">
        <f>6*SQRT($B$57)</f>
        <v/>
      </c>
      <c r="E57" s="22">
        <f>IF($B$59=0,"",SQRT($B$57)/SQRT($B$59))</f>
        <v/>
      </c>
      <c r="G57" s="12" t="inlineStr">
        <is>
          <t>Different appraisers, same part. The people — fix it with calibration sessions and a rubric, not with a new tool.</t>
        </is>
      </c>
    </row>
    <row r="58" ht="15" customHeight="1">
      <c r="A58" s="10" t="inlineStr">
        <is>
          <t>Part-to-part (real differences)</t>
        </is>
      </c>
      <c r="B58" s="21">
        <f>MAX(0,($D$47-$D$49)/9)</f>
        <v/>
      </c>
      <c r="C58" s="22">
        <f>IF($B$59=0,"",$B$58/$B$59)</f>
        <v/>
      </c>
      <c r="D58" s="23">
        <f>6*SQRT($B$58)</f>
        <v/>
      </c>
      <c r="E58" s="22">
        <f>IF($B$59=0,"",SQRT($B$58)/SQRT($B$59))</f>
        <v/>
      </c>
      <c r="G58" s="12" t="inlineStr">
        <is>
          <t>Real process variation. You WANT this to dominate — it is the signal.</t>
        </is>
      </c>
    </row>
    <row r="59" ht="45" customHeight="1">
      <c r="A59" s="10" t="inlineStr">
        <is>
          <t>Total variation</t>
        </is>
      </c>
      <c r="B59" s="21">
        <f>$B$55+$B$58</f>
        <v/>
      </c>
      <c r="C59" s="22">
        <f>IF($B$59=0,"",$B$59/$B$59)</f>
        <v/>
      </c>
      <c r="D59" s="23">
        <f>6*SQRT($B$59)</f>
        <v/>
      </c>
      <c r="E59" s="22">
        <f>IF($B$59=0,"",SQRT($B$59)/SQRT($B$59))</f>
        <v/>
      </c>
      <c r="G59" s="12" t="inlineStr">
        <is>
          <t>Total Gage R&amp;R plus part-to-part — the two unindented rows above. The % Contribution column is each row's share of THIS, so only those two add to 100%; the indented pair already sits inside the first of them.</t>
        </is>
      </c>
    </row>
    <row r="60"/>
    <row r="61" ht="60" customHeight="1">
      <c r="A61" s="12" t="inlineStr">
        <is>
          <t>% Study variation compares STANDARD DEVIATIONS, % Contribution compares VARIANCES, which is why the two columns differ so much. Judge the gage on % study variation: under 10% acceptable, 10–30% marginal, over 30% unacceptable. Read % contribution to see where the damage is coming from.</t>
        </is>
      </c>
    </row>
    <row r="62"/>
    <row r="63">
      <c r="A63" s="8" t="inlineStr">
        <is>
          <t>STEP 5 — how many groups this gage can actually tell apart</t>
        </is>
      </c>
      <c r="B63" s="9" t="n"/>
      <c r="C63" s="9" t="n"/>
      <c r="D63" s="9" t="n"/>
      <c r="E63" s="9" t="n"/>
      <c r="F63" s="9" t="n"/>
      <c r="G63" s="9" t="n"/>
      <c r="H63" s="9" t="n"/>
      <c r="I63" s="9" t="n"/>
      <c r="J63" s="9" t="n"/>
      <c r="K63" s="9" t="n"/>
      <c r="L63" s="9" t="n"/>
      <c r="M63" s="9" t="n"/>
      <c r="N63" s="9" t="n"/>
    </row>
    <row r="64" ht="45" customHeight="1">
      <c r="A64" s="10" t="inlineStr">
        <is>
          <t>Number of distinct categories (ndc)</t>
        </is>
      </c>
      <c r="B64" s="20">
        <f>IF($B$55=0,"",MAX(1,INT(1.41*SQRT($B$58)/SQRT($B$55))))</f>
        <v/>
      </c>
      <c r="C64" s="12" t="inlineStr">
        <is>
          <t>How many groups the gage can separate across your part range. Want 5 or more. Below 5 the gage sorts into a handful of buckets, and 4 means it is telling you 'high, medium-high, medium, low' and nothing finer.</t>
        </is>
      </c>
    </row>
    <row r="65" ht="45" customHeight="1">
      <c r="A65" s="10" t="inlineStr">
        <is>
          <t>% Tolerance (Gage R&amp;R against the spec width)</t>
        </is>
      </c>
      <c r="B65" s="22">
        <f>IF($B$9=0,"",6*SQRT($B$55)/$B$9)</f>
        <v/>
      </c>
      <c r="C65" s="12" t="inlineStr">
        <is>
          <t>Only meaningful if you entered a tolerance. Same bands as % study variation. A gage can be fine against the spec and useless for improvement work, because improvement needs it to resolve variation the spec does not care about.</t>
        </is>
      </c>
    </row>
    <row r="66"/>
    <row r="67">
      <c r="A67" s="7" t="inlineStr">
        <is>
          <t>30% reference line — chart plumbing, not a result. The same number repeated once per bar is what lets the chart draw one flat line across all four of them.</t>
        </is>
      </c>
      <c r="B67" s="26" t="n">
        <v>0.3</v>
      </c>
      <c r="C67" s="26" t="n">
        <v>0.3</v>
      </c>
      <c r="D67" s="26" t="n">
        <v>0.3</v>
      </c>
      <c r="E67" s="26" t="n">
        <v>0.3</v>
      </c>
    </row>
  </sheetData>
  <mergeCells count="34">
    <mergeCell ref="E49:N49"/>
    <mergeCell ref="C65:N65"/>
    <mergeCell ref="A31:N31"/>
    <mergeCell ref="P21:X21"/>
    <mergeCell ref="G56:N56"/>
    <mergeCell ref="G59:N59"/>
    <mergeCell ref="C9:N9"/>
    <mergeCell ref="A11:N11"/>
    <mergeCell ref="A45:N45"/>
    <mergeCell ref="A1:N1"/>
    <mergeCell ref="A61:N61"/>
    <mergeCell ref="E47:N47"/>
    <mergeCell ref="C27:N27"/>
    <mergeCell ref="E50:N50"/>
    <mergeCell ref="A25:N25"/>
    <mergeCell ref="G57:N57"/>
    <mergeCell ref="C8:N8"/>
    <mergeCell ref="C7:N7"/>
    <mergeCell ref="E48:N48"/>
    <mergeCell ref="A2:N2"/>
    <mergeCell ref="C28:N28"/>
    <mergeCell ref="G58:N58"/>
    <mergeCell ref="E51:N51"/>
    <mergeCell ref="A23:N23"/>
    <mergeCell ref="C30:N30"/>
    <mergeCell ref="G55:N55"/>
    <mergeCell ref="C6:N6"/>
    <mergeCell ref="A53:N53"/>
    <mergeCell ref="A4:N4"/>
    <mergeCell ref="C5:N5"/>
    <mergeCell ref="A43:N43"/>
    <mergeCell ref="A63:N63"/>
    <mergeCell ref="C64:N64"/>
    <mergeCell ref="C29:N29"/>
  </mergeCells>
  <printOptions horizontalCentered="1"/>
  <pageMargins left="0.4" right="0.4" top="0.5" bottom="0.5" header="0.5" footer="0.5"/>
  <pageSetup orientation="landscape" fitToHeight="0" fitToWidth="1"/>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six-sigma-blackbelt-support-ops</dc:creator>
  <dcterms:created xsi:type="dcterms:W3CDTF">2026-01-01T00:00:00Z</dcterms:created>
  <dcterms:modified xsi:type="dcterms:W3CDTF">2026-01-01T00:00:00Z</dcterms:modified>
  <cp:lastModifiedBy>six-sigma-blackbelt-support-ops</cp:lastModifiedBy>
</cp:coreProperties>
</file>