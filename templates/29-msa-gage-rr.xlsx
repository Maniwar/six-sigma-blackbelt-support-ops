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2" fontId="0" fillId="4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6" t="n">
        <v>9.15</v>
      </c>
      <c r="C14" s="16" t="n">
        <v>8.68</v>
      </c>
      <c r="D14" s="16" t="n">
        <v>8.949999999999999</v>
      </c>
      <c r="E14" s="16" t="n">
        <v>9.789999999999999</v>
      </c>
      <c r="F14" s="16" t="n">
        <v>10.04</v>
      </c>
      <c r="G14" s="16" t="n">
        <v>10.42</v>
      </c>
      <c r="H14" s="16" t="n">
        <v>8.550000000000001</v>
      </c>
      <c r="I14" s="16" t="n">
        <v>7.9</v>
      </c>
      <c r="J14" s="16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6" t="n">
        <v>12.39</v>
      </c>
      <c r="C15" s="16" t="n">
        <v>12.17</v>
      </c>
      <c r="D15" s="16" t="n">
        <v>12.9</v>
      </c>
      <c r="E15" s="16" t="n">
        <v>13.33</v>
      </c>
      <c r="F15" s="16" t="n">
        <v>13.55</v>
      </c>
      <c r="G15" s="16" t="n">
        <v>13.4</v>
      </c>
      <c r="H15" s="16" t="n">
        <v>12.53</v>
      </c>
      <c r="I15" s="16" t="n">
        <v>11.45</v>
      </c>
      <c r="J15" s="16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6" t="n">
        <v>6.4</v>
      </c>
      <c r="C16" s="16" t="n">
        <v>6.7</v>
      </c>
      <c r="D16" s="16" t="n">
        <v>5.66</v>
      </c>
      <c r="E16" s="16" t="n">
        <v>6.99</v>
      </c>
      <c r="F16" s="16" t="n">
        <v>6.81</v>
      </c>
      <c r="G16" s="16" t="n">
        <v>7.65</v>
      </c>
      <c r="H16" s="16" t="n">
        <v>6.09</v>
      </c>
      <c r="I16" s="16" t="n">
        <v>5.53</v>
      </c>
      <c r="J16" s="16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6" t="n">
        <v>11.02</v>
      </c>
      <c r="C17" s="16" t="n">
        <v>10.14</v>
      </c>
      <c r="D17" s="16" t="n">
        <v>11.16</v>
      </c>
      <c r="E17" s="16" t="n">
        <v>11.68</v>
      </c>
      <c r="F17" s="16" t="n">
        <v>11.4</v>
      </c>
      <c r="G17" s="16" t="n">
        <v>11.84</v>
      </c>
      <c r="H17" s="16" t="n">
        <v>10.52</v>
      </c>
      <c r="I17" s="16" t="n">
        <v>10.3</v>
      </c>
      <c r="J17" s="16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6" t="n">
        <v>14.62</v>
      </c>
      <c r="C18" s="16" t="n">
        <v>14.93</v>
      </c>
      <c r="D18" s="16" t="n">
        <v>14.79</v>
      </c>
      <c r="E18" s="16" t="n">
        <v>15.91</v>
      </c>
      <c r="F18" s="16" t="n">
        <v>15.83</v>
      </c>
      <c r="G18" s="16" t="n">
        <v>15.44</v>
      </c>
      <c r="H18" s="16" t="n">
        <v>13.78</v>
      </c>
      <c r="I18" s="16" t="n">
        <v>13.82</v>
      </c>
      <c r="J18" s="16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6" t="n">
        <v>7.96</v>
      </c>
      <c r="C19" s="16" t="n">
        <v>7.66</v>
      </c>
      <c r="D19" s="16" t="n">
        <v>8.25</v>
      </c>
      <c r="E19" s="16" t="n">
        <v>9.029999999999999</v>
      </c>
      <c r="F19" s="16" t="n">
        <v>9.48</v>
      </c>
      <c r="G19" s="16" t="n">
        <v>9.640000000000001</v>
      </c>
      <c r="H19" s="16" t="n">
        <v>7.73</v>
      </c>
      <c r="I19" s="16" t="n">
        <v>7.56</v>
      </c>
      <c r="J19" s="16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6" t="n">
        <v>11.47</v>
      </c>
      <c r="C20" s="16" t="n">
        <v>11.83</v>
      </c>
      <c r="D20" s="16" t="n">
        <v>11.55</v>
      </c>
      <c r="E20" s="16" t="n">
        <v>12.9</v>
      </c>
      <c r="F20" s="16" t="n">
        <v>12.79</v>
      </c>
      <c r="G20" s="16" t="n">
        <v>12.99</v>
      </c>
      <c r="H20" s="16" t="n">
        <v>11.52</v>
      </c>
      <c r="I20" s="16" t="n">
        <v>11.83</v>
      </c>
      <c r="J20" s="16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6" t="n">
        <v>7.33</v>
      </c>
      <c r="C21" s="16" t="n">
        <v>7.68</v>
      </c>
      <c r="D21" s="16" t="n">
        <v>7.33</v>
      </c>
      <c r="E21" s="16" t="n">
        <v>8.550000000000001</v>
      </c>
      <c r="F21" s="16" t="n">
        <v>8.73</v>
      </c>
      <c r="G21" s="16" t="n">
        <v>9.199999999999999</v>
      </c>
      <c r="H21" s="16" t="n">
        <v>7.52</v>
      </c>
      <c r="I21" s="16" t="n">
        <v>7.2</v>
      </c>
      <c r="J21" s="16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6" t="n">
        <v>13.08</v>
      </c>
      <c r="C22" s="16" t="n">
        <v>13.37</v>
      </c>
      <c r="D22" s="16" t="n">
        <v>12.91</v>
      </c>
      <c r="E22" s="16" t="n">
        <v>14.19</v>
      </c>
      <c r="F22" s="16" t="n">
        <v>14.11</v>
      </c>
      <c r="G22" s="16" t="n">
        <v>14.28</v>
      </c>
      <c r="H22" s="16" t="n">
        <v>12.6</v>
      </c>
      <c r="I22" s="16" t="n">
        <v>12.93</v>
      </c>
      <c r="J22" s="16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7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7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7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7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7">
        <f>AVERAGE(B13:D13)</f>
        <v/>
      </c>
      <c r="C33" s="17">
        <f>AVERAGE(E13:G13)</f>
        <v/>
      </c>
      <c r="D33" s="17">
        <f>AVERAGE(H13:J13)</f>
        <v/>
      </c>
    </row>
    <row r="34">
      <c r="A34" s="8" t="inlineStr">
        <is>
          <t>Part 2</t>
        </is>
      </c>
      <c r="B34" s="17">
        <f>AVERAGE(B14:D14)</f>
        <v/>
      </c>
      <c r="C34" s="17">
        <f>AVERAGE(E14:G14)</f>
        <v/>
      </c>
      <c r="D34" s="17">
        <f>AVERAGE(H14:J14)</f>
        <v/>
      </c>
    </row>
    <row r="35">
      <c r="A35" s="8" t="inlineStr">
        <is>
          <t>Part 3</t>
        </is>
      </c>
      <c r="B35" s="17">
        <f>AVERAGE(B15:D15)</f>
        <v/>
      </c>
      <c r="C35" s="17">
        <f>AVERAGE(E15:G15)</f>
        <v/>
      </c>
      <c r="D35" s="17">
        <f>AVERAGE(H15:J15)</f>
        <v/>
      </c>
    </row>
    <row r="36">
      <c r="A36" s="8" t="inlineStr">
        <is>
          <t>Part 4</t>
        </is>
      </c>
      <c r="B36" s="17">
        <f>AVERAGE(B16:D16)</f>
        <v/>
      </c>
      <c r="C36" s="17">
        <f>AVERAGE(E16:G16)</f>
        <v/>
      </c>
      <c r="D36" s="17">
        <f>AVERAGE(H16:J16)</f>
        <v/>
      </c>
    </row>
    <row r="37">
      <c r="A37" s="8" t="inlineStr">
        <is>
          <t>Part 5</t>
        </is>
      </c>
      <c r="B37" s="17">
        <f>AVERAGE(B17:D17)</f>
        <v/>
      </c>
      <c r="C37" s="17">
        <f>AVERAGE(E17:G17)</f>
        <v/>
      </c>
      <c r="D37" s="17">
        <f>AVERAGE(H17:J17)</f>
        <v/>
      </c>
    </row>
    <row r="38">
      <c r="A38" s="8" t="inlineStr">
        <is>
          <t>Part 6</t>
        </is>
      </c>
      <c r="B38" s="17">
        <f>AVERAGE(B18:D18)</f>
        <v/>
      </c>
      <c r="C38" s="17">
        <f>AVERAGE(E18:G18)</f>
        <v/>
      </c>
      <c r="D38" s="17">
        <f>AVERAGE(H18:J18)</f>
        <v/>
      </c>
    </row>
    <row r="39">
      <c r="A39" s="8" t="inlineStr">
        <is>
          <t>Part 7</t>
        </is>
      </c>
      <c r="B39" s="17">
        <f>AVERAGE(B19:D19)</f>
        <v/>
      </c>
      <c r="C39" s="17">
        <f>AVERAGE(E19:G19)</f>
        <v/>
      </c>
      <c r="D39" s="17">
        <f>AVERAGE(H19:J19)</f>
        <v/>
      </c>
    </row>
    <row r="40">
      <c r="A40" s="8" t="inlineStr">
        <is>
          <t>Part 8</t>
        </is>
      </c>
      <c r="B40" s="17">
        <f>AVERAGE(B20:D20)</f>
        <v/>
      </c>
      <c r="C40" s="17">
        <f>AVERAGE(E20:G20)</f>
        <v/>
      </c>
      <c r="D40" s="17">
        <f>AVERAGE(H20:J20)</f>
        <v/>
      </c>
    </row>
    <row r="41">
      <c r="A41" s="8" t="inlineStr">
        <is>
          <t>Part 9</t>
        </is>
      </c>
      <c r="B41" s="17">
        <f>AVERAGE(B21:D21)</f>
        <v/>
      </c>
      <c r="C41" s="17">
        <f>AVERAGE(E21:G21)</f>
        <v/>
      </c>
      <c r="D41" s="17">
        <f>AVERAGE(H21:J21)</f>
        <v/>
      </c>
    </row>
    <row r="42">
      <c r="A42" s="8" t="inlineStr">
        <is>
          <t>Part 10</t>
        </is>
      </c>
      <c r="B42" s="17">
        <f>AVERAGE(B22:D22)</f>
        <v/>
      </c>
      <c r="C42" s="17">
        <f>AVERAGE(E22:G22)</f>
        <v/>
      </c>
      <c r="D42" s="17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7">
        <f>9*DEVSQ(K13:K22)</f>
        <v/>
      </c>
      <c r="C47" s="18" t="n">
        <v>9</v>
      </c>
      <c r="D47" s="17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7">
        <f>30*DEVSQ(B28:B30)</f>
        <v/>
      </c>
      <c r="C48" s="18" t="n">
        <v>2</v>
      </c>
      <c r="D48" s="17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7">
        <f>3*DEVSQ(B33:D42)-$B$47-$B$48</f>
        <v/>
      </c>
      <c r="C49" s="18" t="n">
        <v>18</v>
      </c>
      <c r="D49" s="17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7">
        <f>$B$51-3*DEVSQ(B33:D42)</f>
        <v/>
      </c>
      <c r="C50" s="18" t="n">
        <v>60</v>
      </c>
      <c r="D50" s="17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7">
        <f>DEVSQ(B13:J22)</f>
        <v/>
      </c>
      <c r="C51" s="18" t="n">
        <v>89</v>
      </c>
      <c r="D51" s="17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9">
        <f>MAX(0,$D$50)+MAX(0,($D$48-$D$49)/30)+MAX(0,($D$49-$D$50)/3)</f>
        <v/>
      </c>
      <c r="C55" s="20">
        <f>IF($B$59=0,"",$B$55/$B$59)</f>
        <v/>
      </c>
      <c r="D55" s="21">
        <f>6*SQRT($B$55)</f>
        <v/>
      </c>
      <c r="E55" s="20">
        <f>IF($B$59=0,"",SQRT($B$55)/SQRT($B$59))</f>
        <v/>
      </c>
      <c r="F55" s="22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3" t="inlineStr">
        <is>
          <t>Repeatability</t>
        </is>
      </c>
      <c r="B56" s="19">
        <f>MAX(0,$D$50)</f>
        <v/>
      </c>
      <c r="C56" s="20">
        <f>IF($B$59=0,"",$B$56/$B$59)</f>
        <v/>
      </c>
      <c r="D56" s="21">
        <f>6*SQRT($B$56)</f>
        <v/>
      </c>
      <c r="E56" s="20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3" t="inlineStr">
        <is>
          <t>Reproducibility</t>
        </is>
      </c>
      <c r="B57" s="19">
        <f>MAX(0,($D$48-$D$49)/30)+MAX(0,($D$49-$D$50)/3)</f>
        <v/>
      </c>
      <c r="C57" s="20">
        <f>IF($B$59=0,"",$B$57/$B$59)</f>
        <v/>
      </c>
      <c r="D57" s="21">
        <f>6*SQRT($B$57)</f>
        <v/>
      </c>
      <c r="E57" s="20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9">
        <f>MAX(0,($D$47-$D$49)/9)</f>
        <v/>
      </c>
      <c r="C58" s="20">
        <f>IF($B$59=0,"",$B$58/$B$59)</f>
        <v/>
      </c>
      <c r="D58" s="21">
        <f>6*SQRT($B$58)</f>
        <v/>
      </c>
      <c r="E58" s="20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9">
        <f>$B$55+$B$58</f>
        <v/>
      </c>
      <c r="C59" s="20">
        <f>IF($B$59=0,"",$B$59/$B$59)</f>
        <v/>
      </c>
      <c r="D59" s="21">
        <f>6*SQRT($B$59)</f>
        <v/>
      </c>
      <c r="E59" s="20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8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20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4" t="n">
        <v>0.3</v>
      </c>
      <c r="C67" s="24" t="n">
        <v>0.3</v>
      </c>
      <c r="D67" s="24" t="n">
        <v>0.3</v>
      </c>
      <c r="E67" s="24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