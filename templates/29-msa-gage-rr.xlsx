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Gage R&amp;R stud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"/>
    <numFmt numFmtId="165" formatCode="0.0000"/>
    <numFmt numFmtId="166" formatCode="0.00000"/>
    <numFmt numFmtId="167" formatCode="0.0%"/>
    <numFmt numFmtId="168" formatCode="0.000"/>
  </numFmts>
  <fonts count="7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sz val="11"/>
    </font>
    <font>
      <b val="1"/>
      <color rgb="FFFFFFFF"/>
      <sz val="10"/>
    </font>
    <font>
      <color rgb="FF1D4ED8"/>
      <sz val="11"/>
    </font>
    <font>
      <sz val="11"/>
    </font>
  </fonts>
  <fills count="7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EEF1F6"/>
      </patternFill>
    </fill>
    <fill>
      <patternFill patternType="solid">
        <fgColor rgb="FFFFF9E3"/>
      </patternFill>
    </fill>
    <fill>
      <patternFill patternType="solid">
        <fgColor rgb="FF333C49"/>
      </patternFill>
    </fill>
    <fill>
      <patternFill patternType="solid">
        <fgColor rgb="FFF2F7FF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0" fontId="3" fillId="0" borderId="0" pivotButton="0" quotePrefix="0" xfId="0"/>
    <xf numFmtId="0" fontId="0" fillId="4" borderId="1" pivotButton="0" quotePrefix="0" xfId="0"/>
    <xf numFmtId="0" fontId="2" fillId="0" borderId="0" applyAlignment="1" pivotButton="0" quotePrefix="0" xfId="0">
      <alignment vertical="center" wrapText="1"/>
    </xf>
    <xf numFmtId="1" fontId="0" fillId="4" borderId="1" pivotButton="0" quotePrefix="0" xfId="0"/>
    <xf numFmtId="164" fontId="0" fillId="4" borderId="1" pivotButton="0" quotePrefix="0" xfId="0"/>
    <xf numFmtId="0" fontId="4" fillId="5" borderId="0" applyAlignment="1" pivotButton="0" quotePrefix="0" xfId="0">
      <alignment vertical="center" wrapText="1"/>
    </xf>
    <xf numFmtId="2" fontId="0" fillId="4" borderId="1" pivotButton="0" quotePrefix="0" xfId="0"/>
    <xf numFmtId="2" fontId="5" fillId="6" borderId="1" pivotButton="0" quotePrefix="0" xfId="0"/>
    <xf numFmtId="165" fontId="5" fillId="6" borderId="1" pivotButton="0" quotePrefix="0" xfId="0"/>
    <xf numFmtId="1" fontId="5" fillId="6" borderId="1" pivotButton="0" quotePrefix="0" xfId="0"/>
    <xf numFmtId="166" fontId="5" fillId="6" borderId="1" pivotButton="0" quotePrefix="0" xfId="0"/>
    <xf numFmtId="167" fontId="5" fillId="6" borderId="1" pivotButton="0" quotePrefix="0" xfId="0"/>
    <xf numFmtId="168" fontId="5" fillId="6" borderId="1" pivotButton="0" quotePrefix="0" xfId="0"/>
    <xf numFmtId="0" fontId="5" fillId="6" borderId="1" pivotButton="0" quotePrefix="0" xfId="0"/>
    <xf numFmtId="0" fontId="6" fillId="0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Where your measurement error is — under 30% or the study stops here</a:t>
            </a:r>
          </a:p>
        </rich>
      </tx>
    </title>
    <plotArea>
      <barChart>
        <barDir val="col"/>
        <grouping val="clustered"/>
        <ser>
          <idx val="0"/>
          <order val="0"/>
          <tx>
            <v>% study variation</v>
          </tx>
          <spPr>
            <a:ln>
              <a:prstDash val="solid"/>
            </a:ln>
          </spPr>
          <invertIfNegative val="0"/>
          <dPt>
            <idx val="0"/>
            <spPr>
              <a:solidFill>
                <a:srgbClr val="C0392B"/>
              </a:solidFill>
              <a:ln>
                <a:prstDash val="solid"/>
              </a:ln>
            </spPr>
          </dPt>
          <dPt>
            <idx val="1"/>
            <spPr>
              <a:solidFill>
                <a:srgbClr val="E08A3C"/>
              </a:solidFill>
              <a:ln>
                <a:prstDash val="solid"/>
              </a:ln>
            </spPr>
          </dPt>
          <dPt>
            <idx val="2"/>
            <spPr>
              <a:solidFill>
                <a:srgbClr val="B45309"/>
              </a:solidFill>
              <a:ln>
                <a:prstDash val="solid"/>
              </a:ln>
            </spPr>
          </dPt>
          <dPt>
            <idx val="3"/>
            <spPr>
              <a:solidFill>
                <a:srgbClr val="1D6F42"/>
              </a:solidFill>
              <a:ln>
                <a:prstDash val="solid"/>
              </a:ln>
            </spPr>
          </dPt>
          <cat>
            <numRef>
              <f>'Gage R&amp;R study'!$A$55:$A$58</f>
            </numRef>
          </cat>
          <val>
            <numRef>
              <f>'Gage R&amp;R study'!$E$55:$E$58</f>
            </numRef>
          </val>
        </ser>
        <gapWidth val="60"/>
        <axId val="10"/>
        <axId val="100"/>
      </barChart>
      <lineChart>
        <grouping val="standard"/>
        <ser>
          <idx val="1"/>
          <order val="1"/>
          <tx>
            <v>30% — above this the gage is unacceptable</v>
          </tx>
          <spPr>
            <a:ln w="18000"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'Gage R&amp;R study'!$B$67:$E$67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of total study variation</a:t>
                </a:r>
              </a:p>
            </rich>
          </tx>
        </title>
        <numFmt formatCode="0%" sourceLinked="0"/>
        <majorTickMark val="none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Template</author>
  </authors>
  <commentList>
    <comment ref="B5" authorId="0" shapeId="0">
      <text>
        <t>Name the measurement, not the metric. 'Handle time from the CRM timestamps' and 'handle time as the analyst clocks it' are two different gages.</t>
      </text>
    </comment>
    <comment ref="B6" authorId="0" shapeId="0">
      <text>
        <t>Ten minimum, and they must span the RANGE YOU ACTUALLY SEE. Sampling ten routine contacts is the single most common way a study flatters the gage.</t>
      </text>
    </comment>
    <comment ref="B7" authorId="0" shapeId="0">
      <text>
        <t>Three minimum. Fewer and reproducibility is a guess.</t>
      </text>
    </comment>
    <comment ref="B8" authorId="0" shapeId="0">
      <text>
        <t>Two minimum, three is better. Randomise the order and blind them to their own previous answer, or you are measuring memory.</t>
      </text>
    </comment>
    <comment ref="B9" authorId="0" shapeId="0">
      <text>
        <t>Only if you have a spec. Leave it if you do not — %study variation is the reading that matters either way. Here: an 18-minute SLA less a 6-minute floor.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2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Continuous Gage R&amp;R — what this answers</t>
        </is>
      </c>
    </row>
    <row r="3" ht="45" customHeight="1">
      <c r="B3" s="2" t="inlineStr">
        <is>
          <t>Before you analyse a continuous metric, find out how much of its variation is the measurement rather than the process. If the gage eats 30% of the variation, every capability number and every hypothesis test downstream is an opinion with decimal places on it.</t>
        </is>
      </c>
    </row>
    <row r="4">
      <c r="B4" s="1" t="inlineStr">
        <is>
          <t>Running the study</t>
        </is>
      </c>
    </row>
    <row r="5" ht="45" customHeight="1">
      <c r="B5" s="2" t="inlineStr">
        <is>
          <t>Pick 10 parts that SPAN THE RANGE YOU ACTUALLY SEE — not ten typical ones. Have 3 appraisers measure each part 3 times. Randomise the order, and make sure no appraiser can see their own earlier answer or anyone else's. Type the 90 readings into the yellow grid; the rest of the workbook is formulas.</t>
        </is>
      </c>
    </row>
    <row r="6">
      <c r="B6" s="1" t="inlineStr">
        <is>
          <t>Reading the answer</t>
        </is>
      </c>
    </row>
    <row r="7" ht="60" customHeight="1">
      <c r="B7" s="2" t="inlineStr">
        <is>
          <t>% Study variation is the headline: under 10% acceptable, 10–30% marginal, over 30% unacceptable. Then look at the split. Repeatability high means the method is loose — tighten the definition. Reproducibility high means the PEOPLE disagree — that is a calibration and rubric problem, and buying a new tool will not touch it.</t>
        </is>
      </c>
    </row>
    <row r="8">
      <c r="B8" s="1" t="inlineStr">
        <is>
          <t>ndc, and why 5</t>
        </is>
      </c>
    </row>
    <row r="9" ht="45" customHeight="1">
      <c r="B9" s="2" t="inlineStr">
        <is>
          <t>Number of distinct categories is how many groups the gage can separate across your parts. Below 5 you effectively have an ordinal scale wearing a number's clothing, and the arithmetic you do on it will not mean what you think.</t>
        </is>
      </c>
    </row>
    <row r="10">
      <c r="B10" s="1" t="inlineStr">
        <is>
          <t>The support-specific trap</t>
        </is>
      </c>
    </row>
    <row r="11" ht="60" customHeight="1">
      <c r="B11" s="2" t="inlineStr">
        <is>
          <t>In support the 'gage' is usually a timestamp definition or a human judgement, not an instrument. Two analysts timing the same call differ because they disagree about when after-call work ends, which is a definition problem showing up as measurement error. Fix the operational definition first (04-operational-definition.md), then re-run this — it is usually most of the gap.</t>
        </is>
      </c>
    </row>
    <row r="12">
      <c r="B12" s="1" t="inlineStr">
        <is>
          <t>Where the numbers go next</t>
        </is>
      </c>
    </row>
    <row r="13" ht="30" customHeight="1">
      <c r="B13" s="2" t="inlineStr">
        <is>
          <t>The verdict and the two percentages belong in 08-msa-gage-rr.md, which is the one-page record you sign. Do not start capability analysis until this passes.</t>
        </is>
      </c>
    </row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N67"/>
  <sheetViews>
    <sheetView showGridLines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4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2" customWidth="1" min="11" max="11"/>
    <col width="12" customWidth="1" min="12" max="12"/>
    <col width="14" customWidth="1" min="13" max="13"/>
    <col width="14" customWidth="1" min="14" max="14"/>
  </cols>
  <sheetData>
    <row r="1" ht="26" customHeight="1">
      <c r="A1" s="3" t="inlineStr">
        <is>
          <t>Measurement System Analysis — continuous Gage R&amp;R (crossed, ANOVA)</t>
        </is>
      </c>
      <c r="B1" s="4" t="n"/>
      <c r="C1" s="4" t="n"/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</row>
    <row r="2">
      <c r="A2" s="5" t="inlineStr">
        <is>
          <t>How much of the variation you are about to analyse is the measurement rather than the process. Type the yellow cells; everything else calculates.</t>
        </is>
      </c>
    </row>
    <row r="3"/>
    <row r="4">
      <c r="A4" s="6" t="inlineStr">
        <is>
          <t>THE STUDY — what you measured, and what you will compare it against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</row>
    <row r="5" ht="30" customHeight="1">
      <c r="A5" s="8" t="inlineStr">
        <is>
          <t>What is being measured</t>
        </is>
      </c>
      <c r="B5" s="9" t="inlineStr">
        <is>
          <t>Handle time on a billing adjustment, in minutes</t>
        </is>
      </c>
      <c r="C5" s="10" t="inlineStr">
        <is>
          <t>Name the measurement, not the metric. 'Handle time from the CRM timestamps' and 'handle time as the analyst clocks it' are two different gages.</t>
        </is>
      </c>
    </row>
    <row r="6" ht="30" customHeight="1">
      <c r="A6" s="8" t="inlineStr">
        <is>
          <t>Parts / items in the study</t>
        </is>
      </c>
      <c r="B6" s="11" t="n">
        <v>10</v>
      </c>
      <c r="C6" s="10" t="inlineStr">
        <is>
          <t>Ten minimum, and they must span the RANGE YOU ACTUALLY SEE. Sampling ten routine contacts is the single most common way a study flatters the gage.</t>
        </is>
      </c>
    </row>
    <row r="7" ht="15" customHeight="1">
      <c r="A7" s="8" t="inlineStr">
        <is>
          <t>Appraisers / observers</t>
        </is>
      </c>
      <c r="B7" s="11" t="n">
        <v>3</v>
      </c>
      <c r="C7" s="10" t="inlineStr">
        <is>
          <t>Three minimum. Fewer and reproducibility is a guess.</t>
        </is>
      </c>
    </row>
    <row r="8" ht="30" customHeight="1">
      <c r="A8" s="8" t="inlineStr">
        <is>
          <t>Replicates (each appraiser measures each part this many times)</t>
        </is>
      </c>
      <c r="B8" s="11" t="n">
        <v>3</v>
      </c>
      <c r="C8" s="10" t="inlineStr">
        <is>
          <t>Two minimum, three is better. Randomise the order and blind them to their own previous answer, or you are measuring memory.</t>
        </is>
      </c>
    </row>
    <row r="9" ht="30" customHeight="1">
      <c r="A9" s="8" t="inlineStr">
        <is>
          <t>Tolerance width (upper spec − lower spec), same units</t>
        </is>
      </c>
      <c r="B9" s="12" t="n">
        <v>12</v>
      </c>
      <c r="C9" s="10" t="inlineStr">
        <is>
          <t>Only if you have a spec. Leave it if you do not — %study variation is the reading that matters either way. Here: an 18-minute SLA less a 6-minute floor.</t>
        </is>
      </c>
    </row>
    <row r="10"/>
    <row r="11">
      <c r="A11" s="6" t="inlineStr">
        <is>
          <t>THE MEASUREMENTS — one row per part, three trials per appraiser</t>
        </is>
      </c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</row>
    <row r="12" ht="30" customHeight="1">
      <c r="A12" s="13" t="inlineStr">
        <is>
          <t>Part</t>
        </is>
      </c>
      <c r="B12" s="13" t="inlineStr">
        <is>
          <t>A trial 1</t>
        </is>
      </c>
      <c r="C12" s="13" t="inlineStr">
        <is>
          <t>A trial 2</t>
        </is>
      </c>
      <c r="D12" s="13" t="inlineStr">
        <is>
          <t>A trial 3</t>
        </is>
      </c>
      <c r="E12" s="13" t="inlineStr">
        <is>
          <t>B trial 1</t>
        </is>
      </c>
      <c r="F12" s="13" t="inlineStr">
        <is>
          <t>B trial 2</t>
        </is>
      </c>
      <c r="G12" s="13" t="inlineStr">
        <is>
          <t>B trial 3</t>
        </is>
      </c>
      <c r="H12" s="13" t="inlineStr">
        <is>
          <t>C trial 1</t>
        </is>
      </c>
      <c r="I12" s="13" t="inlineStr">
        <is>
          <t>C trial 2</t>
        </is>
      </c>
      <c r="J12" s="13" t="inlineStr">
        <is>
          <t>C trial 3</t>
        </is>
      </c>
      <c r="K12" s="13" t="inlineStr">
        <is>
          <t>Part mean</t>
        </is>
      </c>
      <c r="L12" s="13" t="inlineStr">
        <is>
          <t>Part range</t>
        </is>
      </c>
      <c r="M12" s="13" t="inlineStr">
        <is>
          <t>Widest trial spread</t>
        </is>
      </c>
    </row>
    <row r="13">
      <c r="A13" s="8" t="inlineStr">
        <is>
          <t>Part 1</t>
        </is>
      </c>
      <c r="B13" s="14" t="n">
        <v>7.01</v>
      </c>
      <c r="C13" s="14" t="n">
        <v>7.26</v>
      </c>
      <c r="D13" s="14" t="n">
        <v>7.98</v>
      </c>
      <c r="E13" s="14" t="n">
        <v>8.369999999999999</v>
      </c>
      <c r="F13" s="14" t="n">
        <v>8.43</v>
      </c>
      <c r="G13" s="14" t="n">
        <v>7.8</v>
      </c>
      <c r="H13" s="14" t="n">
        <v>7.36</v>
      </c>
      <c r="I13" s="14" t="n">
        <v>6.89</v>
      </c>
      <c r="J13" s="14" t="n">
        <v>7.05</v>
      </c>
      <c r="K13" s="15">
        <f>AVERAGE(B13:J13)</f>
        <v/>
      </c>
      <c r="L13" s="15">
        <f>MAX(B13:J13)-MIN(B13:J13)</f>
        <v/>
      </c>
      <c r="M13" s="15">
        <f>MAX(MAX(B13:D13)-MIN(B13:D13),MAX(E13:G13)-MIN(E13:G13),MAX(H13:J13)-MIN(H13:J13))</f>
        <v/>
      </c>
    </row>
    <row r="14">
      <c r="A14" s="8" t="inlineStr">
        <is>
          <t>Part 2</t>
        </is>
      </c>
      <c r="B14" s="14" t="n">
        <v>9.15</v>
      </c>
      <c r="C14" s="14" t="n">
        <v>8.68</v>
      </c>
      <c r="D14" s="14" t="n">
        <v>8.949999999999999</v>
      </c>
      <c r="E14" s="14" t="n">
        <v>9.789999999999999</v>
      </c>
      <c r="F14" s="14" t="n">
        <v>10.04</v>
      </c>
      <c r="G14" s="14" t="n">
        <v>10.42</v>
      </c>
      <c r="H14" s="14" t="n">
        <v>8.550000000000001</v>
      </c>
      <c r="I14" s="14" t="n">
        <v>7.9</v>
      </c>
      <c r="J14" s="14" t="n">
        <v>8.43</v>
      </c>
      <c r="K14" s="15">
        <f>AVERAGE(B14:J14)</f>
        <v/>
      </c>
      <c r="L14" s="15">
        <f>MAX(B14:J14)-MIN(B14:J14)</f>
        <v/>
      </c>
      <c r="M14" s="15">
        <f>MAX(MAX(B14:D14)-MIN(B14:D14),MAX(E14:G14)-MIN(E14:G14),MAX(H14:J14)-MIN(H14:J14))</f>
        <v/>
      </c>
    </row>
    <row r="15">
      <c r="A15" s="8" t="inlineStr">
        <is>
          <t>Part 3</t>
        </is>
      </c>
      <c r="B15" s="14" t="n">
        <v>12.39</v>
      </c>
      <c r="C15" s="14" t="n">
        <v>12.17</v>
      </c>
      <c r="D15" s="14" t="n">
        <v>12.9</v>
      </c>
      <c r="E15" s="14" t="n">
        <v>13.33</v>
      </c>
      <c r="F15" s="14" t="n">
        <v>13.55</v>
      </c>
      <c r="G15" s="14" t="n">
        <v>13.4</v>
      </c>
      <c r="H15" s="14" t="n">
        <v>12.53</v>
      </c>
      <c r="I15" s="14" t="n">
        <v>11.45</v>
      </c>
      <c r="J15" s="14" t="n">
        <v>11.6</v>
      </c>
      <c r="K15" s="15">
        <f>AVERAGE(B15:J15)</f>
        <v/>
      </c>
      <c r="L15" s="15">
        <f>MAX(B15:J15)-MIN(B15:J15)</f>
        <v/>
      </c>
      <c r="M15" s="15">
        <f>MAX(MAX(B15:D15)-MIN(B15:D15),MAX(E15:G15)-MIN(E15:G15),MAX(H15:J15)-MIN(H15:J15))</f>
        <v/>
      </c>
    </row>
    <row r="16">
      <c r="A16" s="8" t="inlineStr">
        <is>
          <t>Part 4</t>
        </is>
      </c>
      <c r="B16" s="14" t="n">
        <v>6.4</v>
      </c>
      <c r="C16" s="14" t="n">
        <v>6.7</v>
      </c>
      <c r="D16" s="14" t="n">
        <v>5.66</v>
      </c>
      <c r="E16" s="14" t="n">
        <v>6.99</v>
      </c>
      <c r="F16" s="14" t="n">
        <v>6.81</v>
      </c>
      <c r="G16" s="14" t="n">
        <v>7.65</v>
      </c>
      <c r="H16" s="14" t="n">
        <v>6.09</v>
      </c>
      <c r="I16" s="14" t="n">
        <v>5.53</v>
      </c>
      <c r="J16" s="14" t="n">
        <v>5.19</v>
      </c>
      <c r="K16" s="15">
        <f>AVERAGE(B16:J16)</f>
        <v/>
      </c>
      <c r="L16" s="15">
        <f>MAX(B16:J16)-MIN(B16:J16)</f>
        <v/>
      </c>
      <c r="M16" s="15">
        <f>MAX(MAX(B16:D16)-MIN(B16:D16),MAX(E16:G16)-MIN(E16:G16),MAX(H16:J16)-MIN(H16:J16))</f>
        <v/>
      </c>
    </row>
    <row r="17">
      <c r="A17" s="8" t="inlineStr">
        <is>
          <t>Part 5</t>
        </is>
      </c>
      <c r="B17" s="14" t="n">
        <v>11.02</v>
      </c>
      <c r="C17" s="14" t="n">
        <v>10.14</v>
      </c>
      <c r="D17" s="14" t="n">
        <v>11.16</v>
      </c>
      <c r="E17" s="14" t="n">
        <v>11.68</v>
      </c>
      <c r="F17" s="14" t="n">
        <v>11.4</v>
      </c>
      <c r="G17" s="14" t="n">
        <v>11.84</v>
      </c>
      <c r="H17" s="14" t="n">
        <v>10.52</v>
      </c>
      <c r="I17" s="14" t="n">
        <v>10.3</v>
      </c>
      <c r="J17" s="14" t="n">
        <v>10.2</v>
      </c>
      <c r="K17" s="15">
        <f>AVERAGE(B17:J17)</f>
        <v/>
      </c>
      <c r="L17" s="15">
        <f>MAX(B17:J17)-MIN(B17:J17)</f>
        <v/>
      </c>
      <c r="M17" s="15">
        <f>MAX(MAX(B17:D17)-MIN(B17:D17),MAX(E17:G17)-MIN(E17:G17),MAX(H17:J17)-MIN(H17:J17))</f>
        <v/>
      </c>
    </row>
    <row r="18">
      <c r="A18" s="8" t="inlineStr">
        <is>
          <t>Part 6</t>
        </is>
      </c>
      <c r="B18" s="14" t="n">
        <v>14.62</v>
      </c>
      <c r="C18" s="14" t="n">
        <v>14.93</v>
      </c>
      <c r="D18" s="14" t="n">
        <v>14.79</v>
      </c>
      <c r="E18" s="14" t="n">
        <v>15.91</v>
      </c>
      <c r="F18" s="14" t="n">
        <v>15.83</v>
      </c>
      <c r="G18" s="14" t="n">
        <v>15.44</v>
      </c>
      <c r="H18" s="14" t="n">
        <v>13.78</v>
      </c>
      <c r="I18" s="14" t="n">
        <v>13.82</v>
      </c>
      <c r="J18" s="14" t="n">
        <v>13.81</v>
      </c>
      <c r="K18" s="15">
        <f>AVERAGE(B18:J18)</f>
        <v/>
      </c>
      <c r="L18" s="15">
        <f>MAX(B18:J18)-MIN(B18:J18)</f>
        <v/>
      </c>
      <c r="M18" s="15">
        <f>MAX(MAX(B18:D18)-MIN(B18:D18),MAX(E18:G18)-MIN(E18:G18),MAX(H18:J18)-MIN(H18:J18))</f>
        <v/>
      </c>
    </row>
    <row r="19">
      <c r="A19" s="8" t="inlineStr">
        <is>
          <t>Part 7</t>
        </is>
      </c>
      <c r="B19" s="14" t="n">
        <v>7.96</v>
      </c>
      <c r="C19" s="14" t="n">
        <v>7.66</v>
      </c>
      <c r="D19" s="14" t="n">
        <v>8.25</v>
      </c>
      <c r="E19" s="14" t="n">
        <v>9.029999999999999</v>
      </c>
      <c r="F19" s="14" t="n">
        <v>9.48</v>
      </c>
      <c r="G19" s="14" t="n">
        <v>9.640000000000001</v>
      </c>
      <c r="H19" s="14" t="n">
        <v>7.73</v>
      </c>
      <c r="I19" s="14" t="n">
        <v>7.56</v>
      </c>
      <c r="J19" s="14" t="n">
        <v>8.220000000000001</v>
      </c>
      <c r="K19" s="15">
        <f>AVERAGE(B19:J19)</f>
        <v/>
      </c>
      <c r="L19" s="15">
        <f>MAX(B19:J19)-MIN(B19:J19)</f>
        <v/>
      </c>
      <c r="M19" s="15">
        <f>MAX(MAX(B19:D19)-MIN(B19:D19),MAX(E19:G19)-MIN(E19:G19),MAX(H19:J19)-MIN(H19:J19))</f>
        <v/>
      </c>
    </row>
    <row r="20">
      <c r="A20" s="8" t="inlineStr">
        <is>
          <t>Part 8</t>
        </is>
      </c>
      <c r="B20" s="14" t="n">
        <v>11.47</v>
      </c>
      <c r="C20" s="14" t="n">
        <v>11.83</v>
      </c>
      <c r="D20" s="14" t="n">
        <v>11.55</v>
      </c>
      <c r="E20" s="14" t="n">
        <v>12.9</v>
      </c>
      <c r="F20" s="14" t="n">
        <v>12.79</v>
      </c>
      <c r="G20" s="14" t="n">
        <v>12.99</v>
      </c>
      <c r="H20" s="14" t="n">
        <v>11.52</v>
      </c>
      <c r="I20" s="14" t="n">
        <v>11.83</v>
      </c>
      <c r="J20" s="14" t="n">
        <v>11.04</v>
      </c>
      <c r="K20" s="15">
        <f>AVERAGE(B20:J20)</f>
        <v/>
      </c>
      <c r="L20" s="15">
        <f>MAX(B20:J20)-MIN(B20:J20)</f>
        <v/>
      </c>
      <c r="M20" s="15">
        <f>MAX(MAX(B20:D20)-MIN(B20:D20),MAX(E20:G20)-MIN(E20:G20),MAX(H20:J20)-MIN(H20:J20))</f>
        <v/>
      </c>
    </row>
    <row r="21">
      <c r="A21" s="8" t="inlineStr">
        <is>
          <t>Part 9</t>
        </is>
      </c>
      <c r="B21" s="14" t="n">
        <v>7.33</v>
      </c>
      <c r="C21" s="14" t="n">
        <v>7.68</v>
      </c>
      <c r="D21" s="14" t="n">
        <v>7.33</v>
      </c>
      <c r="E21" s="14" t="n">
        <v>8.550000000000001</v>
      </c>
      <c r="F21" s="14" t="n">
        <v>8.73</v>
      </c>
      <c r="G21" s="14" t="n">
        <v>9.199999999999999</v>
      </c>
      <c r="H21" s="14" t="n">
        <v>7.52</v>
      </c>
      <c r="I21" s="14" t="n">
        <v>7.2</v>
      </c>
      <c r="J21" s="14" t="n">
        <v>7.97</v>
      </c>
      <c r="K21" s="15">
        <f>AVERAGE(B21:J21)</f>
        <v/>
      </c>
      <c r="L21" s="15">
        <f>MAX(B21:J21)-MIN(B21:J21)</f>
        <v/>
      </c>
      <c r="M21" s="15">
        <f>MAX(MAX(B21:D21)-MIN(B21:D21),MAX(E21:G21)-MIN(E21:G21),MAX(H21:J21)-MIN(H21:J21))</f>
        <v/>
      </c>
    </row>
    <row r="22">
      <c r="A22" s="8" t="inlineStr">
        <is>
          <t>Part 10</t>
        </is>
      </c>
      <c r="B22" s="14" t="n">
        <v>13.08</v>
      </c>
      <c r="C22" s="14" t="n">
        <v>13.37</v>
      </c>
      <c r="D22" s="14" t="n">
        <v>12.91</v>
      </c>
      <c r="E22" s="14" t="n">
        <v>14.19</v>
      </c>
      <c r="F22" s="14" t="n">
        <v>14.11</v>
      </c>
      <c r="G22" s="14" t="n">
        <v>14.28</v>
      </c>
      <c r="H22" s="14" t="n">
        <v>12.6</v>
      </c>
      <c r="I22" s="14" t="n">
        <v>12.93</v>
      </c>
      <c r="J22" s="14" t="n">
        <v>12.71</v>
      </c>
      <c r="K22" s="15">
        <f>AVERAGE(B22:J22)</f>
        <v/>
      </c>
      <c r="L22" s="15">
        <f>MAX(B22:J22)-MIN(B22:J22)</f>
        <v/>
      </c>
      <c r="M22" s="15">
        <f>MAX(MAX(B22:D22)-MIN(B22:D22),MAX(E22:G22)-MIN(E22:G22),MAX(H22:J22)-MIN(H22:J22))</f>
        <v/>
      </c>
    </row>
    <row r="23" ht="45" customHeight="1">
      <c r="A23" s="10" t="inlineStr">
        <is>
          <t>Widest trial spread is the repeatability signal you can read without any arithmetic: if one appraiser cannot reproduce their own answer on the same part, no amount of ANOVA will rescue the study.</t>
        </is>
      </c>
    </row>
    <row r="24"/>
    <row r="25">
      <c r="A25" s="6" t="inlineStr">
        <is>
          <t>STEP 1 — the means the ANOVA is built from</t>
        </is>
      </c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</row>
    <row r="26" ht="30" customHeight="1">
      <c r="A26" s="13" t="inlineStr">
        <is>
          <t>Mean</t>
        </is>
      </c>
      <c r="B26" s="13" t="inlineStr">
        <is>
          <t>Value</t>
        </is>
      </c>
      <c r="C26" s="13" t="inlineStr">
        <is>
          <t>What it is</t>
        </is>
      </c>
      <c r="D26" s="13" t="inlineStr"/>
      <c r="E26" s="13" t="inlineStr"/>
      <c r="F26" s="13" t="inlineStr"/>
      <c r="G26" s="13" t="inlineStr"/>
      <c r="H26" s="13" t="inlineStr"/>
      <c r="I26" s="13" t="inlineStr"/>
      <c r="J26" s="13" t="inlineStr"/>
      <c r="K26" s="13" t="inlineStr"/>
      <c r="L26" s="13" t="inlineStr"/>
      <c r="M26" s="13" t="inlineStr"/>
      <c r="N26" s="13" t="inlineStr"/>
    </row>
    <row r="27" ht="15" customHeight="1">
      <c r="A27" s="8" t="inlineStr">
        <is>
          <t>Grand mean</t>
        </is>
      </c>
      <c r="B27" s="16">
        <f>AVERAGE(B13:J22)</f>
        <v/>
      </c>
      <c r="C27" s="10" t="inlineStr">
        <is>
          <t>Every measurement in the study, averaged.</t>
        </is>
      </c>
    </row>
    <row r="28" ht="15" customHeight="1">
      <c r="A28" s="8" t="inlineStr">
        <is>
          <t>Appraiser A mean</t>
        </is>
      </c>
      <c r="B28" s="16">
        <f>AVERAGE(B13:D22)</f>
        <v/>
      </c>
      <c r="C28" s="10" t="inlineStr">
        <is>
          <t>All 30 readings appraiser A took. Spread between these three is reproducibility.</t>
        </is>
      </c>
    </row>
    <row r="29" ht="15" customHeight="1">
      <c r="A29" s="8" t="inlineStr">
        <is>
          <t>Appraiser B mean</t>
        </is>
      </c>
      <c r="B29" s="16">
        <f>AVERAGE(E13:G22)</f>
        <v/>
      </c>
      <c r="C29" s="10" t="inlineStr">
        <is>
          <t>All 30 readings appraiser B took. Spread between these three is reproducibility.</t>
        </is>
      </c>
    </row>
    <row r="30" ht="15" customHeight="1">
      <c r="A30" s="8" t="inlineStr">
        <is>
          <t>Appraiser C mean</t>
        </is>
      </c>
      <c r="B30" s="16">
        <f>AVERAGE(H13:J22)</f>
        <v/>
      </c>
      <c r="C30" s="10" t="inlineStr">
        <is>
          <t>All 30 readings appraiser C took. Spread between these three is reproducibility.</t>
        </is>
      </c>
    </row>
    <row r="31">
      <c r="A31" s="6" t="inlineStr">
        <is>
          <t>STEP 2 — the part × appraiser cell means</t>
        </is>
      </c>
      <c r="B31" s="7" t="n"/>
      <c r="C31" s="7" t="n"/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</row>
    <row r="32" ht="30" customHeight="1">
      <c r="A32" s="13" t="inlineStr">
        <is>
          <t>Part</t>
        </is>
      </c>
      <c r="B32" s="13" t="inlineStr">
        <is>
          <t>Appraiser A</t>
        </is>
      </c>
      <c r="C32" s="13" t="inlineStr">
        <is>
          <t>Appraiser B</t>
        </is>
      </c>
      <c r="D32" s="13" t="inlineStr">
        <is>
          <t>Appraiser C</t>
        </is>
      </c>
      <c r="E32" s="13" t="inlineStr"/>
      <c r="F32" s="13" t="inlineStr"/>
      <c r="G32" s="13" t="inlineStr"/>
      <c r="H32" s="13" t="inlineStr"/>
      <c r="I32" s="13" t="inlineStr"/>
      <c r="J32" s="13" t="inlineStr"/>
      <c r="K32" s="13" t="inlineStr"/>
      <c r="L32" s="13" t="inlineStr"/>
      <c r="M32" s="13" t="inlineStr"/>
      <c r="N32" s="13" t="inlineStr"/>
    </row>
    <row r="33">
      <c r="A33" s="8" t="inlineStr">
        <is>
          <t>Part 1</t>
        </is>
      </c>
      <c r="B33" s="16">
        <f>AVERAGE(B13:D13)</f>
        <v/>
      </c>
      <c r="C33" s="16">
        <f>AVERAGE(E13:G13)</f>
        <v/>
      </c>
      <c r="D33" s="16">
        <f>AVERAGE(H13:J13)</f>
        <v/>
      </c>
    </row>
    <row r="34">
      <c r="A34" s="8" t="inlineStr">
        <is>
          <t>Part 2</t>
        </is>
      </c>
      <c r="B34" s="16">
        <f>AVERAGE(B14:D14)</f>
        <v/>
      </c>
      <c r="C34" s="16">
        <f>AVERAGE(E14:G14)</f>
        <v/>
      </c>
      <c r="D34" s="16">
        <f>AVERAGE(H14:J14)</f>
        <v/>
      </c>
    </row>
    <row r="35">
      <c r="A35" s="8" t="inlineStr">
        <is>
          <t>Part 3</t>
        </is>
      </c>
      <c r="B35" s="16">
        <f>AVERAGE(B15:D15)</f>
        <v/>
      </c>
      <c r="C35" s="16">
        <f>AVERAGE(E15:G15)</f>
        <v/>
      </c>
      <c r="D35" s="16">
        <f>AVERAGE(H15:J15)</f>
        <v/>
      </c>
    </row>
    <row r="36">
      <c r="A36" s="8" t="inlineStr">
        <is>
          <t>Part 4</t>
        </is>
      </c>
      <c r="B36" s="16">
        <f>AVERAGE(B16:D16)</f>
        <v/>
      </c>
      <c r="C36" s="16">
        <f>AVERAGE(E16:G16)</f>
        <v/>
      </c>
      <c r="D36" s="16">
        <f>AVERAGE(H16:J16)</f>
        <v/>
      </c>
    </row>
    <row r="37">
      <c r="A37" s="8" t="inlineStr">
        <is>
          <t>Part 5</t>
        </is>
      </c>
      <c r="B37" s="16">
        <f>AVERAGE(B17:D17)</f>
        <v/>
      </c>
      <c r="C37" s="16">
        <f>AVERAGE(E17:G17)</f>
        <v/>
      </c>
      <c r="D37" s="16">
        <f>AVERAGE(H17:J17)</f>
        <v/>
      </c>
    </row>
    <row r="38">
      <c r="A38" s="8" t="inlineStr">
        <is>
          <t>Part 6</t>
        </is>
      </c>
      <c r="B38" s="16">
        <f>AVERAGE(B18:D18)</f>
        <v/>
      </c>
      <c r="C38" s="16">
        <f>AVERAGE(E18:G18)</f>
        <v/>
      </c>
      <c r="D38" s="16">
        <f>AVERAGE(H18:J18)</f>
        <v/>
      </c>
    </row>
    <row r="39">
      <c r="A39" s="8" t="inlineStr">
        <is>
          <t>Part 7</t>
        </is>
      </c>
      <c r="B39" s="16">
        <f>AVERAGE(B19:D19)</f>
        <v/>
      </c>
      <c r="C39" s="16">
        <f>AVERAGE(E19:G19)</f>
        <v/>
      </c>
      <c r="D39" s="16">
        <f>AVERAGE(H19:J19)</f>
        <v/>
      </c>
    </row>
    <row r="40">
      <c r="A40" s="8" t="inlineStr">
        <is>
          <t>Part 8</t>
        </is>
      </c>
      <c r="B40" s="16">
        <f>AVERAGE(B20:D20)</f>
        <v/>
      </c>
      <c r="C40" s="16">
        <f>AVERAGE(E20:G20)</f>
        <v/>
      </c>
      <c r="D40" s="16">
        <f>AVERAGE(H20:J20)</f>
        <v/>
      </c>
    </row>
    <row r="41">
      <c r="A41" s="8" t="inlineStr">
        <is>
          <t>Part 9</t>
        </is>
      </c>
      <c r="B41" s="16">
        <f>AVERAGE(B21:D21)</f>
        <v/>
      </c>
      <c r="C41" s="16">
        <f>AVERAGE(E21:G21)</f>
        <v/>
      </c>
      <c r="D41" s="16">
        <f>AVERAGE(H21:J21)</f>
        <v/>
      </c>
    </row>
    <row r="42">
      <c r="A42" s="8" t="inlineStr">
        <is>
          <t>Part 10</t>
        </is>
      </c>
      <c r="B42" s="16">
        <f>AVERAGE(B22:D22)</f>
        <v/>
      </c>
      <c r="C42" s="16">
        <f>AVERAGE(E22:G22)</f>
        <v/>
      </c>
      <c r="D42" s="16">
        <f>AVERAGE(H22:J22)</f>
        <v/>
      </c>
    </row>
    <row r="43" ht="45" customHeight="1">
      <c r="A43" s="10" t="inlineStr">
        <is>
          <t>One number per part per appraiser. If a row is flat across the appraisers the part is easy to measure; if it is not, that part and that appraiser disagree, and the interaction term below is what prices that.</t>
        </is>
      </c>
    </row>
    <row r="44"/>
    <row r="45">
      <c r="A45" s="6" t="inlineStr">
        <is>
          <t>STEP 3 — ANOVA. Each sum of squares is DEVSQ over one block above</t>
        </is>
      </c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  <c r="N45" s="7" t="n"/>
    </row>
    <row r="46" ht="30" customHeight="1">
      <c r="A46" s="13" t="inlineStr">
        <is>
          <t>Source</t>
        </is>
      </c>
      <c r="B46" s="13" t="inlineStr">
        <is>
          <t>Sum of squares</t>
        </is>
      </c>
      <c r="C46" s="13" t="inlineStr">
        <is>
          <t>df</t>
        </is>
      </c>
      <c r="D46" s="13" t="inlineStr">
        <is>
          <t>Mean square</t>
        </is>
      </c>
      <c r="E46" s="13" t="inlineStr">
        <is>
          <t>Where the sum of squares comes from</t>
        </is>
      </c>
      <c r="F46" s="13" t="inlineStr"/>
      <c r="G46" s="13" t="inlineStr"/>
      <c r="H46" s="13" t="inlineStr"/>
      <c r="I46" s="13" t="inlineStr"/>
      <c r="J46" s="13" t="inlineStr"/>
      <c r="K46" s="13" t="inlineStr"/>
      <c r="L46" s="13" t="inlineStr"/>
      <c r="M46" s="13" t="inlineStr"/>
      <c r="N46" s="13" t="inlineStr"/>
    </row>
    <row r="47" ht="15" customHeight="1">
      <c r="A47" s="8" t="inlineStr">
        <is>
          <t>Parts</t>
        </is>
      </c>
      <c r="B47" s="16">
        <f>9*DEVSQ(K13:K22)</f>
        <v/>
      </c>
      <c r="C47" s="17" t="n">
        <v>9</v>
      </c>
      <c r="D47" s="16">
        <f>IF($C$47=0,0,$B$47/$C$47)</f>
        <v/>
      </c>
      <c r="E47" s="10" t="inlineStr">
        <is>
          <t>Spread of the 10 part means, times the 9 readings behind each.</t>
        </is>
      </c>
    </row>
    <row r="48" ht="15" customHeight="1">
      <c r="A48" s="8" t="inlineStr">
        <is>
          <t>Appraisers</t>
        </is>
      </c>
      <c r="B48" s="16">
        <f>30*DEVSQ(B28:B30)</f>
        <v/>
      </c>
      <c r="C48" s="17" t="n">
        <v>2</v>
      </c>
      <c r="D48" s="16">
        <f>IF($C$48=0,0,$B$48/$C$48)</f>
        <v/>
      </c>
      <c r="E48" s="10" t="inlineStr">
        <is>
          <t>Spread of the 3 appraiser means, times the 30 readings behind each.</t>
        </is>
      </c>
    </row>
    <row r="49" ht="30" customHeight="1">
      <c r="A49" s="8" t="inlineStr">
        <is>
          <t>Part × appraiser</t>
        </is>
      </c>
      <c r="B49" s="16">
        <f>3*DEVSQ(B33:D42)-$B$47-$B$48</f>
        <v/>
      </c>
      <c r="C49" s="17" t="n">
        <v>18</v>
      </c>
      <c r="D49" s="16">
        <f>IF($C$49=0,0,$B$49/$C$49)</f>
        <v/>
      </c>
      <c r="E49" s="10" t="inlineStr">
        <is>
          <t>What is left of the cell-mean spread once parts and appraisers are taken out — the appraisers disagreeing about particular parts rather than in general.</t>
        </is>
      </c>
    </row>
    <row r="50" ht="30" customHeight="1">
      <c r="A50" s="8" t="inlineStr">
        <is>
          <t>Repeatability (error)</t>
        </is>
      </c>
      <c r="B50" s="16">
        <f>$B$51-3*DEVSQ(B33:D42)</f>
        <v/>
      </c>
      <c r="C50" s="17" t="n">
        <v>60</v>
      </c>
      <c r="D50" s="16">
        <f>IF($C$50=0,0,$B$50/$C$50)</f>
        <v/>
      </c>
      <c r="E50" s="10" t="inlineStr">
        <is>
          <t>What is left of the total once the cell means are taken out: the same appraiser, the same part, a different answer.</t>
        </is>
      </c>
    </row>
    <row r="51" ht="15" customHeight="1">
      <c r="A51" s="8" t="inlineStr">
        <is>
          <t>Total</t>
        </is>
      </c>
      <c r="B51" s="16">
        <f>DEVSQ(B13:J22)</f>
        <v/>
      </c>
      <c r="C51" s="17" t="n">
        <v>89</v>
      </c>
      <c r="D51" s="16">
        <f>IF($C$51=0,0,$B$51/$C$51)</f>
        <v/>
      </c>
      <c r="E51" s="10" t="inlineStr">
        <is>
          <t>Every reading against the grand mean.</t>
        </is>
      </c>
    </row>
    <row r="52"/>
    <row r="53">
      <c r="A53" s="6" t="inlineStr">
        <is>
          <t>STEP 4 — variance components, and the two numbers you report</t>
        </is>
      </c>
      <c r="B53" s="7" t="n"/>
      <c r="C53" s="7" t="n"/>
      <c r="D53" s="7" t="n"/>
      <c r="E53" s="7" t="n"/>
      <c r="F53" s="7" t="n"/>
      <c r="G53" s="7" t="n"/>
      <c r="H53" s="7" t="n"/>
      <c r="I53" s="7" t="n"/>
      <c r="J53" s="7" t="n"/>
      <c r="K53" s="7" t="n"/>
      <c r="L53" s="7" t="n"/>
      <c r="M53" s="7" t="n"/>
      <c r="N53" s="7" t="n"/>
    </row>
    <row r="54" ht="30" customHeight="1">
      <c r="A54" s="13" t="inlineStr">
        <is>
          <t>Source</t>
        </is>
      </c>
      <c r="B54" s="13" t="inlineStr">
        <is>
          <t>Variance component</t>
        </is>
      </c>
      <c r="C54" s="13" t="inlineStr">
        <is>
          <t>% Contribution</t>
        </is>
      </c>
      <c r="D54" s="13" t="inlineStr">
        <is>
          <t>Study variation (6σ)</t>
        </is>
      </c>
      <c r="E54" s="13" t="inlineStr">
        <is>
          <t>% Study variation</t>
        </is>
      </c>
      <c r="F54" s="13" t="inlineStr">
        <is>
          <t>Verdict</t>
        </is>
      </c>
      <c r="G54" s="13" t="inlineStr"/>
      <c r="H54" s="13" t="inlineStr"/>
      <c r="I54" s="13" t="inlineStr"/>
      <c r="J54" s="13" t="inlineStr"/>
      <c r="K54" s="13" t="inlineStr"/>
      <c r="L54" s="13" t="inlineStr"/>
      <c r="M54" s="13" t="inlineStr"/>
      <c r="N54" s="13" t="inlineStr"/>
    </row>
    <row r="55" ht="15" customHeight="1">
      <c r="A55" s="8" t="inlineStr">
        <is>
          <t>Total Gage R&amp;R</t>
        </is>
      </c>
      <c r="B55" s="18">
        <f>MAX(0,$D$50)+MAX(0,($D$48-$D$49)/30)+MAX(0,($D$49-$D$50)/3)</f>
        <v/>
      </c>
      <c r="C55" s="19">
        <f>IF($B$59=0,"",$B$55/$B$59)</f>
        <v/>
      </c>
      <c r="D55" s="20">
        <f>6*SQRT($B$55)</f>
        <v/>
      </c>
      <c r="E55" s="19">
        <f>IF($B$59=0,"",SQRT($B$55)/SQRT($B$59))</f>
        <v/>
      </c>
      <c r="F55" s="21">
        <f>IF($E$55="","",IF($E$55&lt;0.1,"ACCEPTABLE — under 10%",IF($E$55&lt;=0.3,"MARGINAL — usable with stated caution","UNACCEPTABLE — fix it before you analyse anything")))</f>
        <v/>
      </c>
      <c r="G55" s="10" t="inlineStr">
        <is>
          <t>Everything the measurement contributes. This is the number you report.</t>
        </is>
      </c>
    </row>
    <row r="56" ht="30" customHeight="1">
      <c r="A56" s="22" t="inlineStr">
        <is>
          <t>Repeatability</t>
        </is>
      </c>
      <c r="B56" s="18">
        <f>MAX(0,$D$50)</f>
        <v/>
      </c>
      <c r="C56" s="19">
        <f>IF($B$59=0,"",$B$56/$B$59)</f>
        <v/>
      </c>
      <c r="D56" s="20">
        <f>6*SQRT($B$56)</f>
        <v/>
      </c>
      <c r="E56" s="19">
        <f>IF($B$59=0,"",SQRT($B$56)/SQRT($B$59))</f>
        <v/>
      </c>
      <c r="G56" s="10" t="inlineStr">
        <is>
          <t>Same appraiser, same part, a different answer. The instrument or the procedure — fix it with a clearer definition or a tighter method.</t>
        </is>
      </c>
    </row>
    <row r="57" ht="30" customHeight="1">
      <c r="A57" s="22" t="inlineStr">
        <is>
          <t>Reproducibility</t>
        </is>
      </c>
      <c r="B57" s="18">
        <f>MAX(0,($D$48-$D$49)/30)+MAX(0,($D$49-$D$50)/3)</f>
        <v/>
      </c>
      <c r="C57" s="19">
        <f>IF($B$59=0,"",$B$57/$B$59)</f>
        <v/>
      </c>
      <c r="D57" s="20">
        <f>6*SQRT($B$57)</f>
        <v/>
      </c>
      <c r="E57" s="19">
        <f>IF($B$59=0,"",SQRT($B$57)/SQRT($B$59))</f>
        <v/>
      </c>
      <c r="G57" s="10" t="inlineStr">
        <is>
          <t>Different appraisers, same part. The people — fix it with calibration sessions and a rubric, not with a new tool.</t>
        </is>
      </c>
    </row>
    <row r="58" ht="15" customHeight="1">
      <c r="A58" s="8" t="inlineStr">
        <is>
          <t>Part-to-part</t>
        </is>
      </c>
      <c r="B58" s="18">
        <f>MAX(0,($D$47-$D$49)/9)</f>
        <v/>
      </c>
      <c r="C58" s="19">
        <f>IF($B$59=0,"",$B$58/$B$59)</f>
        <v/>
      </c>
      <c r="D58" s="20">
        <f>6*SQRT($B$58)</f>
        <v/>
      </c>
      <c r="E58" s="19">
        <f>IF($B$59=0,"",SQRT($B$58)/SQRT($B$59))</f>
        <v/>
      </c>
      <c r="G58" s="10" t="inlineStr">
        <is>
          <t>Real process variation. You WANT this to dominate — it is the signal.</t>
        </is>
      </c>
    </row>
    <row r="59" ht="15" customHeight="1">
      <c r="A59" s="8" t="inlineStr">
        <is>
          <t>Total variation</t>
        </is>
      </c>
      <c r="B59" s="18">
        <f>$B$55+$B$58</f>
        <v/>
      </c>
      <c r="C59" s="19">
        <f>IF($B$59=0,"",$B$59/$B$59)</f>
        <v/>
      </c>
      <c r="D59" s="20">
        <f>6*SQRT($B$59)</f>
        <v/>
      </c>
      <c r="E59" s="19">
        <f>IF($B$59=0,"",SQRT($B$59)/SQRT($B$59))</f>
        <v/>
      </c>
      <c r="G59" s="10" t="inlineStr">
        <is>
          <t>Gage R&amp;R plus part-to-part. Percentages below are shares of this.</t>
        </is>
      </c>
    </row>
    <row r="60"/>
    <row r="61" ht="60" customHeight="1">
      <c r="A61" s="10" t="inlineStr">
        <is>
          <t>% Study variation compares STANDARD DEVIATIONS, % Contribution compares VARIANCES, which is why the two columns differ so much. Judge the gage on % study variation: under 10% acceptable, 10–30% marginal, over 30% unacceptable. Read % contribution to see where the damage is coming from.</t>
        </is>
      </c>
    </row>
    <row r="62"/>
    <row r="63">
      <c r="A63" s="6" t="inlineStr">
        <is>
          <t>STEP 5 — how many groups this gage can actually tell apart</t>
        </is>
      </c>
      <c r="B63" s="7" t="n"/>
      <c r="C63" s="7" t="n"/>
      <c r="D63" s="7" t="n"/>
      <c r="E63" s="7" t="n"/>
      <c r="F63" s="7" t="n"/>
      <c r="G63" s="7" t="n"/>
      <c r="H63" s="7" t="n"/>
      <c r="I63" s="7" t="n"/>
      <c r="J63" s="7" t="n"/>
      <c r="K63" s="7" t="n"/>
      <c r="L63" s="7" t="n"/>
      <c r="M63" s="7" t="n"/>
      <c r="N63" s="7" t="n"/>
    </row>
    <row r="64" ht="45" customHeight="1">
      <c r="A64" s="8" t="inlineStr">
        <is>
          <t>Number of distinct categories (ndc)</t>
        </is>
      </c>
      <c r="B64" s="17">
        <f>IF($B$55=0,"",MAX(1,INT(1.41*SQRT($B$58)/SQRT($B$55))))</f>
        <v/>
      </c>
      <c r="C64" s="10" t="inlineStr">
        <is>
          <t>How many groups the gage can separate across your part range. Want 5 or more. Below 5 the gage sorts into a handful of buckets, and 4 means it is telling you 'high, medium-high, medium, low' and nothing finer.</t>
        </is>
      </c>
    </row>
    <row r="65" ht="45" customHeight="1">
      <c r="A65" s="8" t="inlineStr">
        <is>
          <t>% Tolerance (Gage R&amp;R against the spec width)</t>
        </is>
      </c>
      <c r="B65" s="19">
        <f>IF($B$9=0,"",6*SQRT($B$55)/$B$9)</f>
        <v/>
      </c>
      <c r="C65" s="10" t="inlineStr">
        <is>
          <t>Only meaningful if you entered a tolerance. Same bands as % study variation. A gage can be fine against the spec and useless for improvement work, because improvement needs it to resolve variation the spec does not care about.</t>
        </is>
      </c>
    </row>
    <row r="66"/>
    <row r="67">
      <c r="A67" s="5" t="inlineStr">
        <is>
          <t>30% line</t>
        </is>
      </c>
      <c r="B67" s="23" t="n">
        <v>0.3</v>
      </c>
      <c r="C67" s="23" t="n">
        <v>0.3</v>
      </c>
      <c r="D67" s="23" t="n">
        <v>0.3</v>
      </c>
      <c r="E67" s="23" t="n">
        <v>0.3</v>
      </c>
    </row>
  </sheetData>
  <mergeCells count="33">
    <mergeCell ref="E49:N49"/>
    <mergeCell ref="C65:N65"/>
    <mergeCell ref="A31:N31"/>
    <mergeCell ref="G56:N56"/>
    <mergeCell ref="G59:N59"/>
    <mergeCell ref="C9:N9"/>
    <mergeCell ref="A11:N11"/>
    <mergeCell ref="A45:N45"/>
    <mergeCell ref="A1:N1"/>
    <mergeCell ref="A61:N61"/>
    <mergeCell ref="E47:N47"/>
    <mergeCell ref="C27:N27"/>
    <mergeCell ref="E50:N50"/>
    <mergeCell ref="A25:N25"/>
    <mergeCell ref="G57:N57"/>
    <mergeCell ref="C8:N8"/>
    <mergeCell ref="C7:N7"/>
    <mergeCell ref="E48:N48"/>
    <mergeCell ref="A2:N2"/>
    <mergeCell ref="C28:N28"/>
    <mergeCell ref="G58:N58"/>
    <mergeCell ref="E51:N51"/>
    <mergeCell ref="A23:N23"/>
    <mergeCell ref="C30:N30"/>
    <mergeCell ref="G55:N55"/>
    <mergeCell ref="C6:N6"/>
    <mergeCell ref="A53:N53"/>
    <mergeCell ref="A4:N4"/>
    <mergeCell ref="C5:N5"/>
    <mergeCell ref="A43:N43"/>
    <mergeCell ref="A63:N63"/>
    <mergeCell ref="C64:N64"/>
    <mergeCell ref="C29:N29"/>
  </mergeCell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2026-08-01T06:11:11Z</dcterms:created>
  <dcterms:modified xsi:type="dcterms:W3CDTF">2026-08-01T06:11:11Z</dcterms:modified>
</cp:coreProperties>
</file>