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purpose",IF(B13&gt;0.8,"GOOD — usable, fix the weakest rubric items",IF(B13&gt;0.6,"MARGINAL — aggregate analysis only, never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n"/>
    </row>
    <row r="23" ht="66" customHeight="1" s="38">
      <c r="D23" s="97" t="inlineStr">
        <is>
          <t>HOW TO READ IT.  Kappa is agreement after chance is removed, which is why it is so much lower than the raw agreement percentage people quote. This programme runs on 07-msa-attribute-agreement.md's bands: above 0.80 good, 0.60 to 0.80 marginal and aggregate-only, below 0.60 unacceptable. Fix the rubric and re-run — improving the training rarely moves it.
SO:  Below 0.60, stop and rewrite the rubric — do not analyse the data you have and do not use it for individual performance management. Between 0.60 and 0.80 you may analyse in aggregate but still not judge a person on it. Re-run the study on the new definitions and only then carry on.</t>
        </is>
      </c>
    </row>
    <row r="24"/>
    <row r="25"/>
    <row r="26"/>
    <row r="27"/>
    <row r="28"/>
    <row r="29"/>
    <row r="30"/>
    <row r="31"/>
    <row r="32"/>
    <row r="33"/>
    <row r="34"/>
    <row r="35"/>
    <row r="36"/>
    <row r="37"/>
    <row r="38"/>
    <row r="39"/>
    <row r="40"/>
  </sheetData>
  <mergeCells count="6">
    <mergeCell ref="A1:D1"/>
    <mergeCell ref="B14:D14"/>
    <mergeCell ref="D23:L23"/>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ht="65" customHeight="1" s="38">
      <c r="A10" t="inlineStr">
        <is>
          <t>Shrinkage</t>
        </is>
      </c>
      <c r="B10" t="n">
        <v>0.32</v>
      </c>
      <c r="D10" s="87" t="inlineStr">
        <is>
          <t>Share of PAID time that is not available for contacts at all: breaks, training, coaching, meetings, sickness, holiday. From workforce management, and agree the list — 25% and 40% are both common and the difference is entirely definitional. Occupancy above gets you to available hours; this gets you the rest of the way to payroll.</t>
        </is>
      </c>
    </row>
    <row r="11" ht="26" customHeight="1" s="38">
      <c r="A11" s="51" t="inlineStr">
        <is>
          <t>Handle-hours saved</t>
        </is>
      </c>
      <c r="B11" s="53">
        <f>B5*B6/3600</f>
        <v/>
      </c>
      <c r="D11" s="87" t="inlineStr">
        <is>
          <t>AHT = average handle time. The raw hours of talk, hold and after-call work your change removes across a year.</t>
        </is>
      </c>
    </row>
    <row r="12" ht="52" customHeight="1" s="38">
      <c r="A12" s="51" t="inlineStr">
        <is>
          <t>On-phone hours freed</t>
        </is>
      </c>
      <c r="B12" s="53">
        <f>IFERROR(B5*B6/3600/B8,"")</f>
        <v/>
      </c>
      <c r="D12" s="87" t="inlineStr">
        <is>
          <t>More than the handle-hours above, because agents are never occupied every minute. This is AVAILABLE time, not payroll — occupancy is measured against the hours an agent is logged in and ready, and paid time carries shrinkage on top.</t>
        </is>
      </c>
    </row>
    <row r="13" ht="52" customHeight="1" s="38">
      <c r="A13" s="51" t="inlineStr">
        <is>
          <t>Paid hours freed</t>
        </is>
      </c>
      <c r="B13" s="65">
        <f>IFERROR(B5*B6/3600/B8/(1-B10),"")</f>
        <v/>
      </c>
      <c r="D13" s="87" t="inlineStr">
        <is>
          <t>What payroll actually carries, and therefore what the saving is worth. Stopping at the row above prices it as though nobody were paid for a break, and understates the case by 1 ÷ (1 − shrinkage) — about 47% at 32%.</t>
        </is>
      </c>
    </row>
    <row r="14" ht="26" customHeight="1" s="38">
      <c r="A14" s="51" t="inlineStr">
        <is>
          <t>Gross annual value</t>
        </is>
      </c>
      <c r="B14" s="71">
        <f>IFERROR(B5*B6/3600/B8/(1-B10)*B7,"")</f>
        <v/>
      </c>
      <c r="D14" s="87" t="inlineStr">
        <is>
          <t>The value before anything is discounted for what decays at rollout. Never quote this figure on its own.</t>
        </is>
      </c>
    </row>
    <row r="15" ht="30" customHeight="1" s="38">
      <c r="A15" s="41" t="inlineStr">
        <is>
          <t>REALISED ANNUAL BENEFIT</t>
        </is>
      </c>
      <c r="B15" s="72">
        <f>IFERROR(B5*B6/3600/B8/(1-B10)*B7*B9,"")</f>
        <v/>
      </c>
      <c r="D15" s="87" t="inlineStr">
        <is>
          <t>The number to take to Finance — and still only real if the freed capacity is harvested. Read the trap below before you claim it.</t>
        </is>
      </c>
    </row>
    <row r="16" ht="39" customHeight="1" s="38">
      <c r="A16" t="inlineStr">
        <is>
          <t>People-equivalent (FTE)</t>
        </is>
      </c>
      <c r="B16">
        <f>IFERROR(B5*B6/3600/B8/(1-B10)/1760,"")</f>
        <v/>
      </c>
      <c r="D16" s="87" t="inlineStr">
        <is>
          <t>The same saving expressed as whole people, at 1,760 paid hours a year. This is the unit an executive actually hears, and it is on paid hours so it compares to a headcount line.</t>
        </is>
      </c>
    </row>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6">
    <mergeCell ref="D10:L10"/>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11592</v>
      </c>
      <c r="D5" s="49" t="inlineStr">
        <is>
          <t>Units per year in the population the rates below are measured on — not the wider queue it sits inside. The worked example uses 11,592 in-scope billing adjustments, not the 266,000 contacts of the queue around them.</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38.6</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23580.68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