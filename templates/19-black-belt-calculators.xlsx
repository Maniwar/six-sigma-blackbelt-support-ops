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
      <i val="1"/>
      <color rgb="FF4B5563"/>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xf numFmtId="2" fontId="15" fillId="0" borderId="0" pivotButton="0" quotePrefix="0" xfId="0"/>
    <xf numFmtId="164" fontId="15" fillId="0" borderId="0" pivotButton="0" quotePrefix="0" xfId="0"/>
    <xf numFmtId="0" fontId="9" fillId="0" borderId="0" applyAlignment="1" pivotButton="0" quotePrefix="0" xfId="0">
      <alignment vertical="top" wrapText="1"/>
    </xf>
    <xf numFmtId="0" fontId="17"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c r="B21" s="37" t="inlineStr">
        <is>
          <t>What the colours mean</t>
        </is>
      </c>
    </row>
    <row r="22">
      <c r="B22" s="37" t="inlineStr">
        <is>
          <t>Yellow cells</t>
        </is>
      </c>
    </row>
    <row r="23">
      <c r="B23" s="37" t="inlineStr">
        <is>
          <t>You fill these in.</t>
        </is>
      </c>
    </row>
    <row r="24">
      <c r="B24" s="37" t="inlineStr">
        <is>
          <t>Blue cells</t>
        </is>
      </c>
    </row>
    <row r="25">
      <c r="B25" s="37" t="inlineStr">
        <is>
          <t>Calculated for you. Do not type over them — they contain formulas.</t>
        </is>
      </c>
    </row>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ht="44" customHeight="1" s="38">
      <c r="A22" s="37" t="inlineStr">
        <is>
          <t>4 sigma</t>
        </is>
      </c>
      <c r="B22" s="77" t="n">
        <v>6210</v>
      </c>
      <c r="D22" s="97" t="inlineStr">
        <is>
          <t>HOW TO READ IT.  A log-scaled ladder, so each sigma level is a step change rather than an increment. Your bar against the rungs is the whole message. Most support processes land between 3 and 4 sigma; treat 6 as a direction, not a target.
SO:  Read your rung, then set the target one step up rather than at 6 sigma. A single step is an order of magnitude in defects and is usually a year of work.</t>
        </is>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purpose",IF(B13&gt;0.8,"GOOD — usable, fix the weakest rubric items",IF(B13&gt;0.6,"MARGINAL — aggregate analysis only, never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ht="55" customHeight="1" s="38">
      <c r="D22" s="97" t="n"/>
    </row>
    <row r="23" ht="66" customHeight="1" s="38">
      <c r="D23" s="97" t="inlineStr">
        <is>
          <t>HOW TO READ IT.  Kappa is agreement after chance is removed, which is why it is so much lower than the raw agreement percentage people quote. This programme runs on 07-msa-attribute-agreement.md's bands: above 0.80 good, 0.60 to 0.80 marginal and aggregate-only, below 0.60 unacceptable. Fix the rubric and re-run — improving the training rarely moves it.
SO:  Below 0.60, stop and rewrite the rubric — do not analyse the data you have and do not use it for individual performance management. Between 0.60 and 0.80 you may analyse in aggregate but still not judge a person on it. Re-run the study on the new definitions and only then carry on.</t>
        </is>
      </c>
    </row>
    <row r="24"/>
    <row r="25"/>
    <row r="26"/>
    <row r="27"/>
    <row r="28"/>
    <row r="29"/>
    <row r="30"/>
    <row r="31"/>
    <row r="32"/>
    <row r="33"/>
    <row r="34"/>
    <row r="35"/>
    <row r="36"/>
    <row r="37"/>
    <row r="38"/>
    <row r="39"/>
    <row r="40"/>
  </sheetData>
  <mergeCells count="6">
    <mergeCell ref="A1:D1"/>
    <mergeCell ref="B14:D14"/>
    <mergeCell ref="D23:L23"/>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M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94" t="inlineStr">
        <is>
          <t>Hours</t>
        </is>
      </c>
      <c r="B21" s="95" t="inlineStr">
        <is>
          <t>How often</t>
        </is>
      </c>
      <c r="C21" s="95"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ht="66" customHeight="1" s="38">
      <c r="A24" s="81">
        <f>MAX(0,$B$6-4*$B$7)+(2/40)*(8*$B$7)</f>
        <v/>
      </c>
      <c r="B24" s="82">
        <f>IFERROR(NORMDIST(A24,$B$6,$B$7,FALSE),"")</f>
        <v/>
      </c>
      <c r="C24" s="82">
        <f>IF(ABS(A24-$B$5)&lt;=(8*$B$7)/80,MAX($B$22:$B$62),NA())</f>
        <v/>
      </c>
      <c r="E24" s="97" t="inlineStr">
        <is>
          <t>HOW TO READ IT.  The red line is your SLA limit; everything to the right of it is a contact you missed. The verdict cell reads the capability index, not this picture, but the picture is what makes the index mean something — a long right tail past the line is the promise you are actually breaking.
SO:  Read the verdict cell, then act on the tail rather than the average. Pulling the mean in leaves the breaches where they are; narrowing the spread is what moves the area past the line.</t>
        </is>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7">
    <mergeCell ref="A1:D1"/>
    <mergeCell ref="E24:M24"/>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ht="55" customHeight="1" s="38">
      <c r="A20" s="76" t="inlineStr">
        <is>
          <t>Backlog: now against the cap that delivers your target</t>
        </is>
      </c>
      <c r="D20" s="97" t="inlineStr">
        <is>
          <t>HOW TO READ IT.  Two bars, no trend. Read it beside the backlog chart on the same tab: lead time falling while open tickets rise means you are triaging rather than resolving, and the improvement will reverse the moment the queue is worked.
SO:  If lead time is falling while open tickets rise, do not report the improvement. Work the queue down first and re-measure — the gain reverses the moment the backlog is cleared.</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ht="55" customHeight="1" s="38">
      <c r="D36" s="97" t="inlineStr">
        <is>
          <t>HOW TO READ IT.  The cap is a decision, not a measurement — it is the level above which lead time starts to climb faster than volume. Sitting above it for more than a week means the queue is the constraint, whatever the handle-time numbers say.
SO:  Above the cap for more than a week, add capacity or cut intake — do not optimise handle time. When the queue is the constraint, seconds saved per contact go into the backlog rather than to the customer.</t>
        </is>
      </c>
    </row>
    <row r="37"/>
    <row r="38"/>
    <row r="39"/>
    <row r="40"/>
  </sheetData>
  <mergeCells count="6">
    <mergeCell ref="A1:D1"/>
    <mergeCell ref="A4:D4"/>
    <mergeCell ref="A2:D2"/>
    <mergeCell ref="D36:L36"/>
    <mergeCell ref="D20:L20"/>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ht="55" customHeight="1" s="38">
      <c r="D22" s="97" t="inlineStr">
        <is>
          <t>HOW TO READ IT.  Process cycle efficiency in two bars. In support the working bar is almost always the short one, and single-digit efficiency is normal rather than alarming. The number to act on is the waiting bar's composition, not this ratio.
SO:  Do not chase this ratio. Break the waiting bar into its parts and remove the largest, then re-measure — process cycle efficiency is a symptom and a target set on it invites gaming.</t>
        </is>
      </c>
    </row>
    <row r="23"/>
    <row r="24"/>
    <row r="25"/>
    <row r="26"/>
    <row r="27"/>
    <row r="28"/>
    <row r="29"/>
    <row r="30"/>
    <row r="31"/>
    <row r="32"/>
    <row r="33"/>
    <row r="34"/>
    <row r="35"/>
    <row r="36"/>
    <row r="37"/>
    <row r="38"/>
    <row r="39"/>
    <row r="40"/>
  </sheetData>
  <mergeCells count="5">
    <mergeCell ref="A1:D1"/>
    <mergeCell ref="A12:D12"/>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ht="55" customHeight="1" s="38">
      <c r="D22" s="97" t="inlineStr">
        <is>
          <t>HOW TO READ IT.  Each bar adds one effect: offered load, then the agents queueing theory needs on top of it, then shrinkage. Shrinkage is applied to the ANSWER, never to the load — inflating the load first and then running Erlang produces a different and wrong number.
SO:  Roster the final bar, not the first. And check the order: shrinkage belongs on the answer, so if someone has inflated the load by it before running Erlang, the number is wrong and usually high.</t>
        </is>
      </c>
    </row>
    <row r="23"/>
    <row r="24"/>
    <row r="25"/>
    <row r="26"/>
    <row r="27"/>
    <row r="28"/>
    <row r="29"/>
    <row r="30"/>
    <row r="31"/>
    <row r="32"/>
    <row r="33"/>
    <row r="34"/>
    <row r="35"/>
    <row r="36"/>
    <row r="37"/>
    <row r="38"/>
    <row r="39"/>
    <row r="40"/>
  </sheetData>
  <mergeCells count="4">
    <mergeCell ref="A1:D1"/>
    <mergeCell ref="A4:D4"/>
    <mergeCell ref="A2:D2"/>
    <mergeCell ref="D22:L2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ht="65" customHeight="1" s="38">
      <c r="A10" s="37" t="inlineStr">
        <is>
          <t>Shrinkage</t>
        </is>
      </c>
      <c r="B10" s="37" t="n">
        <v>0.32</v>
      </c>
      <c r="D10" s="87" t="inlineStr">
        <is>
          <t>Share of PAID time that is not available for contacts at all: breaks, training, coaching, meetings, sickness, holiday. From workforce management, and agree the list — 25% and 40% are both common and the difference is entirely definitional. Occupancy above gets you to available hours; this gets you the rest of the way to payroll.</t>
        </is>
      </c>
    </row>
    <row r="11" ht="26" customHeight="1" s="38">
      <c r="A11" s="51" t="inlineStr">
        <is>
          <t>Handle-hours saved</t>
        </is>
      </c>
      <c r="B11" s="53">
        <f>B5*B6/3600</f>
        <v/>
      </c>
      <c r="D11" s="87" t="inlineStr">
        <is>
          <t>AHT = average handle time. The raw hours of talk, hold and after-call work your change removes across a year.</t>
        </is>
      </c>
    </row>
    <row r="12" ht="52" customHeight="1" s="38">
      <c r="A12" s="51" t="inlineStr">
        <is>
          <t>On-phone hours freed</t>
        </is>
      </c>
      <c r="B12" s="53">
        <f>IFERROR(B5*B6/3600/B8,"")</f>
        <v/>
      </c>
      <c r="D12" s="87" t="inlineStr">
        <is>
          <t>More than the handle-hours above, because agents are never occupied every minute. This is AVAILABLE time, not payroll — occupancy is measured against the hours an agent is logged in and ready, and paid time carries shrinkage on top.</t>
        </is>
      </c>
    </row>
    <row r="13" ht="52" customHeight="1" s="38">
      <c r="A13" s="51" t="inlineStr">
        <is>
          <t>Paid hours freed</t>
        </is>
      </c>
      <c r="B13" s="65">
        <f>IFERROR(B5*B6/3600/B8/(1-B10),"")</f>
        <v/>
      </c>
      <c r="D13" s="87" t="inlineStr">
        <is>
          <t>What payroll actually carries, and therefore what the saving is worth. Stopping at the row above prices it as though nobody were paid for a break, and understates the case by 1 ÷ (1 − shrinkage) — about 47% at 32%.</t>
        </is>
      </c>
    </row>
    <row r="14" ht="26" customHeight="1" s="38">
      <c r="A14" s="51" t="inlineStr">
        <is>
          <t>Gross annual value</t>
        </is>
      </c>
      <c r="B14" s="71">
        <f>IFERROR(B5*B6/3600/B8/(1-B10)*B7,"")</f>
        <v/>
      </c>
      <c r="D14" s="87" t="inlineStr">
        <is>
          <t>The value before anything is discounted for what decays at rollout. Never quote this figure on its own.</t>
        </is>
      </c>
    </row>
    <row r="15" ht="30" customHeight="1" s="38">
      <c r="A15" s="41" t="inlineStr">
        <is>
          <t>REALISED ANNUAL BENEFIT</t>
        </is>
      </c>
      <c r="B15" s="72">
        <f>IFERROR(B5*B6/3600/B8/(1-B10)*B7*B9,"")</f>
        <v/>
      </c>
      <c r="D15" s="87" t="inlineStr">
        <is>
          <t>The number to take to Finance — and still only real if the freed capacity is harvested. Read the trap below before you claim it.</t>
        </is>
      </c>
    </row>
    <row r="16" ht="39" customHeight="1" s="38">
      <c r="A16" s="37" t="inlineStr">
        <is>
          <t>People-equivalent (FTE)</t>
        </is>
      </c>
      <c r="B16" s="37">
        <f>IFERROR(B5*B6/3600/B8/(1-B10)/1760,"")</f>
        <v/>
      </c>
      <c r="D16" s="87" t="inlineStr">
        <is>
          <t>The same saving expressed as whole people, at 1,760 paid hours a year. This is the unit an executive actually hears, and it is on paid hours so it compares to a headcount line.</t>
        </is>
      </c>
    </row>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6">
    <mergeCell ref="D10:L10"/>
    <mergeCell ref="A1:D1"/>
    <mergeCell ref="A17:D17"/>
    <mergeCell ref="A4:D4"/>
    <mergeCell ref="D22:L22"/>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11592</v>
      </c>
      <c r="D5" s="49" t="inlineStr">
        <is>
          <t>Units per year in the population the rates below are measured on — not the wider queue it sits inside. The worked example uses 11,592 in-scope billing adjustments, not the 266,000 contacts of the queue around them.</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169" customHeight="1" s="38">
      <c r="A8" s="47" t="inlineStr">
        <is>
          <t>Fully-loaded cost per contact</t>
        </is>
      </c>
      <c r="B8" s="74" t="n">
        <v>38.6</v>
      </c>
      <c r="D8" s="96" t="inlineStr">
        <is>
          <t>From Finance: total support cost divided by total contacts, with an agreed definition of 'total support cost'. CAREFUL when what you are removing is a REOPEN, an escalation or a repeat rather than a first contact: cost to serve an average contact is the wrong price for rework, because rework carries the investigation and the redo on top of the handling, and Finance usually books it far higher. This programme's worked project uses $6.80 to serve a contact and $38.60 for a reopened one — 5.7x apart, and pricing reopens at $6.80 is the defect its charter records. Ask Finance which of the two applies to the thing you are actually removing, and make sure the rate above and the volume in B5 are measured on the SAME population: a rate from one and a volume from a wider one is how a benefit case comes out ten times its arithmetic maximum.</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4:D4"/>
    <mergeCell ref="D8"/>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M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23580.68</v>
      </c>
      <c r="D6" s="49" t="inlineStr">
        <is>
          <t>Validated and realised — not gross, not the pilot rate. Signed by Finance after 90 days of control data. The worked example carries tab 8's own realised benefit so this workbook agrees with itself; replace it with yours, from whichever tab or source produced it.</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3"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ht="66" customHeight="1" s="38">
      <c r="A24" s="37" t="inlineStr">
        <is>
          <t>Year 2</t>
        </is>
      </c>
      <c r="B24" s="85">
        <f>IF(2&gt;$B$7,NA(),B23+IFERROR($B$6/(1+$B$8)^2,0))</f>
        <v/>
      </c>
      <c r="C24" s="85">
        <f>IF(2&gt;$B$7,NA(),0)</f>
        <v/>
      </c>
      <c r="E24" s="97" t="inlineStr">
        <is>
          <t>HOW TO READ IT.  Starts negative by the whole investment and climbs by each year's discounted benefit. Where it crosses zero is payback. A line that never crosses inside the years you modelled is the answer, not a broken chart — and under 18 months is generally an easy sell.
SO:  If the line crosses inside 18 months, take it. If it never crosses inside the years you modelled, that is the answer — say so rather than extending the horizon until it does.</t>
        </is>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6">
    <mergeCell ref="A1:D1"/>
    <mergeCell ref="A17:D17"/>
    <mergeCell ref="E24:M24"/>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b750c563eb67</vt:lpwstr>
  </property>
</Properties>
</file>