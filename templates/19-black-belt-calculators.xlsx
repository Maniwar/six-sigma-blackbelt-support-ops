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c r="A24" s="81">
        <f>MAX(0,$B$6-4*$B$7)+(2/40)*(8*$B$7)</f>
        <v/>
      </c>
      <c r="B24" s="82">
        <f>IFERROR(NORMDIST(A24,$B$6,$B$7,FALSE),"")</f>
        <v/>
      </c>
      <c r="C24" s="82">
        <f>IF(ABS(A24-$B$5)&lt;=(8*$B$7)/80,MAX($B$22:$B$62),NA())</f>
        <v/>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6">
    <mergeCell ref="A1:D1"/>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c r="A20" s="76" t="inlineStr">
        <is>
          <t>Backlog: now against the cap that delivers your target</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c r="A24" s="37" t="inlineStr">
        <is>
          <t>Year 2</t>
        </is>
      </c>
      <c r="B24" s="85">
        <f>IF(2&gt;$B$7,NA(),B23+IFERROR($B$6/(1+$B$8)^2,0))</f>
        <v/>
      </c>
      <c r="C24" s="85">
        <f>IF(2&gt;$B$7,NA(),0)</f>
        <v/>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5">
    <mergeCell ref="A1:D1"/>
    <mergeCell ref="A17:D17"/>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