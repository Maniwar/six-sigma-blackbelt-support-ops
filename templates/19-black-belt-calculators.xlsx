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invertIfNegative val="0"/>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ax val="1"/>
          <min val="0"/>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capability'!$A$21:$A$61</f>
            </numRef>
          </cat>
          <val>
            <numRef>
              <f>'3 SLA capability'!$B$21:$B$61</f>
            </numRef>
          </val>
          <smooth val="0"/>
        </ser>
        <axId val="10"/>
        <axId val="100"/>
      </lineChart>
      <barChart>
        <barDir val="col"/>
        <grouping val="clustered"/>
        <ser>
          <idx val="1"/>
          <order val="1"/>
          <tx>
            <v>SLA limit</v>
          </tx>
          <spPr>
            <a:solidFill>
              <a:srgbClr val="C0392B"/>
            </a:solidFill>
            <a:ln>
              <a:solidFill>
                <a:srgbClr val="C0392B"/>
              </a:solidFill>
              <a:prstDash val="solid"/>
            </a:ln>
          </spPr>
          <val>
            <numRef>
              <f>'3 SLA capability'!$C$21:$C$61</f>
            </numRef>
          </val>
        </ser>
        <gapWidth val="400"/>
        <axId val="10"/>
        <axId val="100"/>
      </bar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invertIfNegative val="0"/>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 — where does the headcount actually go?</a:t>
            </a:r>
          </a:p>
        </rich>
      </tx>
    </title>
    <plotArea>
      <barChart>
        <barDir val="col"/>
        <grouping val="clustered"/>
        <ser>
          <idx val="0"/>
          <order val="0"/>
          <spPr>
            <a:ln>
              <a:prstDash val="solid"/>
            </a:ln>
          </spPr>
          <invertIfNegative val="0"/>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payback'!$A$21:$A$31</f>
            </numRef>
          </cat>
          <val>
            <numRef>
              <f>'9 ROI and payback'!$B$21:$B$31</f>
            </numRef>
          </val>
          <smooth val="0"/>
        </ser>
        <ser>
          <idx val="1"/>
          <order val="1"/>
          <tx>
            <v>Breakeven</v>
          </tx>
          <spPr>
            <a:ln w="16000">
              <a:solidFill>
                <a:srgbClr val="C0392B"/>
              </a:solidFill>
              <a:prstDash val="dash"/>
            </a:ln>
          </spPr>
          <marker>
            <symbol val="none"/>
            <spPr>
              <a:ln>
                <a:prstDash val="solid"/>
              </a:ln>
            </spPr>
          </marker>
          <cat>
            <numRef>
              <f>'9 ROI and payback'!$A$21:$A$31</f>
            </numRef>
          </cat>
          <val>
            <numRef>
              <f>'9 ROI and payback'!$C$21:$C$31</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1.75" customHeight="1" s="38">
      <c r="A9" s="51" t="inlineStr">
        <is>
          <t>Defects per unit (DPU)</t>
        </is>
      </c>
      <c r="B9" s="52">
        <f>IFERROR(B7/B5,"")</f>
        <v/>
      </c>
    </row>
    <row r="10" ht="21.75" customHeight="1" s="38">
      <c r="A10" s="51" t="inlineStr">
        <is>
          <t>Total opportunities</t>
        </is>
      </c>
      <c r="B10" s="53">
        <f>B5*B6</f>
        <v/>
      </c>
    </row>
    <row r="11" ht="21.75" customHeight="1" s="38">
      <c r="A11" s="51" t="inlineStr">
        <is>
          <t>Defects per opportunity (DPO)</t>
        </is>
      </c>
      <c r="B11" s="54">
        <f>IFERROR(B7/(B5*B6),"")</f>
        <v/>
      </c>
    </row>
    <row r="12" ht="21.75" customHeight="1" s="38">
      <c r="A12" s="51" t="inlineStr">
        <is>
          <t>DPMO</t>
        </is>
      </c>
      <c r="B12" s="53">
        <f>IFERROR(B7/(B5*B6)*1000000,"")</f>
        <v/>
      </c>
    </row>
    <row r="13" ht="21.75" customHeight="1" s="38">
      <c r="A13" s="51" t="inlineStr">
        <is>
          <t>Throughput yield</t>
        </is>
      </c>
      <c r="B13" s="55">
        <f>IFERROR(EXP(-B7/B5),"")</f>
        <v/>
      </c>
    </row>
    <row r="14" ht="21.75" customHeight="1" s="38">
      <c r="A14" s="51" t="inlineStr">
        <is>
          <t>Z from your data (long-term)</t>
        </is>
      </c>
      <c r="B14" s="56">
        <f>IFERROR(NORMSINV(1-B7/(B5*B6)),"")</f>
        <v/>
      </c>
    </row>
    <row r="15" ht="30" customHeight="1" s="38">
      <c r="A15" s="41" t="inlineStr">
        <is>
          <t>SIGMA LEVEL (with the 1.5 shift)</t>
        </is>
      </c>
      <c r="B15" s="57">
        <f>IFERROR(NORMSINV(1-B7/(B5*B6))+1.5,"")</f>
        <v/>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c r="A22" s="37" t="inlineStr">
        <is>
          <t>4 sigma</t>
        </is>
      </c>
      <c r="B22" s="77" t="n">
        <v>6210</v>
      </c>
    </row>
    <row r="23">
      <c r="A23" s="37" t="inlineStr">
        <is>
          <t>5 sigma</t>
        </is>
      </c>
      <c r="B23" s="77" t="n">
        <v>233</v>
      </c>
    </row>
    <row r="24">
      <c r="A24" s="37" t="inlineStr">
        <is>
          <t>6 sigma</t>
        </is>
      </c>
      <c r="B24" s="77" t="n">
        <v>3.4</v>
      </c>
    </row>
    <row r="25">
      <c r="A25" s="78" t="inlineStr">
        <is>
          <t>YOU</t>
        </is>
      </c>
      <c r="B25" s="79">
        <f>IFERROR(B12,"")</f>
        <v/>
      </c>
    </row>
    <row r="26"/>
    <row r="27"/>
    <row r="28"/>
    <row r="29"/>
    <row r="30"/>
    <row r="31"/>
    <row r="32"/>
    <row r="33"/>
    <row r="34"/>
    <row r="35"/>
    <row r="36"/>
    <row r="37"/>
    <row r="38"/>
    <row r="39"/>
    <row r="40"/>
  </sheetData>
  <mergeCells count="4">
    <mergeCell ref="A1:D1"/>
    <mergeCell ref="A17:D17"/>
    <mergeCell ref="A4:D4"/>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1.75" customHeight="1" s="38">
      <c r="A10" s="51" t="inlineStr">
        <is>
          <t>Total items scored</t>
        </is>
      </c>
      <c r="B10" s="53">
        <f>SUM(B5:B8)</f>
        <v/>
      </c>
    </row>
    <row r="11" ht="21.75" customHeight="1" s="38">
      <c r="A11" s="51" t="inlineStr">
        <is>
          <t>They agreed on</t>
        </is>
      </c>
      <c r="B11" s="59">
        <f>IFERROR((B5+B8)/SUM(B5:B8),"")</f>
        <v/>
      </c>
    </row>
    <row r="12" ht="21.75" customHeight="1" s="38">
      <c r="A12" s="51" t="inlineStr">
        <is>
          <t>Agreement expected by luck alone</t>
        </is>
      </c>
      <c r="B12" s="59">
        <f>IFERROR(((B5+B6)/SUM(B5:B8))*((B5+B7)/SUM(B5:B8))+((B7+B8)/SUM(B5:B8))*((B6+B8)/SUM(B5:B8)),"")</f>
        <v/>
      </c>
    </row>
    <row r="13" ht="30" customHeight="1" s="38">
      <c r="A13" s="41" t="inlineStr">
        <is>
          <t>COHEN'S KAPPA</t>
        </is>
      </c>
      <c r="B13" s="60">
        <f>IFERROR((B11-B12)/(1-B12),"")</f>
        <v/>
      </c>
    </row>
    <row r="14" ht="25.5" customHeight="1" s="38">
      <c r="A14" s="47" t="inlineStr">
        <is>
          <t>Verdict</t>
        </is>
      </c>
      <c r="B14" s="61">
        <f>IF(B13="","",IF(B13&gt;0.9,"EXCELLENT — fit for purpose",IF(B13&gt;0.75,"GOOD — usable, fix the weakest rubric items",IF(B13&gt;0.4,"MARGINAL — do NOT use for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c r="A20" s="78" t="inlineStr">
        <is>
          <t>YOUR KAPPA</t>
        </is>
      </c>
      <c r="B20" s="81">
        <f>IFERROR(B13,"")</f>
        <v/>
      </c>
    </row>
    <row r="21"/>
    <row r="22"/>
    <row r="23"/>
    <row r="24"/>
    <row r="25"/>
    <row r="26"/>
    <row r="27"/>
    <row r="28"/>
    <row r="29"/>
    <row r="30"/>
    <row r="31"/>
    <row r="32"/>
    <row r="33"/>
    <row r="34"/>
    <row r="35"/>
    <row r="36"/>
    <row r="37"/>
    <row r="38"/>
    <row r="39"/>
    <row r="40"/>
  </sheetData>
  <mergeCells count="4">
    <mergeCell ref="A1:D1"/>
    <mergeCell ref="A4:D4"/>
    <mergeCell ref="B14:D1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D6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21.75" customHeight="1" s="38">
      <c r="A9" s="51" t="inlineStr">
        <is>
          <t>Headroom to the limit</t>
        </is>
      </c>
      <c r="B9" s="56">
        <f>B5-B6</f>
        <v/>
      </c>
    </row>
    <row r="10" ht="21.75" customHeight="1" s="38">
      <c r="A10" s="51" t="inlineStr">
        <is>
          <t>Three standard deviations</t>
        </is>
      </c>
      <c r="B10" s="56">
        <f>3*B7</f>
        <v/>
      </c>
    </row>
    <row r="11" ht="21.75" customHeight="1" s="38">
      <c r="A11" s="51" t="inlineStr">
        <is>
          <t>Z-score at the limit</t>
        </is>
      </c>
      <c r="B11" s="56">
        <f>IFERROR((B5-B6)/B7,"")</f>
        <v/>
      </c>
    </row>
    <row r="12" ht="21.75" customHeight="1" s="38">
      <c r="A12" s="51" t="inlineStr">
        <is>
          <t>Share of contacts that breach</t>
        </is>
      </c>
      <c r="B12" s="55">
        <f>IFERROR(1-NORMSDIST((B5-B6)/B7),"")</f>
        <v/>
      </c>
    </row>
    <row r="13" ht="30" customHeight="1" s="38">
      <c r="A13" s="41" t="inlineStr">
        <is>
          <t>CAPABILITY (Ppu)</t>
        </is>
      </c>
      <c r="B13" s="57">
        <f>IFERROR((B5-B6)/(3*B7),"")</f>
        <v/>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c r="A20" s="78" t="inlineStr">
        <is>
          <t>Hours</t>
        </is>
      </c>
      <c r="B20" s="78" t="inlineStr">
        <is>
          <t>How often</t>
        </is>
      </c>
      <c r="C20" s="78" t="inlineStr">
        <is>
          <t>SLA limit</t>
        </is>
      </c>
    </row>
    <row r="21">
      <c r="A21" s="81">
        <f>MAX(0,$B$6-4*$B$7)+(0/40)*(8*$B$7)</f>
        <v/>
      </c>
      <c r="B21" s="82">
        <f>IFERROR(NORMDIST(A21,$B$6,$B$7,FALSE),"")</f>
        <v/>
      </c>
      <c r="C21" s="82">
        <f>IF(ABS(A21-$B$5)&lt;=(8*$B$7)/80,MAX($B$21:$B$61),NA())</f>
        <v/>
      </c>
    </row>
    <row r="22">
      <c r="A22" s="81">
        <f>MAX(0,$B$6-4*$B$7)+(1/40)*(8*$B$7)</f>
        <v/>
      </c>
      <c r="B22" s="82">
        <f>IFERROR(NORMDIST(A22,$B$6,$B$7,FALSE),"")</f>
        <v/>
      </c>
      <c r="C22" s="82">
        <f>IF(ABS(A22-$B$5)&lt;=(8*$B$7)/80,MAX($B$21:$B$61),NA())</f>
        <v/>
      </c>
    </row>
    <row r="23">
      <c r="A23" s="81">
        <f>MAX(0,$B$6-4*$B$7)+(2/40)*(8*$B$7)</f>
        <v/>
      </c>
      <c r="B23" s="82">
        <f>IFERROR(NORMDIST(A23,$B$6,$B$7,FALSE),"")</f>
        <v/>
      </c>
      <c r="C23" s="82">
        <f>IF(ABS(A23-$B$5)&lt;=(8*$B$7)/80,MAX($B$21:$B$61),NA())</f>
        <v/>
      </c>
    </row>
    <row r="24">
      <c r="A24" s="81">
        <f>MAX(0,$B$6-4*$B$7)+(3/40)*(8*$B$7)</f>
        <v/>
      </c>
      <c r="B24" s="82">
        <f>IFERROR(NORMDIST(A24,$B$6,$B$7,FALSE),"")</f>
        <v/>
      </c>
      <c r="C24" s="82">
        <f>IF(ABS(A24-$B$5)&lt;=(8*$B$7)/80,MAX($B$21:$B$61),NA())</f>
        <v/>
      </c>
    </row>
    <row r="25">
      <c r="A25" s="81">
        <f>MAX(0,$B$6-4*$B$7)+(4/40)*(8*$B$7)</f>
        <v/>
      </c>
      <c r="B25" s="82">
        <f>IFERROR(NORMDIST(A25,$B$6,$B$7,FALSE),"")</f>
        <v/>
      </c>
      <c r="C25" s="82">
        <f>IF(ABS(A25-$B$5)&lt;=(8*$B$7)/80,MAX($B$21:$B$61),NA())</f>
        <v/>
      </c>
    </row>
    <row r="26">
      <c r="A26" s="81">
        <f>MAX(0,$B$6-4*$B$7)+(5/40)*(8*$B$7)</f>
        <v/>
      </c>
      <c r="B26" s="82">
        <f>IFERROR(NORMDIST(A26,$B$6,$B$7,FALSE),"")</f>
        <v/>
      </c>
      <c r="C26" s="82">
        <f>IF(ABS(A26-$B$5)&lt;=(8*$B$7)/80,MAX($B$21:$B$61),NA())</f>
        <v/>
      </c>
    </row>
    <row r="27">
      <c r="A27" s="81">
        <f>MAX(0,$B$6-4*$B$7)+(6/40)*(8*$B$7)</f>
        <v/>
      </c>
      <c r="B27" s="82">
        <f>IFERROR(NORMDIST(A27,$B$6,$B$7,FALSE),"")</f>
        <v/>
      </c>
      <c r="C27" s="82">
        <f>IF(ABS(A27-$B$5)&lt;=(8*$B$7)/80,MAX($B$21:$B$61),NA())</f>
        <v/>
      </c>
    </row>
    <row r="28">
      <c r="A28" s="81">
        <f>MAX(0,$B$6-4*$B$7)+(7/40)*(8*$B$7)</f>
        <v/>
      </c>
      <c r="B28" s="82">
        <f>IFERROR(NORMDIST(A28,$B$6,$B$7,FALSE),"")</f>
        <v/>
      </c>
      <c r="C28" s="82">
        <f>IF(ABS(A28-$B$5)&lt;=(8*$B$7)/80,MAX($B$21:$B$61),NA())</f>
        <v/>
      </c>
    </row>
    <row r="29">
      <c r="A29" s="81">
        <f>MAX(0,$B$6-4*$B$7)+(8/40)*(8*$B$7)</f>
        <v/>
      </c>
      <c r="B29" s="82">
        <f>IFERROR(NORMDIST(A29,$B$6,$B$7,FALSE),"")</f>
        <v/>
      </c>
      <c r="C29" s="82">
        <f>IF(ABS(A29-$B$5)&lt;=(8*$B$7)/80,MAX($B$21:$B$61),NA())</f>
        <v/>
      </c>
    </row>
    <row r="30">
      <c r="A30" s="81">
        <f>MAX(0,$B$6-4*$B$7)+(9/40)*(8*$B$7)</f>
        <v/>
      </c>
      <c r="B30" s="82">
        <f>IFERROR(NORMDIST(A30,$B$6,$B$7,FALSE),"")</f>
        <v/>
      </c>
      <c r="C30" s="82">
        <f>IF(ABS(A30-$B$5)&lt;=(8*$B$7)/80,MAX($B$21:$B$61),NA())</f>
        <v/>
      </c>
    </row>
    <row r="31">
      <c r="A31" s="81">
        <f>MAX(0,$B$6-4*$B$7)+(10/40)*(8*$B$7)</f>
        <v/>
      </c>
      <c r="B31" s="82">
        <f>IFERROR(NORMDIST(A31,$B$6,$B$7,FALSE),"")</f>
        <v/>
      </c>
      <c r="C31" s="82">
        <f>IF(ABS(A31-$B$5)&lt;=(8*$B$7)/80,MAX($B$21:$B$61),NA())</f>
        <v/>
      </c>
    </row>
    <row r="32">
      <c r="A32" s="81">
        <f>MAX(0,$B$6-4*$B$7)+(11/40)*(8*$B$7)</f>
        <v/>
      </c>
      <c r="B32" s="82">
        <f>IFERROR(NORMDIST(A32,$B$6,$B$7,FALSE),"")</f>
        <v/>
      </c>
      <c r="C32" s="82">
        <f>IF(ABS(A32-$B$5)&lt;=(8*$B$7)/80,MAX($B$21:$B$61),NA())</f>
        <v/>
      </c>
    </row>
    <row r="33">
      <c r="A33" s="81">
        <f>MAX(0,$B$6-4*$B$7)+(12/40)*(8*$B$7)</f>
        <v/>
      </c>
      <c r="B33" s="82">
        <f>IFERROR(NORMDIST(A33,$B$6,$B$7,FALSE),"")</f>
        <v/>
      </c>
      <c r="C33" s="82">
        <f>IF(ABS(A33-$B$5)&lt;=(8*$B$7)/80,MAX($B$21:$B$61),NA())</f>
        <v/>
      </c>
    </row>
    <row r="34">
      <c r="A34" s="81">
        <f>MAX(0,$B$6-4*$B$7)+(13/40)*(8*$B$7)</f>
        <v/>
      </c>
      <c r="B34" s="82">
        <f>IFERROR(NORMDIST(A34,$B$6,$B$7,FALSE),"")</f>
        <v/>
      </c>
      <c r="C34" s="82">
        <f>IF(ABS(A34-$B$5)&lt;=(8*$B$7)/80,MAX($B$21:$B$61),NA())</f>
        <v/>
      </c>
    </row>
    <row r="35">
      <c r="A35" s="81">
        <f>MAX(0,$B$6-4*$B$7)+(14/40)*(8*$B$7)</f>
        <v/>
      </c>
      <c r="B35" s="82">
        <f>IFERROR(NORMDIST(A35,$B$6,$B$7,FALSE),"")</f>
        <v/>
      </c>
      <c r="C35" s="82">
        <f>IF(ABS(A35-$B$5)&lt;=(8*$B$7)/80,MAX($B$21:$B$61),NA())</f>
        <v/>
      </c>
    </row>
    <row r="36">
      <c r="A36" s="81">
        <f>MAX(0,$B$6-4*$B$7)+(15/40)*(8*$B$7)</f>
        <v/>
      </c>
      <c r="B36" s="82">
        <f>IFERROR(NORMDIST(A36,$B$6,$B$7,FALSE),"")</f>
        <v/>
      </c>
      <c r="C36" s="82">
        <f>IF(ABS(A36-$B$5)&lt;=(8*$B$7)/80,MAX($B$21:$B$61),NA())</f>
        <v/>
      </c>
    </row>
    <row r="37">
      <c r="A37" s="81">
        <f>MAX(0,$B$6-4*$B$7)+(16/40)*(8*$B$7)</f>
        <v/>
      </c>
      <c r="B37" s="82">
        <f>IFERROR(NORMDIST(A37,$B$6,$B$7,FALSE),"")</f>
        <v/>
      </c>
      <c r="C37" s="82">
        <f>IF(ABS(A37-$B$5)&lt;=(8*$B$7)/80,MAX($B$21:$B$61),NA())</f>
        <v/>
      </c>
    </row>
    <row r="38">
      <c r="A38" s="81">
        <f>MAX(0,$B$6-4*$B$7)+(17/40)*(8*$B$7)</f>
        <v/>
      </c>
      <c r="B38" s="82">
        <f>IFERROR(NORMDIST(A38,$B$6,$B$7,FALSE),"")</f>
        <v/>
      </c>
      <c r="C38" s="82">
        <f>IF(ABS(A38-$B$5)&lt;=(8*$B$7)/80,MAX($B$21:$B$61),NA())</f>
        <v/>
      </c>
    </row>
    <row r="39">
      <c r="A39" s="81">
        <f>MAX(0,$B$6-4*$B$7)+(18/40)*(8*$B$7)</f>
        <v/>
      </c>
      <c r="B39" s="82">
        <f>IFERROR(NORMDIST(A39,$B$6,$B$7,FALSE),"")</f>
        <v/>
      </c>
      <c r="C39" s="82">
        <f>IF(ABS(A39-$B$5)&lt;=(8*$B$7)/80,MAX($B$21:$B$61),NA())</f>
        <v/>
      </c>
    </row>
    <row r="40">
      <c r="A40" s="81">
        <f>MAX(0,$B$6-4*$B$7)+(19/40)*(8*$B$7)</f>
        <v/>
      </c>
      <c r="B40" s="82">
        <f>IFERROR(NORMDIST(A40,$B$6,$B$7,FALSE),"")</f>
        <v/>
      </c>
      <c r="C40" s="82">
        <f>IF(ABS(A40-$B$5)&lt;=(8*$B$7)/80,MAX($B$21:$B$61),NA())</f>
        <v/>
      </c>
    </row>
    <row r="41">
      <c r="A41" s="81">
        <f>MAX(0,$B$6-4*$B$7)+(20/40)*(8*$B$7)</f>
        <v/>
      </c>
      <c r="B41" s="82">
        <f>IFERROR(NORMDIST(A41,$B$6,$B$7,FALSE),"")</f>
        <v/>
      </c>
      <c r="C41" s="82">
        <f>IF(ABS(A41-$B$5)&lt;=(8*$B$7)/80,MAX($B$21:$B$61),NA())</f>
        <v/>
      </c>
    </row>
    <row r="42">
      <c r="A42" s="81">
        <f>MAX(0,$B$6-4*$B$7)+(21/40)*(8*$B$7)</f>
        <v/>
      </c>
      <c r="B42" s="82">
        <f>IFERROR(NORMDIST(A42,$B$6,$B$7,FALSE),"")</f>
        <v/>
      </c>
      <c r="C42" s="82">
        <f>IF(ABS(A42-$B$5)&lt;=(8*$B$7)/80,MAX($B$21:$B$61),NA())</f>
        <v/>
      </c>
    </row>
    <row r="43">
      <c r="A43" s="81">
        <f>MAX(0,$B$6-4*$B$7)+(22/40)*(8*$B$7)</f>
        <v/>
      </c>
      <c r="B43" s="82">
        <f>IFERROR(NORMDIST(A43,$B$6,$B$7,FALSE),"")</f>
        <v/>
      </c>
      <c r="C43" s="82">
        <f>IF(ABS(A43-$B$5)&lt;=(8*$B$7)/80,MAX($B$21:$B$61),NA())</f>
        <v/>
      </c>
    </row>
    <row r="44">
      <c r="A44" s="81">
        <f>MAX(0,$B$6-4*$B$7)+(23/40)*(8*$B$7)</f>
        <v/>
      </c>
      <c r="B44" s="82">
        <f>IFERROR(NORMDIST(A44,$B$6,$B$7,FALSE),"")</f>
        <v/>
      </c>
      <c r="C44" s="82">
        <f>IF(ABS(A44-$B$5)&lt;=(8*$B$7)/80,MAX($B$21:$B$61),NA())</f>
        <v/>
      </c>
    </row>
    <row r="45">
      <c r="A45" s="81">
        <f>MAX(0,$B$6-4*$B$7)+(24/40)*(8*$B$7)</f>
        <v/>
      </c>
      <c r="B45" s="82">
        <f>IFERROR(NORMDIST(A45,$B$6,$B$7,FALSE),"")</f>
        <v/>
      </c>
      <c r="C45" s="82">
        <f>IF(ABS(A45-$B$5)&lt;=(8*$B$7)/80,MAX($B$21:$B$61),NA())</f>
        <v/>
      </c>
    </row>
    <row r="46">
      <c r="A46" s="81">
        <f>MAX(0,$B$6-4*$B$7)+(25/40)*(8*$B$7)</f>
        <v/>
      </c>
      <c r="B46" s="82">
        <f>IFERROR(NORMDIST(A46,$B$6,$B$7,FALSE),"")</f>
        <v/>
      </c>
      <c r="C46" s="82">
        <f>IF(ABS(A46-$B$5)&lt;=(8*$B$7)/80,MAX($B$21:$B$61),NA())</f>
        <v/>
      </c>
    </row>
    <row r="47">
      <c r="A47" s="81">
        <f>MAX(0,$B$6-4*$B$7)+(26/40)*(8*$B$7)</f>
        <v/>
      </c>
      <c r="B47" s="82">
        <f>IFERROR(NORMDIST(A47,$B$6,$B$7,FALSE),"")</f>
        <v/>
      </c>
      <c r="C47" s="82">
        <f>IF(ABS(A47-$B$5)&lt;=(8*$B$7)/80,MAX($B$21:$B$61),NA())</f>
        <v/>
      </c>
    </row>
    <row r="48">
      <c r="A48" s="81">
        <f>MAX(0,$B$6-4*$B$7)+(27/40)*(8*$B$7)</f>
        <v/>
      </c>
      <c r="B48" s="82">
        <f>IFERROR(NORMDIST(A48,$B$6,$B$7,FALSE),"")</f>
        <v/>
      </c>
      <c r="C48" s="82">
        <f>IF(ABS(A48-$B$5)&lt;=(8*$B$7)/80,MAX($B$21:$B$61),NA())</f>
        <v/>
      </c>
    </row>
    <row r="49">
      <c r="A49" s="81">
        <f>MAX(0,$B$6-4*$B$7)+(28/40)*(8*$B$7)</f>
        <v/>
      </c>
      <c r="B49" s="82">
        <f>IFERROR(NORMDIST(A49,$B$6,$B$7,FALSE),"")</f>
        <v/>
      </c>
      <c r="C49" s="82">
        <f>IF(ABS(A49-$B$5)&lt;=(8*$B$7)/80,MAX($B$21:$B$61),NA())</f>
        <v/>
      </c>
    </row>
    <row r="50">
      <c r="A50" s="81">
        <f>MAX(0,$B$6-4*$B$7)+(29/40)*(8*$B$7)</f>
        <v/>
      </c>
      <c r="B50" s="82">
        <f>IFERROR(NORMDIST(A50,$B$6,$B$7,FALSE),"")</f>
        <v/>
      </c>
      <c r="C50" s="82">
        <f>IF(ABS(A50-$B$5)&lt;=(8*$B$7)/80,MAX($B$21:$B$61),NA())</f>
        <v/>
      </c>
    </row>
    <row r="51">
      <c r="A51" s="81">
        <f>MAX(0,$B$6-4*$B$7)+(30/40)*(8*$B$7)</f>
        <v/>
      </c>
      <c r="B51" s="82">
        <f>IFERROR(NORMDIST(A51,$B$6,$B$7,FALSE),"")</f>
        <v/>
      </c>
      <c r="C51" s="82">
        <f>IF(ABS(A51-$B$5)&lt;=(8*$B$7)/80,MAX($B$21:$B$61),NA())</f>
        <v/>
      </c>
    </row>
    <row r="52">
      <c r="A52" s="81">
        <f>MAX(0,$B$6-4*$B$7)+(31/40)*(8*$B$7)</f>
        <v/>
      </c>
      <c r="B52" s="82">
        <f>IFERROR(NORMDIST(A52,$B$6,$B$7,FALSE),"")</f>
        <v/>
      </c>
      <c r="C52" s="82">
        <f>IF(ABS(A52-$B$5)&lt;=(8*$B$7)/80,MAX($B$21:$B$61),NA())</f>
        <v/>
      </c>
    </row>
    <row r="53">
      <c r="A53" s="81">
        <f>MAX(0,$B$6-4*$B$7)+(32/40)*(8*$B$7)</f>
        <v/>
      </c>
      <c r="B53" s="82">
        <f>IFERROR(NORMDIST(A53,$B$6,$B$7,FALSE),"")</f>
        <v/>
      </c>
      <c r="C53" s="82">
        <f>IF(ABS(A53-$B$5)&lt;=(8*$B$7)/80,MAX($B$21:$B$61),NA())</f>
        <v/>
      </c>
    </row>
    <row r="54">
      <c r="A54" s="81">
        <f>MAX(0,$B$6-4*$B$7)+(33/40)*(8*$B$7)</f>
        <v/>
      </c>
      <c r="B54" s="82">
        <f>IFERROR(NORMDIST(A54,$B$6,$B$7,FALSE),"")</f>
        <v/>
      </c>
      <c r="C54" s="82">
        <f>IF(ABS(A54-$B$5)&lt;=(8*$B$7)/80,MAX($B$21:$B$61),NA())</f>
        <v/>
      </c>
    </row>
    <row r="55">
      <c r="A55" s="81">
        <f>MAX(0,$B$6-4*$B$7)+(34/40)*(8*$B$7)</f>
        <v/>
      </c>
      <c r="B55" s="82">
        <f>IFERROR(NORMDIST(A55,$B$6,$B$7,FALSE),"")</f>
        <v/>
      </c>
      <c r="C55" s="82">
        <f>IF(ABS(A55-$B$5)&lt;=(8*$B$7)/80,MAX($B$21:$B$61),NA())</f>
        <v/>
      </c>
    </row>
    <row r="56">
      <c r="A56" s="81">
        <f>MAX(0,$B$6-4*$B$7)+(35/40)*(8*$B$7)</f>
        <v/>
      </c>
      <c r="B56" s="82">
        <f>IFERROR(NORMDIST(A56,$B$6,$B$7,FALSE),"")</f>
        <v/>
      </c>
      <c r="C56" s="82">
        <f>IF(ABS(A56-$B$5)&lt;=(8*$B$7)/80,MAX($B$21:$B$61),NA())</f>
        <v/>
      </c>
    </row>
    <row r="57">
      <c r="A57" s="81">
        <f>MAX(0,$B$6-4*$B$7)+(36/40)*(8*$B$7)</f>
        <v/>
      </c>
      <c r="B57" s="82">
        <f>IFERROR(NORMDIST(A57,$B$6,$B$7,FALSE),"")</f>
        <v/>
      </c>
      <c r="C57" s="82">
        <f>IF(ABS(A57-$B$5)&lt;=(8*$B$7)/80,MAX($B$21:$B$61),NA())</f>
        <v/>
      </c>
    </row>
    <row r="58">
      <c r="A58" s="81">
        <f>MAX(0,$B$6-4*$B$7)+(37/40)*(8*$B$7)</f>
        <v/>
      </c>
      <c r="B58" s="82">
        <f>IFERROR(NORMDIST(A58,$B$6,$B$7,FALSE),"")</f>
        <v/>
      </c>
      <c r="C58" s="82">
        <f>IF(ABS(A58-$B$5)&lt;=(8*$B$7)/80,MAX($B$21:$B$61),NA())</f>
        <v/>
      </c>
    </row>
    <row r="59">
      <c r="A59" s="81">
        <f>MAX(0,$B$6-4*$B$7)+(38/40)*(8*$B$7)</f>
        <v/>
      </c>
      <c r="B59" s="82">
        <f>IFERROR(NORMDIST(A59,$B$6,$B$7,FALSE),"")</f>
        <v/>
      </c>
      <c r="C59" s="82">
        <f>IF(ABS(A59-$B$5)&lt;=(8*$B$7)/80,MAX($B$21:$B$61),NA())</f>
        <v/>
      </c>
    </row>
    <row r="60">
      <c r="A60" s="81">
        <f>MAX(0,$B$6-4*$B$7)+(39/40)*(8*$B$7)</f>
        <v/>
      </c>
      <c r="B60" s="82">
        <f>IFERROR(NORMDIST(A60,$B$6,$B$7,FALSE),"")</f>
        <v/>
      </c>
      <c r="C60" s="82">
        <f>IF(ABS(A60-$B$5)&lt;=(8*$B$7)/80,MAX($B$21:$B$61),NA())</f>
        <v/>
      </c>
    </row>
    <row r="61">
      <c r="A61" s="81">
        <f>MAX(0,$B$6-4*$B$7)+(40/40)*(8*$B$7)</f>
        <v/>
      </c>
      <c r="B61" s="82">
        <f>IFERROR(NORMDIST(A61,$B$6,$B$7,FALSE),"")</f>
        <v/>
      </c>
      <c r="C61" s="82">
        <f>IF(ABS(A61-$B$5)&lt;=(8*$B$7)/80,MAX($B$21:$B$61),NA())</f>
        <v/>
      </c>
    </row>
  </sheetData>
  <mergeCells count="5">
    <mergeCell ref="A1:D1"/>
    <mergeCell ref="A4:D4"/>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21.75" customHeight="1" s="38">
      <c r="A9" s="51" t="inlineStr">
        <is>
          <t>Average lead time today (days)</t>
        </is>
      </c>
      <c r="B9" s="56">
        <f>IFERROR(B5/B6,"")</f>
        <v/>
      </c>
    </row>
    <row r="10" ht="21.75" customHeight="1" s="38">
      <c r="A10" s="51" t="inlineStr">
        <is>
          <t>In hours</t>
        </is>
      </c>
      <c r="B10" s="65">
        <f>IFERROR(B5/B6*24,"")</f>
        <v/>
      </c>
    </row>
    <row r="11" ht="21.75" customHeight="1" s="38">
      <c r="A11" s="51" t="inlineStr">
        <is>
          <t>Backlog cap needed to hit your target</t>
        </is>
      </c>
      <c r="B11" s="53">
        <f>B6*B7</f>
        <v/>
      </c>
    </row>
    <row r="12" ht="30" customHeight="1" s="38">
      <c r="A12" s="41" t="inlineStr">
        <is>
          <t>Backlog you must remove</t>
        </is>
      </c>
      <c r="B12" s="66">
        <f>MAX(0,B5-B6*B7)</f>
        <v/>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c r="A17" s="37" t="inlineStr">
        <is>
          <t>Today</t>
        </is>
      </c>
      <c r="B17" s="83">
        <f>IFERROR(B9,"")</f>
        <v/>
      </c>
    </row>
    <row r="18">
      <c r="A18" s="37" t="inlineStr">
        <is>
          <t>Target</t>
        </is>
      </c>
      <c r="B18" s="83">
        <f>B7</f>
        <v/>
      </c>
    </row>
    <row r="19"/>
    <row r="20">
      <c r="A20" s="76" t="inlineStr">
        <is>
          <t>Backlog: now against the cap that delivers your target</t>
        </is>
      </c>
    </row>
    <row r="21">
      <c r="A21" s="37" t="inlineStr">
        <is>
          <t>Open now</t>
        </is>
      </c>
      <c r="B21" s="79">
        <f>B5</f>
        <v/>
      </c>
    </row>
    <row r="22">
      <c r="A22" s="37" t="inlineStr">
        <is>
          <t>Cap needed</t>
        </is>
      </c>
      <c r="B22" s="79">
        <f>IFERROR(B11,"")</f>
        <v/>
      </c>
    </row>
    <row r="23"/>
    <row r="24"/>
    <row r="25"/>
    <row r="26"/>
    <row r="27"/>
    <row r="28"/>
    <row r="29"/>
    <row r="30"/>
    <row r="31"/>
    <row r="32"/>
    <row r="33"/>
    <row r="34"/>
    <row r="35"/>
    <row r="36"/>
    <row r="37"/>
    <row r="38"/>
    <row r="39"/>
    <row r="40"/>
  </sheetData>
  <mergeCells count="4">
    <mergeCell ref="A1:D1"/>
    <mergeCell ref="A2:D2"/>
    <mergeCell ref="A4:D4"/>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21.75" customHeight="1" s="38">
      <c r="A8" s="51" t="inlineStr">
        <is>
          <t>Elapsed time in minutes</t>
        </is>
      </c>
      <c r="B8" s="53">
        <f>B6*60</f>
        <v/>
      </c>
    </row>
    <row r="9" ht="21.75" customHeight="1" s="38">
      <c r="A9" s="51" t="inlineStr">
        <is>
          <t>Time spent waiting (minutes)</t>
        </is>
      </c>
      <c r="B9" s="53">
        <f>IFERROR(B6*60-B5,"")</f>
        <v/>
      </c>
    </row>
    <row r="10" ht="30" customHeight="1" s="38">
      <c r="A10" s="41" t="inlineStr">
        <is>
          <t>PROCESS CYCLE EFFICIENCY</t>
        </is>
      </c>
      <c r="B10" s="67">
        <f>IFERROR(B5/(B6*60),"")</f>
        <v/>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c r="A15" s="37" t="inlineStr">
        <is>
          <t>Actual work</t>
        </is>
      </c>
      <c r="B15" s="79">
        <f>B5</f>
        <v/>
      </c>
    </row>
    <row r="16">
      <c r="A16" s="37" t="inlineStr">
        <is>
          <t>Waiting</t>
        </is>
      </c>
      <c r="B16" s="79">
        <f>IFERROR(B9,"")</f>
        <v/>
      </c>
    </row>
    <row r="17"/>
    <row r="18"/>
    <row r="19"/>
    <row r="20"/>
    <row r="21"/>
    <row r="22"/>
    <row r="23"/>
    <row r="24"/>
    <row r="25"/>
    <row r="26"/>
    <row r="27"/>
    <row r="28"/>
    <row r="29"/>
    <row r="30"/>
    <row r="31"/>
    <row r="32"/>
    <row r="33"/>
    <row r="34"/>
    <row r="35"/>
    <row r="36"/>
    <row r="37"/>
    <row r="38"/>
    <row r="39"/>
    <row r="40"/>
  </sheetData>
  <mergeCells count="4">
    <mergeCell ref="A1:D1"/>
    <mergeCell ref="A12:D12"/>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21.75" customHeight="1" s="38">
      <c r="A10" s="51" t="inlineStr">
        <is>
          <t>Offered load (Erlangs)</t>
        </is>
      </c>
      <c r="B10" s="65">
        <f>B5*B6/3600</f>
        <v/>
      </c>
    </row>
    <row r="11" ht="21.75" customHeight="1" s="38">
      <c r="A11" s="51" t="inlineStr">
        <is>
          <t>Agents needed on the phone</t>
        </is>
      </c>
      <c r="B11" s="65">
        <f>IFERROR(B5*B6/3600/B7,"")</f>
        <v/>
      </c>
    </row>
    <row r="12" ht="21.75" customHeight="1" s="38">
      <c r="A12" s="51" t="inlineStr">
        <is>
          <t>Extra people shrinkage costs you</t>
        </is>
      </c>
      <c r="B12" s="65">
        <f>IFERROR(B5*B6/3600/B7/(1-B8)-B5*B6/3600/B7,"")</f>
        <v/>
      </c>
    </row>
    <row r="13" ht="30" customHeight="1" s="38">
      <c r="A13" s="41" t="inlineStr">
        <is>
          <t>PAID FTE REQUIRED</t>
        </is>
      </c>
      <c r="B13" s="69">
        <f>IFERROR(B5*B6/3600/B7/(1-B8),"")</f>
        <v/>
      </c>
    </row>
    <row r="14"/>
    <row r="15">
      <c r="A15" s="76" t="inlineStr">
        <is>
          <t>What the headcount is actually made of</t>
        </is>
      </c>
    </row>
    <row r="16">
      <c r="A16" s="37" t="inlineStr">
        <is>
          <t>Offered load</t>
        </is>
      </c>
      <c r="B16" s="84">
        <f>IFERROR(B10,"")</f>
        <v/>
      </c>
    </row>
    <row r="17">
      <c r="A17" s="37" t="inlineStr">
        <is>
          <t>+ occupancy gap</t>
        </is>
      </c>
      <c r="B17" s="84">
        <f>IFERROR(B11-B10,"")</f>
        <v/>
      </c>
    </row>
    <row r="18">
      <c r="A18" s="37" t="inlineStr">
        <is>
          <t>+ shrinkage</t>
        </is>
      </c>
      <c r="B18" s="84">
        <f>IFERROR(B12,"")</f>
        <v/>
      </c>
    </row>
    <row r="19">
      <c r="A19" s="78" t="inlineStr">
        <is>
          <t>PAID FTE</t>
        </is>
      </c>
      <c r="B19" s="84">
        <f>IFERROR(B13,"")</f>
        <v/>
      </c>
    </row>
    <row r="20"/>
    <row r="21"/>
    <row r="22"/>
    <row r="23"/>
    <row r="24"/>
    <row r="25"/>
    <row r="26"/>
    <row r="27"/>
    <row r="28"/>
    <row r="29"/>
    <row r="30"/>
    <row r="31"/>
    <row r="32"/>
    <row r="33"/>
    <row r="34"/>
    <row r="35"/>
    <row r="36"/>
    <row r="37"/>
    <row r="38"/>
    <row r="39"/>
    <row r="40"/>
  </sheetData>
  <mergeCells count="3">
    <mergeCell ref="A1:D1"/>
    <mergeCell ref="A4:D4"/>
    <mergeCell ref="A2:D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row r="11" ht="21.75" customHeight="1" s="38">
      <c r="A11" s="51" t="inlineStr">
        <is>
          <t>Handle-hours saved</t>
        </is>
      </c>
      <c r="B11" s="53">
        <f>B5*B6/3600</f>
        <v/>
      </c>
    </row>
    <row r="12" ht="21.75" customHeight="1" s="38">
      <c r="A12" s="51" t="inlineStr">
        <is>
          <t>Paid hours freed</t>
        </is>
      </c>
      <c r="B12" s="53">
        <f>IFERROR(B5*B6/3600/B8,"")</f>
        <v/>
      </c>
    </row>
    <row r="13" ht="21.75" customHeight="1" s="38">
      <c r="A13" s="51" t="inlineStr">
        <is>
          <t>People-equivalent (FTE)</t>
        </is>
      </c>
      <c r="B13" s="65">
        <f>IFERROR(B5*B6/3600/B8/1760,"")</f>
        <v/>
      </c>
    </row>
    <row r="14" ht="21.75" customHeight="1" s="38">
      <c r="A14" s="51" t="inlineStr">
        <is>
          <t>Gross annual value</t>
        </is>
      </c>
      <c r="B14" s="71">
        <f>IFERROR(B5*B6/3600/B8*B7,"")</f>
        <v/>
      </c>
    </row>
    <row r="15" ht="30" customHeight="1" s="38">
      <c r="A15" s="41" t="inlineStr">
        <is>
          <t>REALISED ANNUAL BENEFIT</t>
        </is>
      </c>
      <c r="B15" s="72">
        <f>IFERROR(B5*B6/3600/B8*B7*B9,"")</f>
        <v/>
      </c>
    </row>
    <row r="16"/>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c r="A20" s="37" t="inlineStr">
        <is>
          <t>Gross annual value</t>
        </is>
      </c>
      <c r="B20" s="85">
        <f>IFERROR(B14,"")</f>
        <v/>
      </c>
    </row>
    <row r="21">
      <c r="A21" s="37" t="inlineStr">
        <is>
          <t>Realised benefit</t>
        </is>
      </c>
      <c r="B21" s="85">
        <f>IFERROR(B15,"")</f>
        <v/>
      </c>
    </row>
    <row r="22"/>
    <row r="23"/>
    <row r="24"/>
    <row r="25"/>
    <row r="26"/>
    <row r="27"/>
    <row r="28"/>
    <row r="29"/>
    <row r="30"/>
    <row r="31"/>
    <row r="32"/>
    <row r="33"/>
    <row r="34"/>
    <row r="35"/>
    <row r="36"/>
    <row r="37"/>
    <row r="38"/>
    <row r="39"/>
    <row r="40"/>
  </sheetData>
  <mergeCells count="4">
    <mergeCell ref="A1:D1"/>
    <mergeCell ref="A17:D17"/>
    <mergeCell ref="A4:D4"/>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480000</v>
      </c>
      <c r="D5" s="49" t="inlineStr">
        <is>
          <t>Contacts per year in the queue you are working on.</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33.75" customHeight="1" s="38">
      <c r="A8" s="47" t="inlineStr">
        <is>
          <t>Fully-loaded cost per contact</t>
        </is>
      </c>
      <c r="B8" s="74" t="n">
        <v>6.8</v>
      </c>
      <c r="D8" s="49" t="inlineStr">
        <is>
          <t>From Finance: total support cost divided by total contacts, with an agreed definition of 'total support cost'.</t>
        </is>
      </c>
    </row>
    <row r="9" ht="33.75" customHeight="1" s="38">
      <c r="A9" s="47" t="inlineStr">
        <is>
          <t>Realisation factor</t>
        </is>
      </c>
      <c r="B9" s="68" t="n">
        <v>0.85</v>
      </c>
      <c r="D9" s="49" t="inlineStr">
        <is>
          <t>Higher than for handle-time projects, because an avoided contact is unambiguously avoided.</t>
        </is>
      </c>
    </row>
    <row r="10"/>
    <row r="11" ht="21.75" customHeight="1" s="38">
      <c r="A11" s="51" t="inlineStr">
        <is>
          <t>Improvement (percentage points)</t>
        </is>
      </c>
      <c r="B11" s="59">
        <f>B6-B7</f>
        <v/>
      </c>
    </row>
    <row r="12" ht="21.75" customHeight="1" s="38">
      <c r="A12" s="51" t="inlineStr">
        <is>
          <t>Contacts avoided per year</t>
        </is>
      </c>
      <c r="B12" s="53">
        <f>B5*(B6-B7)</f>
        <v/>
      </c>
    </row>
    <row r="13" ht="21.75" customHeight="1" s="38">
      <c r="A13" s="51" t="inlineStr">
        <is>
          <t>Gross annual value</t>
        </is>
      </c>
      <c r="B13" s="71">
        <f>B5*(B6-B7)*B8</f>
        <v/>
      </c>
    </row>
    <row r="14" ht="30" customHeight="1" s="38">
      <c r="A14" s="41" t="inlineStr">
        <is>
          <t>REALISED ANNUAL BENEFIT</t>
        </is>
      </c>
      <c r="B14" s="72">
        <f>B5*(B6-B7)*B8*B9</f>
        <v/>
      </c>
    </row>
    <row r="15"/>
    <row r="16"/>
    <row r="17"/>
    <row r="18"/>
    <row r="19">
      <c r="A19" s="76" t="inlineStr">
        <is>
          <t>Gross against realised</t>
        </is>
      </c>
    </row>
    <row r="20">
      <c r="A20" s="37" t="inlineStr">
        <is>
          <t>Gross annual value</t>
        </is>
      </c>
      <c r="B20" s="85">
        <f>IFERROR(B13,"")</f>
        <v/>
      </c>
    </row>
    <row r="21">
      <c r="A21" s="37" t="inlineStr">
        <is>
          <t>Realised benefit</t>
        </is>
      </c>
      <c r="B21" s="85">
        <f>IFERROR(B14,"")</f>
        <v/>
      </c>
    </row>
    <row r="22"/>
    <row r="23"/>
    <row r="24"/>
    <row r="25"/>
    <row r="26"/>
    <row r="27"/>
    <row r="28"/>
    <row r="29"/>
    <row r="30"/>
    <row r="31"/>
    <row r="32"/>
    <row r="33"/>
    <row r="34"/>
    <row r="35"/>
    <row r="36"/>
    <row r="37"/>
    <row r="38"/>
    <row r="39"/>
    <row r="40"/>
  </sheetData>
  <mergeCells count="3">
    <mergeCell ref="A1:D1"/>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156672</v>
      </c>
      <c r="D6" s="49" t="inlineStr">
        <is>
          <t>Validated and realised — not gross, not the pilot rate. Signed by Finance after 90 days of control data.</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1.75" customHeight="1" s="38">
      <c r="A10" s="51" t="inlineStr">
        <is>
          <t>Year 1 in today's money</t>
        </is>
      </c>
      <c r="B10" s="71">
        <f>IF($B$7&gt;=1,B6/(1+B8)^1,0)</f>
        <v/>
      </c>
    </row>
    <row r="11" ht="21.75" customHeight="1" s="38">
      <c r="A11" s="51" t="inlineStr">
        <is>
          <t>Year 2 in today's money</t>
        </is>
      </c>
      <c r="B11" s="71">
        <f>IF($B$7&gt;=2,B6/(1+B8)^2,0)</f>
        <v/>
      </c>
    </row>
    <row r="12" ht="21.75" customHeight="1" s="38">
      <c r="A12" s="51" t="inlineStr">
        <is>
          <t>Year 3 in today's money</t>
        </is>
      </c>
      <c r="B12" s="71">
        <f>IF($B$7&gt;=3,B6/(1+B8)^3,0)</f>
        <v/>
      </c>
    </row>
    <row r="13" ht="21.75" customHeight="1" s="38">
      <c r="A13" s="51" t="inlineStr">
        <is>
          <t>Payback period (months)</t>
        </is>
      </c>
      <c r="B13" s="65">
        <f>IFERROR(B5/B6*12,"")</f>
        <v/>
      </c>
    </row>
    <row r="14" ht="21.75" customHeight="1" s="38">
      <c r="A14" s="51" t="inlineStr">
        <is>
          <t>Simple ROI over the period</t>
        </is>
      </c>
      <c r="B14" s="75">
        <f>IFERROR((B6*B7-B5)/B5,"")</f>
        <v/>
      </c>
    </row>
    <row r="15" ht="30" customHeight="1" s="38">
      <c r="A15" s="41" t="inlineStr">
        <is>
          <t>NET PRESENT VALUE</t>
        </is>
      </c>
      <c r="B15" s="72">
        <f>IFERROR(-B5+IF(B8=0,B6*B7,B6*(1-(1+B8)^-B7)/B8),"")</f>
        <v/>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c r="A20" s="78" t="inlineStr">
        <is>
          <t>Year</t>
        </is>
      </c>
      <c r="B20" s="78" t="inlineStr">
        <is>
          <t>Cumulative</t>
        </is>
      </c>
      <c r="C20" s="78" t="inlineStr">
        <is>
          <t>Breakeven</t>
        </is>
      </c>
    </row>
    <row r="21">
      <c r="A21" s="37" t="inlineStr">
        <is>
          <t>Year 0</t>
        </is>
      </c>
      <c r="B21" s="85">
        <f>-B5</f>
        <v/>
      </c>
      <c r="C21" s="86" t="n">
        <v>0</v>
      </c>
    </row>
    <row r="22">
      <c r="A22" s="37" t="inlineStr">
        <is>
          <t>Year 1</t>
        </is>
      </c>
      <c r="B22" s="85">
        <f>IF(1&gt;$B$7,NA(),B21+IFERROR($B$6/(1+$B$8)^1,0))</f>
        <v/>
      </c>
      <c r="C22" s="85">
        <f>IF(1&gt;$B$7,NA(),0)</f>
        <v/>
      </c>
    </row>
    <row r="23">
      <c r="A23" s="37" t="inlineStr">
        <is>
          <t>Year 2</t>
        </is>
      </c>
      <c r="B23" s="85">
        <f>IF(2&gt;$B$7,NA(),B22+IFERROR($B$6/(1+$B$8)^2,0))</f>
        <v/>
      </c>
      <c r="C23" s="85">
        <f>IF(2&gt;$B$7,NA(),0)</f>
        <v/>
      </c>
    </row>
    <row r="24">
      <c r="A24" s="37" t="inlineStr">
        <is>
          <t>Year 3</t>
        </is>
      </c>
      <c r="B24" s="85">
        <f>IF(3&gt;$B$7,NA(),B23+IFERROR($B$6/(1+$B$8)^3,0))</f>
        <v/>
      </c>
      <c r="C24" s="85">
        <f>IF(3&gt;$B$7,NA(),0)</f>
        <v/>
      </c>
    </row>
    <row r="25">
      <c r="A25" s="37" t="inlineStr">
        <is>
          <t>Year 4</t>
        </is>
      </c>
      <c r="B25" s="85">
        <f>IF(4&gt;$B$7,NA(),B24+IFERROR($B$6/(1+$B$8)^4,0))</f>
        <v/>
      </c>
      <c r="C25" s="85">
        <f>IF(4&gt;$B$7,NA(),0)</f>
        <v/>
      </c>
    </row>
    <row r="26">
      <c r="A26" s="37" t="inlineStr">
        <is>
          <t>Year 5</t>
        </is>
      </c>
      <c r="B26" s="85">
        <f>IF(5&gt;$B$7,NA(),B25+IFERROR($B$6/(1+$B$8)^5,0))</f>
        <v/>
      </c>
      <c r="C26" s="85">
        <f>IF(5&gt;$B$7,NA(),0)</f>
        <v/>
      </c>
    </row>
    <row r="27">
      <c r="A27" s="37" t="inlineStr">
        <is>
          <t>Year 6</t>
        </is>
      </c>
      <c r="B27" s="85">
        <f>IF(6&gt;$B$7,NA(),B26+IFERROR($B$6/(1+$B$8)^6,0))</f>
        <v/>
      </c>
      <c r="C27" s="85">
        <f>IF(6&gt;$B$7,NA(),0)</f>
        <v/>
      </c>
    </row>
    <row r="28">
      <c r="A28" s="37" t="inlineStr">
        <is>
          <t>Year 7</t>
        </is>
      </c>
      <c r="B28" s="85">
        <f>IF(7&gt;$B$7,NA(),B27+IFERROR($B$6/(1+$B$8)^7,0))</f>
        <v/>
      </c>
      <c r="C28" s="85">
        <f>IF(7&gt;$B$7,NA(),0)</f>
        <v/>
      </c>
    </row>
    <row r="29">
      <c r="A29" s="37" t="inlineStr">
        <is>
          <t>Year 8</t>
        </is>
      </c>
      <c r="B29" s="85">
        <f>IF(8&gt;$B$7,NA(),B28+IFERROR($B$6/(1+$B$8)^8,0))</f>
        <v/>
      </c>
      <c r="C29" s="85">
        <f>IF(8&gt;$B$7,NA(),0)</f>
        <v/>
      </c>
    </row>
    <row r="30">
      <c r="A30" s="37" t="inlineStr">
        <is>
          <t>Year 9</t>
        </is>
      </c>
      <c r="B30" s="85">
        <f>IF(9&gt;$B$7,NA(),B29+IFERROR($B$6/(1+$B$8)^9,0))</f>
        <v/>
      </c>
      <c r="C30" s="85">
        <f>IF(9&gt;$B$7,NA(),0)</f>
        <v/>
      </c>
    </row>
    <row r="31">
      <c r="A31" s="37" t="inlineStr">
        <is>
          <t>Year 10</t>
        </is>
      </c>
      <c r="B31" s="85">
        <f>IF(10&gt;$B$7,NA(),B30+IFERROR($B$6/(1+$B$8)^10,0))</f>
        <v/>
      </c>
      <c r="C31" s="85">
        <f>IF(10&gt;$B$7,NA(),0)</f>
        <v/>
      </c>
    </row>
    <row r="32"/>
    <row r="33"/>
    <row r="34"/>
    <row r="35"/>
    <row r="36"/>
    <row r="37"/>
    <row r="38"/>
    <row r="39"/>
    <row r="40"/>
  </sheetData>
  <mergeCells count="4">
    <mergeCell ref="A1:D1"/>
    <mergeCell ref="A17:D17"/>
    <mergeCell ref="A4:D4"/>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2026-08-01T05:28:23Z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