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Start here" sheetId="1" state="visible" r:id="rId1"/>
    <sheet name="1 Sigma level" sheetId="2" state="visible" r:id="rId2"/>
    <sheet name="2 QA agreement (kappa)" sheetId="3" state="visible" r:id="rId3"/>
    <sheet name="3 SLA capability" sheetId="4" state="visible" r:id="rId4"/>
    <sheet name="4 Backlog and lead time" sheetId="5" state="visible" r:id="rId5"/>
    <sheet name="5 Process efficiency" sheetId="6" state="visible" r:id="rId6"/>
    <sheet name="6 Staffing" sheetId="7" state="visible" r:id="rId7"/>
    <sheet name="7 Benefit — AHT" sheetId="8" state="visible" r:id="rId8"/>
    <sheet name="8 Benefit — avoided contacts" sheetId="9" state="visible" r:id="rId9"/>
    <sheet name="9 ROI and payback" sheetId="10" state="visible" r:id="rId10"/>
  </sheets>
  <definedNames/>
  <calcPr calcId="124519" fullCalcOnLoad="1" refMode="A1" iterate="0" iterateCount="100" iterateDelta="0.0001"/>
</workbook>
</file>

<file path=xl/styles.xml><?xml version="1.0" encoding="utf-8"?>
<styleSheet xmlns="http://schemas.openxmlformats.org/spreadsheetml/2006/main">
  <numFmts count="7">
    <numFmt numFmtId="164" formatCode="0.0000"/>
    <numFmt numFmtId="165" formatCode="0.00000"/>
    <numFmt numFmtId="166" formatCode="0.0%"/>
    <numFmt numFmtId="167" formatCode="0.000"/>
    <numFmt numFmtId="168" formatCode="0.0"/>
    <numFmt numFmtId="169" formatCode="\$#,##0"/>
    <numFmt numFmtId="170" formatCode="\$#,##0.00"/>
  </numFmts>
  <fonts count="15">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b val="1"/>
      <color rgb="FF1F2937"/>
      <sz val="10"/>
    </font>
    <font>
      <name val="Arial"/>
      <charset val="1"/>
      <family val="0"/>
      <b val="1"/>
      <color rgb="FF0000FF"/>
      <sz val="11"/>
    </font>
    <font>
      <name val="Arial"/>
      <charset val="1"/>
      <family val="0"/>
      <b val="1"/>
      <color rgb="FF1F2937"/>
      <sz val="11"/>
    </font>
    <font>
      <name val="Arial"/>
      <charset val="1"/>
      <family val="0"/>
      <b val="1"/>
      <color rgb="FFB45309"/>
      <sz val="15"/>
    </font>
  </fonts>
  <fills count="7">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s>
  <borders count="5">
    <border>
      <left/>
      <right/>
      <top/>
      <bottom/>
      <diagonal/>
    </border>
    <border>
      <left style="thin">
        <color rgb="FFD8DEE8"/>
      </left>
      <right style="thin">
        <color rgb="FFD8DEE8"/>
      </right>
      <top style="thin">
        <color rgb="FFD8DEE8"/>
      </top>
      <bottom style="thin">
        <color rgb="FFD8DEE8"/>
      </bottom>
      <diagonal/>
    </border>
    <border>
      <left style="thin">
        <color rgb="FFD8DEE8"/>
      </left>
      <right/>
      <top style="thin">
        <color rgb="FFD8DEE8"/>
      </top>
      <bottom style="thin">
        <color rgb="FFD8DEE8"/>
      </bottom>
      <diagonal/>
    </border>
    <border>
      <left/>
      <right/>
      <top style="thin">
        <color rgb="FFD8DEE8"/>
      </top>
      <bottom/>
      <diagonal/>
    </border>
    <border>
      <left/>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76">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11" fillId="0" borderId="0" applyAlignment="1" pivotButton="0" quotePrefix="0" xfId="0">
      <alignment horizontal="general" vertical="bottom"/>
    </xf>
    <xf numFmtId="3" fontId="12" fillId="5" borderId="1" applyAlignment="1" pivotButton="0" quotePrefix="0" xfId="0">
      <alignment horizontal="general" vertical="bottom"/>
    </xf>
    <xf numFmtId="0" fontId="9" fillId="0" borderId="0" applyAlignment="1" pivotButton="0" quotePrefix="0" xfId="0">
      <alignment horizontal="general" vertical="center" wrapText="1"/>
    </xf>
    <xf numFmtId="1" fontId="12" fillId="5" borderId="1" applyAlignment="1" pivotButton="0" quotePrefix="0" xfId="0">
      <alignment horizontal="general" vertical="bottom"/>
    </xf>
    <xf numFmtId="0" fontId="5" fillId="0" borderId="0" applyAlignment="1" pivotButton="0" quotePrefix="0" xfId="0">
      <alignment horizontal="general" vertical="bottom"/>
    </xf>
    <xf numFmtId="164" fontId="13" fillId="6" borderId="1" applyAlignment="1" pivotButton="0" quotePrefix="0" xfId="0">
      <alignment horizontal="general" vertical="bottom"/>
    </xf>
    <xf numFmtId="3" fontId="13" fillId="6" borderId="1" applyAlignment="1" pivotButton="0" quotePrefix="0" xfId="0">
      <alignment horizontal="general" vertical="bottom"/>
    </xf>
    <xf numFmtId="165" fontId="13" fillId="6" borderId="1" applyAlignment="1" pivotButton="0" quotePrefix="0" xfId="0">
      <alignment horizontal="general" vertical="bottom"/>
    </xf>
    <xf numFmtId="10" fontId="13" fillId="6" borderId="1" applyAlignment="1" pivotButton="0" quotePrefix="0" xfId="0">
      <alignment horizontal="general" vertical="bottom"/>
    </xf>
    <xf numFmtId="2" fontId="13" fillId="6" borderId="1" applyAlignment="1" pivotButton="0" quotePrefix="0" xfId="0">
      <alignment horizontal="general" vertical="bottom"/>
    </xf>
    <xf numFmtId="2" fontId="14" fillId="6" borderId="1" applyAlignment="1" pivotButton="0" quotePrefix="0" xfId="0">
      <alignment horizontal="general" vertical="bottom"/>
    </xf>
    <xf numFmtId="0" fontId="9" fillId="0" borderId="0" applyAlignment="1" pivotButton="0" quotePrefix="0" xfId="0">
      <alignment horizontal="general" vertical="top" wrapText="1"/>
    </xf>
    <xf numFmtId="166" fontId="13" fillId="6" borderId="1" applyAlignment="1" pivotButton="0" quotePrefix="0" xfId="0">
      <alignment horizontal="general" vertical="bottom"/>
    </xf>
    <xf numFmtId="167" fontId="14" fillId="6" borderId="1" applyAlignment="1" pivotButton="0" quotePrefix="0" xfId="0">
      <alignment horizontal="general" vertical="bottom"/>
    </xf>
    <xf numFmtId="0" fontId="13" fillId="6" borderId="2" applyAlignment="1" pivotButton="0" quotePrefix="0" xfId="0">
      <alignment horizontal="general" vertical="bottom"/>
    </xf>
    <xf numFmtId="168" fontId="12" fillId="5" borderId="1" applyAlignment="1" pivotButton="0" quotePrefix="0" xfId="0">
      <alignment horizontal="general" vertical="bottom"/>
    </xf>
    <xf numFmtId="2" fontId="12" fillId="5" borderId="1" applyAlignment="1" pivotButton="0" quotePrefix="0" xfId="0">
      <alignment horizontal="general" vertical="bottom"/>
    </xf>
    <xf numFmtId="168" fontId="13" fillId="6" borderId="1" applyAlignment="1" pivotButton="0" quotePrefix="0" xfId="0">
      <alignment horizontal="general" vertical="bottom"/>
    </xf>
    <xf numFmtId="3" fontId="14" fillId="6" borderId="1" applyAlignment="1" pivotButton="0" quotePrefix="0" xfId="0">
      <alignment horizontal="general" vertical="bottom"/>
    </xf>
    <xf numFmtId="10" fontId="14" fillId="6" borderId="1" applyAlignment="1" pivotButton="0" quotePrefix="0" xfId="0">
      <alignment horizontal="general" vertical="bottom"/>
    </xf>
    <xf numFmtId="9" fontId="12" fillId="5" borderId="1" applyAlignment="1" pivotButton="0" quotePrefix="0" xfId="0">
      <alignment horizontal="general" vertical="bottom"/>
    </xf>
    <xf numFmtId="168" fontId="14" fillId="6" borderId="1" applyAlignment="1" pivotButton="0" quotePrefix="0" xfId="0">
      <alignment horizontal="general" vertical="bottom"/>
    </xf>
    <xf numFmtId="169" fontId="12" fillId="5" borderId="1" applyAlignment="1" pivotButton="0" quotePrefix="0" xfId="0">
      <alignment horizontal="general" vertical="bottom"/>
    </xf>
    <xf numFmtId="169" fontId="13" fillId="6" borderId="1" applyAlignment="1" pivotButton="0" quotePrefix="0" xfId="0">
      <alignment horizontal="general" vertical="bottom"/>
    </xf>
    <xf numFmtId="169" fontId="14" fillId="6" borderId="1" applyAlignment="1" pivotButton="0" quotePrefix="0" xfId="0">
      <alignment horizontal="general" vertical="bottom"/>
    </xf>
    <xf numFmtId="166" fontId="12" fillId="5" borderId="1" applyAlignment="1" pivotButton="0" quotePrefix="0" xfId="0">
      <alignment horizontal="general" vertical="bottom"/>
    </xf>
    <xf numFmtId="170" fontId="12" fillId="5" borderId="1" applyAlignment="1" pivotButton="0" quotePrefix="0" xfId="0">
      <alignment horizontal="general" vertical="bottom"/>
    </xf>
    <xf numFmtId="9" fontId="13" fillId="6"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11" fillId="0" borderId="0" applyAlignment="1" pivotButton="0" quotePrefix="0" xfId="0">
      <alignment horizontal="general" vertical="bottom"/>
    </xf>
    <xf numFmtId="3" fontId="12" fillId="5" borderId="1" applyAlignment="1" pivotButton="0" quotePrefix="0" xfId="0">
      <alignment horizontal="general" vertical="bottom"/>
    </xf>
    <xf numFmtId="0" fontId="9" fillId="0" borderId="0" applyAlignment="1" pivotButton="0" quotePrefix="0" xfId="0">
      <alignment horizontal="general" vertical="center" wrapText="1"/>
    </xf>
    <xf numFmtId="1" fontId="12" fillId="5" borderId="1" applyAlignment="1" pivotButton="0" quotePrefix="0" xfId="0">
      <alignment horizontal="general" vertical="bottom"/>
    </xf>
    <xf numFmtId="0" fontId="5" fillId="0" borderId="0" applyAlignment="1" pivotButton="0" quotePrefix="0" xfId="0">
      <alignment horizontal="general" vertical="bottom"/>
    </xf>
    <xf numFmtId="164" fontId="13" fillId="6" borderId="1" applyAlignment="1" pivotButton="0" quotePrefix="0" xfId="0">
      <alignment horizontal="general" vertical="bottom"/>
    </xf>
    <xf numFmtId="3" fontId="13" fillId="6" borderId="1" applyAlignment="1" pivotButton="0" quotePrefix="0" xfId="0">
      <alignment horizontal="general" vertical="bottom"/>
    </xf>
    <xf numFmtId="165" fontId="13" fillId="6" borderId="1" applyAlignment="1" pivotButton="0" quotePrefix="0" xfId="0">
      <alignment horizontal="general" vertical="bottom"/>
    </xf>
    <xf numFmtId="10" fontId="13" fillId="6" borderId="1" applyAlignment="1" pivotButton="0" quotePrefix="0" xfId="0">
      <alignment horizontal="general" vertical="bottom"/>
    </xf>
    <xf numFmtId="2" fontId="13" fillId="6" borderId="1" applyAlignment="1" pivotButton="0" quotePrefix="0" xfId="0">
      <alignment horizontal="general" vertical="bottom"/>
    </xf>
    <xf numFmtId="2" fontId="14" fillId="6" borderId="1" applyAlignment="1" pivotButton="0" quotePrefix="0" xfId="0">
      <alignment horizontal="general" vertical="bottom"/>
    </xf>
    <xf numFmtId="0" fontId="9" fillId="0" borderId="0" applyAlignment="1" pivotButton="0" quotePrefix="0" xfId="0">
      <alignment horizontal="general" vertical="top" wrapText="1"/>
    </xf>
    <xf numFmtId="166" fontId="13" fillId="6" borderId="1" applyAlignment="1" pivotButton="0" quotePrefix="0" xfId="0">
      <alignment horizontal="general" vertical="bottom"/>
    </xf>
    <xf numFmtId="167" fontId="14" fillId="6" borderId="1" applyAlignment="1" pivotButton="0" quotePrefix="0" xfId="0">
      <alignment horizontal="general" vertical="bottom"/>
    </xf>
    <xf numFmtId="0" fontId="13" fillId="6" borderId="2" applyAlignment="1" pivotButton="0" quotePrefix="0" xfId="0">
      <alignment horizontal="general" vertical="bottom"/>
    </xf>
    <xf numFmtId="0" fontId="0" fillId="0" borderId="4" pivotButton="0" quotePrefix="0" xfId="0"/>
    <xf numFmtId="168" fontId="12" fillId="5" borderId="1" applyAlignment="1" pivotButton="0" quotePrefix="0" xfId="0">
      <alignment horizontal="general" vertical="bottom"/>
    </xf>
    <xf numFmtId="2" fontId="12" fillId="5" borderId="1" applyAlignment="1" pivotButton="0" quotePrefix="0" xfId="0">
      <alignment horizontal="general" vertical="bottom"/>
    </xf>
    <xf numFmtId="168" fontId="13" fillId="6" borderId="1" applyAlignment="1" pivotButton="0" quotePrefix="0" xfId="0">
      <alignment horizontal="general" vertical="bottom"/>
    </xf>
    <xf numFmtId="3" fontId="14" fillId="6" borderId="1" applyAlignment="1" pivotButton="0" quotePrefix="0" xfId="0">
      <alignment horizontal="general" vertical="bottom"/>
    </xf>
    <xf numFmtId="10" fontId="14" fillId="6" borderId="1" applyAlignment="1" pivotButton="0" quotePrefix="0" xfId="0">
      <alignment horizontal="general" vertical="bottom"/>
    </xf>
    <xf numFmtId="9" fontId="12" fillId="5" borderId="1" applyAlignment="1" pivotButton="0" quotePrefix="0" xfId="0">
      <alignment horizontal="general" vertical="bottom"/>
    </xf>
    <xf numFmtId="168" fontId="14" fillId="6" borderId="1" applyAlignment="1" pivotButton="0" quotePrefix="0" xfId="0">
      <alignment horizontal="general" vertical="bottom"/>
    </xf>
    <xf numFmtId="169" fontId="12" fillId="5" borderId="1" applyAlignment="1" pivotButton="0" quotePrefix="0" xfId="0">
      <alignment horizontal="general" vertical="bottom"/>
    </xf>
    <xf numFmtId="169" fontId="13" fillId="6" borderId="1" applyAlignment="1" pivotButton="0" quotePrefix="0" xfId="0">
      <alignment horizontal="general" vertical="bottom"/>
    </xf>
    <xf numFmtId="169" fontId="14" fillId="6" borderId="1" applyAlignment="1" pivotButton="0" quotePrefix="0" xfId="0">
      <alignment horizontal="general" vertical="bottom"/>
    </xf>
    <xf numFmtId="166" fontId="12" fillId="5" borderId="1" applyAlignment="1" pivotButton="0" quotePrefix="0" xfId="0">
      <alignment horizontal="general" vertical="bottom"/>
    </xf>
    <xf numFmtId="170" fontId="12" fillId="5" borderId="1" applyAlignment="1" pivotButton="0" quotePrefix="0" xfId="0">
      <alignment horizontal="general" vertical="bottom"/>
    </xf>
    <xf numFmtId="9" fontId="13" fillId="6" borderId="1"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B45309"/>
      <rgbColor rgb="FFFFF9E3"/>
      <rgbColor rgb="FFF2F7F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EEF1F6"/>
      <rgbColor rgb="FFCCFFCC"/>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333300"/>
      <rgbColor rgb="FFB91C1C"/>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37" min="1" max="1"/>
    <col width="108" customWidth="1" style="37" min="2" max="2"/>
  </cols>
  <sheetData>
    <row r="1"/>
    <row r="2" ht="30" customHeight="1" s="38">
      <c r="B2" s="39" t="inlineStr">
        <is>
          <t>Black Belt Calculator Workbook</t>
        </is>
      </c>
    </row>
    <row r="3" ht="25.5" customHeight="1" s="38">
      <c r="B3" s="40" t="inlineStr">
        <is>
          <t>Nine calculators. Every one works the same way: change the YELLOW cells, read the answer. Everything else is a formula — do not type over it.</t>
        </is>
      </c>
    </row>
    <row r="4"/>
    <row r="5" ht="24" customHeight="1" s="38">
      <c r="B5" s="41" t="inlineStr">
        <is>
          <t>What each tab does</t>
        </is>
      </c>
    </row>
    <row r="6" ht="25.5" customHeight="1" s="38">
      <c r="B6" s="42" t="inlineStr">
        <is>
          <t>1  SIGMA LEVEL — turns your defect count into the 1-to-6 quality score everyone in the industry uses.</t>
        </is>
      </c>
    </row>
    <row r="7" ht="25.5" customHeight="1" s="38">
      <c r="B7" s="42" t="inlineStr">
        <is>
          <t>2  QA AGREEMENT — do two quality analysts scoring the same calls actually agree? Usually much less than anyone assumes.</t>
        </is>
      </c>
    </row>
    <row r="8" ht="25.5" customHeight="1" s="38">
      <c r="B8" s="42" t="inlineStr">
        <is>
          <t>3  SLA CAPABILITY — are you actually capable of hitting your service commitment, and what share of contacts breach it?</t>
        </is>
      </c>
    </row>
    <row r="9" ht="25.5" customHeight="1" s="38">
      <c r="B9" s="42" t="inlineStr">
        <is>
          <t>4  BACKLOG AND LEAD TIME — how long customers wait, and exactly how much backlog you have to remove to change it.</t>
        </is>
      </c>
    </row>
    <row r="10" ht="25.5" customHeight="1" s="38">
      <c r="B10" s="42" t="inlineStr">
        <is>
          <t>5  PROCESS EFFICIENCY — how much of the customer's wait was actual work. The answer is usually shocking.</t>
        </is>
      </c>
    </row>
    <row r="11" ht="15" customHeight="1" s="38">
      <c r="B11" s="42" t="inlineStr">
        <is>
          <t>6  STAFFING — how many people you need on the floor, and on the payroll.</t>
        </is>
      </c>
    </row>
    <row r="12" ht="25.5" customHeight="1" s="38">
      <c r="B12" s="42" t="inlineStr">
        <is>
          <t>7  BENEFIT, HANDLE TIME — what a handle-time saving is worth, and the trap that makes most of these numbers wrong.</t>
        </is>
      </c>
    </row>
    <row r="13" ht="15" customHeight="1" s="38">
      <c r="B13" s="42" t="inlineStr">
        <is>
          <t>8  BENEFIT, AVOIDED CONTACTS — what it is worth to stop a contact happening at all.</t>
        </is>
      </c>
    </row>
    <row r="14" ht="15" customHeight="1" s="38">
      <c r="B14" s="42" t="inlineStr">
        <is>
          <t>9  ROI AND PAYBACK — the three numbers Finance will ask for.</t>
        </is>
      </c>
    </row>
    <row r="15"/>
    <row r="16" ht="24" customHeight="1" s="38">
      <c r="B16" s="41" t="inlineStr">
        <is>
          <t>Every input has a note</t>
        </is>
      </c>
    </row>
    <row r="17" ht="25.5" customHeight="1" s="38">
      <c r="B17" s="40" t="inlineStr">
        <is>
          <t>Hover over any yellow cell, or read the grey text to its right. It tells you exactly which system that number lives in and what to watch out for when you pull it.</t>
        </is>
      </c>
    </row>
    <row r="18"/>
    <row r="19" ht="39" customHeight="1" s="38">
      <c r="B19" s="43" t="inlineStr">
        <is>
          <t>These are models, not measurements. Before any of this reaches a steering committee, every input should be traceable to a named source, and your Finance partner should have seen the assumptions.</t>
        </is>
      </c>
    </row>
    <row r="20"/>
    <row r="21"/>
    <row r="22"/>
    <row r="23"/>
    <row r="24"/>
    <row r="25"/>
    <row r="26"/>
    <row r="27"/>
    <row r="28"/>
    <row r="29"/>
    <row r="30"/>
    <row r="31"/>
    <row r="32"/>
    <row r="33"/>
    <row r="34"/>
    <row r="35"/>
    <row r="36"/>
    <row r="37"/>
    <row r="38"/>
    <row r="39"/>
    <row r="40"/>
  </sheetData>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Sigma level and DPMO</t>
        </is>
      </c>
    </row>
    <row r="2" ht="27.75" customHeight="1" s="38">
      <c r="A2" s="45" t="inlineStr">
        <is>
          <t>How good is this process, on the scale everyone in the quality world uses?</t>
        </is>
      </c>
    </row>
    <row r="3"/>
    <row r="4" ht="19.5" customHeight="1" s="38">
      <c r="A4" s="46" t="inlineStr">
        <is>
          <t>YOUR NUMBERS</t>
        </is>
      </c>
    </row>
    <row r="5" ht="33.75" customHeight="1" s="38">
      <c r="A5" s="47" t="inlineStr">
        <is>
          <t>Units handled (contacts)</t>
        </is>
      </c>
      <c r="B5" s="48" t="n">
        <v>120000</v>
      </c>
      <c r="D5" s="49" t="inlineStr">
        <is>
          <t>How many contacts or tickets you handled in the period. From your ticketing or phone platform.</t>
        </is>
      </c>
    </row>
    <row r="6" ht="60" customHeight="1" s="38">
      <c r="A6" s="47" t="inlineStr">
        <is>
          <t>Opportunities per unit</t>
        </is>
      </c>
      <c r="B6" s="50" t="n">
        <v>5</v>
      </c>
      <c r="D6" s="49" t="inlineStr">
        <is>
          <t>How many independent ways one contact can go wrong. In support, 4–8 is normal: routing, diagnosis, resolution accuracy, communication, timeliness, documentation. Fix this number once at programme level and never change it mid-project.</t>
        </is>
      </c>
    </row>
    <row r="7" ht="33.75" customHeight="1" s="38">
      <c r="A7" s="47" t="inlineStr">
        <is>
          <t>Defects observed</t>
        </is>
      </c>
      <c r="B7" s="48" t="n">
        <v>30400</v>
      </c>
      <c r="D7" s="49" t="inlineStr">
        <is>
          <t>Every defect in the period across all your defect types — reopens, transfers, SLA breaches, QA fails. One contact can carry several.</t>
        </is>
      </c>
    </row>
    <row r="8"/>
    <row r="9" ht="21.75" customHeight="1" s="38">
      <c r="A9" s="51" t="inlineStr">
        <is>
          <t>Defects per unit (DPU)</t>
        </is>
      </c>
      <c r="B9" s="52">
        <f>IFERROR(B7/B5,"")</f>
        <v/>
      </c>
    </row>
    <row r="10" ht="21.75" customHeight="1" s="38">
      <c r="A10" s="51" t="inlineStr">
        <is>
          <t>Total opportunities</t>
        </is>
      </c>
      <c r="B10" s="53">
        <f>B5*B6</f>
        <v/>
      </c>
    </row>
    <row r="11" ht="21.75" customHeight="1" s="38">
      <c r="A11" s="51" t="inlineStr">
        <is>
          <t>Defects per opportunity (DPO)</t>
        </is>
      </c>
      <c r="B11" s="54">
        <f>IFERROR(B7/(B5*B6),"")</f>
        <v/>
      </c>
    </row>
    <row r="12" ht="21.75" customHeight="1" s="38">
      <c r="A12" s="51" t="inlineStr">
        <is>
          <t>DPMO</t>
        </is>
      </c>
      <c r="B12" s="53">
        <f>IFERROR(B7/(B5*B6)*1000000,"")</f>
        <v/>
      </c>
    </row>
    <row r="13" ht="21.75" customHeight="1" s="38">
      <c r="A13" s="51" t="inlineStr">
        <is>
          <t>Throughput yield</t>
        </is>
      </c>
      <c r="B13" s="55">
        <f>IFERROR(EXP(-B7/B5),"")</f>
        <v/>
      </c>
    </row>
    <row r="14" ht="21.75" customHeight="1" s="38">
      <c r="A14" s="51" t="inlineStr">
        <is>
          <t>Z from your data (long-term)</t>
        </is>
      </c>
      <c r="B14" s="56">
        <f>IFERROR(NORMSINV(1-B7/(B5*B6)),"")</f>
        <v/>
      </c>
    </row>
    <row r="15" ht="30" customHeight="1" s="38">
      <c r="A15" s="41" t="inlineStr">
        <is>
          <t>SIGMA LEVEL (with the 1.5 shift)</t>
        </is>
      </c>
      <c r="B15" s="57">
        <f>IFERROR(NORMSINV(1-B7/(B5*B6))+1.5,"")</f>
        <v/>
      </c>
    </row>
    <row r="16"/>
    <row r="17" ht="39" customHeight="1" s="38">
      <c r="A17" s="58" t="inlineStr">
        <is>
          <t>The number quality tables quote includes a conventional 1.5 sigma shift, which exists because processes drift over the long run. Six sigma = 3.4 DPMO, five = 233, four = 6,210, three = 66,807. Say which convention you are using and never mix them in one report.</t>
        </is>
      </c>
    </row>
    <row r="18"/>
    <row r="19"/>
    <row r="20"/>
    <row r="21"/>
    <row r="22"/>
    <row r="23"/>
    <row r="24"/>
    <row r="25"/>
    <row r="26"/>
    <row r="27"/>
    <row r="28"/>
    <row r="29"/>
    <row r="30"/>
    <row r="31"/>
    <row r="32"/>
    <row r="33"/>
    <row r="34"/>
    <row r="35"/>
    <row r="36"/>
    <row r="37"/>
    <row r="38"/>
    <row r="39"/>
    <row r="40"/>
  </sheetData>
  <mergeCells count="4">
    <mergeCell ref="A1:D1"/>
    <mergeCell ref="A17:D17"/>
    <mergeCell ref="A4:D4"/>
    <mergeCell ref="A2:D2"/>
  </mergeCells>
  <dataValidations count="1">
    <dataValidation sqref="B6" showDropDown="0" showInputMessage="0" showErrorMessage="1" allowBlank="1" errorTitle="Check this number" error="Opportunities per unit must be at least 1." type="whole" operator="between">
      <formula1>1</formula1>
      <formula2>50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Do your QA analysts actually agree?</t>
        </is>
      </c>
    </row>
    <row r="2" ht="27.75" customHeight="1" s="38">
      <c r="A2" s="45" t="inlineStr">
        <is>
          <t>Two analysts scored the same calls. Kappa strips out the agreement you would get by pure luck.</t>
        </is>
      </c>
    </row>
    <row r="3"/>
    <row r="4" ht="19.5" customHeight="1" s="38">
      <c r="A4" s="46" t="inlineStr">
        <is>
          <t>COUNT HOW THE TWO ANALYSTS SCORED THE SAME SAMPLE</t>
        </is>
      </c>
    </row>
    <row r="5" ht="25.5" customHeight="1" s="38">
      <c r="A5" s="47" t="inlineStr">
        <is>
          <t>Both said PASS</t>
        </is>
      </c>
      <c r="B5" s="48" t="n">
        <v>38</v>
      </c>
      <c r="D5" s="49" t="inlineStr">
        <is>
          <t>Items both analysts passed.</t>
        </is>
      </c>
    </row>
    <row r="6" ht="25.5" customHeight="1" s="38">
      <c r="A6" s="47" t="inlineStr">
        <is>
          <t>A passed, B failed</t>
        </is>
      </c>
      <c r="B6" s="48" t="n">
        <v>9</v>
      </c>
      <c r="D6" s="49" t="inlineStr">
        <is>
          <t>Disagreements. These are the whole point of the study.</t>
        </is>
      </c>
    </row>
    <row r="7" ht="25.5" customHeight="1" s="38">
      <c r="A7" s="47" t="inlineStr">
        <is>
          <t>A failed, B passed</t>
        </is>
      </c>
      <c r="B7" s="48" t="n">
        <v>7</v>
      </c>
      <c r="D7" s="49" t="inlineStr">
        <is>
          <t>Disagreements the other way.</t>
        </is>
      </c>
    </row>
    <row r="8" ht="46.5" customHeight="1" s="38">
      <c r="A8" s="47" t="inlineStr">
        <is>
          <t>Both said FAIL</t>
        </is>
      </c>
      <c r="B8" s="48" t="n">
        <v>16</v>
      </c>
      <c r="D8" s="49" t="inlineStr">
        <is>
          <t>Items both analysts failed. DESIGN TIP: deliberately load your sample with failures and ambiguous cases. A random sample from a queue with a 95% pass rate has almost no power to detect disagreement.</t>
        </is>
      </c>
    </row>
    <row r="9"/>
    <row r="10" ht="21.75" customHeight="1" s="38">
      <c r="A10" s="51" t="inlineStr">
        <is>
          <t>Total items scored</t>
        </is>
      </c>
      <c r="B10" s="53">
        <f>SUM(B5:B8)</f>
        <v/>
      </c>
    </row>
    <row r="11" ht="21.75" customHeight="1" s="38">
      <c r="A11" s="51" t="inlineStr">
        <is>
          <t>They agreed on</t>
        </is>
      </c>
      <c r="B11" s="59">
        <f>IFERROR((B5+B8)/SUM(B5:B8),"")</f>
        <v/>
      </c>
    </row>
    <row r="12" ht="21.75" customHeight="1" s="38">
      <c r="A12" s="51" t="inlineStr">
        <is>
          <t>Agreement expected by luck alone</t>
        </is>
      </c>
      <c r="B12" s="59">
        <f>IFERROR(((B5+B6)/SUM(B5:B8))*((B5+B7)/SUM(B5:B8))+((B7+B8)/SUM(B5:B8))*((B6+B8)/SUM(B5:B8)),"")</f>
        <v/>
      </c>
    </row>
    <row r="13" ht="30" customHeight="1" s="38">
      <c r="A13" s="41" t="inlineStr">
        <is>
          <t>COHEN'S KAPPA</t>
        </is>
      </c>
      <c r="B13" s="60">
        <f>IFERROR((B11-B12)/(1-B12),"")</f>
        <v/>
      </c>
    </row>
    <row r="14" ht="25.5" customHeight="1" s="38">
      <c r="A14" s="47" t="inlineStr">
        <is>
          <t>Verdict</t>
        </is>
      </c>
      <c r="B14" s="61">
        <f>IF(B13="","",IF(B13&gt;0.9,"EXCELLENT — fit for purpose",IF(B13&gt;0.75,"GOOD — usable, fix the weakest rubric items",IF(B13&gt;0.4,"MARGINAL — do NOT use for individual performance management","UNACCEPTABLE — halt all use of this data until fixed"))))</f>
        <v/>
      </c>
      <c r="C14" s="62" t="n"/>
      <c r="D14" s="62" t="n"/>
    </row>
    <row r="15"/>
    <row r="16"/>
    <row r="17"/>
    <row r="18"/>
    <row r="19"/>
    <row r="20"/>
    <row r="21"/>
    <row r="22"/>
    <row r="23"/>
    <row r="24"/>
    <row r="25"/>
    <row r="26"/>
    <row r="27"/>
    <row r="28"/>
    <row r="29"/>
    <row r="30"/>
    <row r="31"/>
    <row r="32"/>
    <row r="33"/>
    <row r="34"/>
    <row r="35"/>
    <row r="36"/>
    <row r="37"/>
    <row r="38"/>
    <row r="39"/>
    <row r="40"/>
  </sheetData>
  <mergeCells count="4">
    <mergeCell ref="A1:D1"/>
    <mergeCell ref="A4:D4"/>
    <mergeCell ref="B14:D14"/>
    <mergeCell ref="A2:D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Are you actually capable of hitting your SLA?</t>
        </is>
      </c>
    </row>
    <row r="2" ht="27.75" customHeight="1" s="38">
      <c r="A2" s="45" t="inlineStr">
        <is>
          <t>Compares how your process behaves against what you promised the customer.</t>
        </is>
      </c>
    </row>
    <row r="3"/>
    <row r="4" ht="19.5" customHeight="1" s="38">
      <c r="A4" s="46" t="inlineStr">
        <is>
          <t>YOUR NUMBERS</t>
        </is>
      </c>
    </row>
    <row r="5" ht="46.5" customHeight="1" s="38">
      <c r="A5" s="47" t="inlineStr">
        <is>
          <t>SLA limit (hours)</t>
        </is>
      </c>
      <c r="B5" s="63" t="n">
        <v>4</v>
      </c>
      <c r="D5" s="49" t="inlineStr">
        <is>
          <t>Your committed response or resolution time. From your published SLA or contract. Check whether the clock can be paused — any clock that can be paused will be.</t>
        </is>
      </c>
    </row>
    <row r="6" ht="25.5" customHeight="1" s="38">
      <c r="A6" s="47" t="inlineStr">
        <is>
          <t>Average actual (hours)</t>
        </is>
      </c>
      <c r="B6" s="64" t="n">
        <v>2.6</v>
      </c>
      <c r="D6" s="49" t="inlineStr">
        <is>
          <t>Mean of your actual times over at least 13 weeks, from your ticketing system.</t>
        </is>
      </c>
    </row>
    <row r="7" ht="33.75" customHeight="1" s="38">
      <c r="A7" s="47" t="inlineStr">
        <is>
          <t>Standard deviation (hours)</t>
        </is>
      </c>
      <c r="B7" s="64" t="n">
        <v>1.1</v>
      </c>
      <c r="D7" s="49" t="inlineStr">
        <is>
          <t>How spread out your times are. In a spreadsheet: =STDEV(range) over the same extract. Use the overall standard deviation across all your data.</t>
        </is>
      </c>
    </row>
    <row r="8"/>
    <row r="9" ht="21.75" customHeight="1" s="38">
      <c r="A9" s="51" t="inlineStr">
        <is>
          <t>Headroom to the limit</t>
        </is>
      </c>
      <c r="B9" s="56">
        <f>B5-B6</f>
        <v/>
      </c>
    </row>
    <row r="10" ht="21.75" customHeight="1" s="38">
      <c r="A10" s="51" t="inlineStr">
        <is>
          <t>Three standard deviations</t>
        </is>
      </c>
      <c r="B10" s="56">
        <f>3*B7</f>
        <v/>
      </c>
    </row>
    <row r="11" ht="21.75" customHeight="1" s="38">
      <c r="A11" s="51" t="inlineStr">
        <is>
          <t>Z-score at the limit</t>
        </is>
      </c>
      <c r="B11" s="56">
        <f>IFERROR((B5-B6)/B7,"")</f>
        <v/>
      </c>
    </row>
    <row r="12" ht="21.75" customHeight="1" s="38">
      <c r="A12" s="51" t="inlineStr">
        <is>
          <t>Share of contacts that breach</t>
        </is>
      </c>
      <c r="B12" s="55">
        <f>IFERROR(1-NORMSDIST((B5-B6)/B7),"")</f>
        <v/>
      </c>
    </row>
    <row r="13" ht="30" customHeight="1" s="38">
      <c r="A13" s="41" t="inlineStr">
        <is>
          <t>CAPABILITY (Ppu)</t>
        </is>
      </c>
      <c r="B13" s="57">
        <f>IFERROR((B5-B6)/(3*B7),"")</f>
        <v/>
      </c>
    </row>
    <row r="14"/>
    <row r="15" ht="51.75" customHeight="1" s="38">
      <c r="A15" s="58" t="inlineStr">
        <is>
          <t>1.33 or above is the usual 'capable' bar. Below 1.0 you are breaching often enough for customers to notice. IMPORTANT: this assumes a normal bell curve. Real support duration data is right-skewed with a much heavier tail, so your true breach rate is usually HIGHER than this — often substantially. Transform your data or fit a lognormal before you quote a breach rate to anyone.</t>
        </is>
      </c>
    </row>
    <row r="16"/>
    <row r="17" ht="15" customHeight="1" s="38">
      <c r="A17" s="47" t="inlineStr">
        <is>
          <t>Verdict</t>
        </is>
      </c>
      <c r="B17" s="61">
        <f>IF(B13="","",IF(B13&gt;=1.33,"CAPABLE",IF(B13&gt;=1,"MARGINAL — customers notice","NOT CAPABLE — you are producing breaches")))</f>
        <v/>
      </c>
      <c r="C17" s="62" t="n"/>
      <c r="D17" s="62" t="n"/>
    </row>
    <row r="18"/>
    <row r="19"/>
    <row r="20"/>
    <row r="21"/>
    <row r="22"/>
    <row r="23"/>
    <row r="24"/>
    <row r="25"/>
    <row r="26"/>
    <row r="27"/>
    <row r="28"/>
    <row r="29"/>
    <row r="30"/>
    <row r="31"/>
    <row r="32"/>
    <row r="33"/>
    <row r="34"/>
    <row r="35"/>
    <row r="36"/>
    <row r="37"/>
    <row r="38"/>
    <row r="39"/>
    <row r="40"/>
  </sheetData>
  <mergeCells count="5">
    <mergeCell ref="A1:D1"/>
    <mergeCell ref="A4:D4"/>
    <mergeCell ref="B17:D17"/>
    <mergeCell ref="A15:D15"/>
    <mergeCell ref="A2:D2"/>
  </mergeCells>
  <dataValidations count="1">
    <dataValidation sqref="B7" showDropDown="0" showInputMessage="0" showErrorMessage="1" allowBlank="1" errorTitle="Check this number" error="Standard deviation must be greater than zero." type="decimal" operator="between">
      <formula1>0.0000001</formula1>
      <formula2>100000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Backlog, closing rate and how long customers wait</t>
        </is>
      </c>
    </row>
    <row r="2" ht="27.75" customHeight="1" s="38">
      <c r="A2" s="45" t="inlineStr">
        <is>
          <t>Little's Law. It is arithmetic, not a theory — it cannot be argued with.</t>
        </is>
      </c>
    </row>
    <row r="3"/>
    <row r="4" ht="19.5" customHeight="1" s="38">
      <c r="A4" s="46" t="inlineStr">
        <is>
          <t>YOUR NUMBERS</t>
        </is>
      </c>
    </row>
    <row r="5" ht="33.75" customHeight="1" s="38">
      <c r="A5" s="47" t="inlineStr">
        <is>
          <t>Open tickets right now</t>
        </is>
      </c>
      <c r="B5" s="48" t="n">
        <v>4200</v>
      </c>
      <c r="D5" s="49" t="inlineStr">
        <is>
          <t>Live count from your ticketing system. Take it at the same time of day each time — backlog has an intraday shape.</t>
        </is>
      </c>
    </row>
    <row r="6" ht="33.75" customHeight="1" s="38">
      <c r="A6" s="47" t="inlineStr">
        <is>
          <t>Tickets closed per day</t>
        </is>
      </c>
      <c r="B6" s="48" t="n">
        <v>1100</v>
      </c>
      <c r="D6" s="49" t="inlineStr">
        <is>
          <t>Average daily closing rate over a stable period — one where arrivals roughly matched departures.</t>
        </is>
      </c>
    </row>
    <row r="7" ht="25.5" customHeight="1" s="38">
      <c r="A7" s="47" t="inlineStr">
        <is>
          <t>Target lead time (days)</t>
        </is>
      </c>
      <c r="B7" s="63" t="n">
        <v>2</v>
      </c>
      <c r="D7" s="49" t="inlineStr">
        <is>
          <t>How long you want customers to wait.</t>
        </is>
      </c>
    </row>
    <row r="8"/>
    <row r="9" ht="21.75" customHeight="1" s="38">
      <c r="A9" s="51" t="inlineStr">
        <is>
          <t>Average lead time today (days)</t>
        </is>
      </c>
      <c r="B9" s="56">
        <f>IFERROR(B5/B6,"")</f>
        <v/>
      </c>
    </row>
    <row r="10" ht="21.75" customHeight="1" s="38">
      <c r="A10" s="51" t="inlineStr">
        <is>
          <t>In hours</t>
        </is>
      </c>
      <c r="B10" s="65">
        <f>IFERROR(B5/B6*24,"")</f>
        <v/>
      </c>
    </row>
    <row r="11" ht="21.75" customHeight="1" s="38">
      <c r="A11" s="51" t="inlineStr">
        <is>
          <t>Backlog cap needed to hit your target</t>
        </is>
      </c>
      <c r="B11" s="53">
        <f>B6*B7</f>
        <v/>
      </c>
    </row>
    <row r="12" ht="30" customHeight="1" s="38">
      <c r="A12" s="41" t="inlineStr">
        <is>
          <t>Backlog you must remove</t>
        </is>
      </c>
      <c r="B12" s="66">
        <f>MAX(0,B5-B6*B7)</f>
        <v/>
      </c>
    </row>
    <row r="13"/>
    <row r="14" ht="25.5" customHeight="1" s="38">
      <c r="A14" s="58" t="inlineStr">
        <is>
          <t>If your closing rate is fixed and you want shorter waits, you must cap the open work. There is no third option. Switch from pushing work to letting agents pull it, and enforce a limit on how many tickets one agent can hold at a time.</t>
        </is>
      </c>
    </row>
    <row r="15"/>
    <row r="16"/>
    <row r="17"/>
    <row r="18"/>
    <row r="19"/>
    <row r="20"/>
    <row r="21"/>
    <row r="22"/>
    <row r="23"/>
    <row r="24"/>
    <row r="25"/>
    <row r="26"/>
    <row r="27"/>
    <row r="28"/>
    <row r="29"/>
    <row r="30"/>
    <row r="31"/>
    <row r="32"/>
    <row r="33"/>
    <row r="34"/>
    <row r="35"/>
    <row r="36"/>
    <row r="37"/>
    <row r="38"/>
    <row r="39"/>
    <row r="40"/>
  </sheetData>
  <mergeCells count="4">
    <mergeCell ref="A1:D1"/>
    <mergeCell ref="A2:D2"/>
    <mergeCell ref="A4:D4"/>
    <mergeCell ref="A14:D14"/>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How much of the wait was actual work?</t>
        </is>
      </c>
    </row>
    <row r="2" ht="27.75" customHeight="1" s="38">
      <c r="A2" s="45" t="inlineStr">
        <is>
          <t>Process Cycle Efficiency. The number that reframes almost every support improvement conversation.</t>
        </is>
      </c>
    </row>
    <row r="3"/>
    <row r="4" ht="19.5" customHeight="1" s="38">
      <c r="A4" s="46" t="inlineStr">
        <is>
          <t>YOUR NUMBERS</t>
        </is>
      </c>
    </row>
    <row r="5" ht="33.75" customHeight="1" s="38">
      <c r="A5" s="47" t="inlineStr">
        <is>
          <t>Touch time (minutes)</t>
        </is>
      </c>
      <c r="B5" s="63" t="n">
        <v>43</v>
      </c>
      <c r="D5" s="49" t="inlineStr">
        <is>
          <t>Total minutes anyone actually spent working on this one issue, summed across every contact.</t>
        </is>
      </c>
    </row>
    <row r="6" ht="33.75" customHeight="1" s="38">
      <c r="A6" s="47" t="inlineStr">
        <is>
          <t>Elapsed time (hours)</t>
        </is>
      </c>
      <c r="B6" s="63" t="n">
        <v>38.5</v>
      </c>
      <c r="D6" s="49" t="inlineStr">
        <is>
          <t>Wall-clock hours from the customer first getting in touch to the issue being resolved.</t>
        </is>
      </c>
    </row>
    <row r="7"/>
    <row r="8" ht="21.75" customHeight="1" s="38">
      <c r="A8" s="51" t="inlineStr">
        <is>
          <t>Elapsed time in minutes</t>
        </is>
      </c>
      <c r="B8" s="53">
        <f>B6*60</f>
        <v/>
      </c>
    </row>
    <row r="9" ht="21.75" customHeight="1" s="38">
      <c r="A9" s="51" t="inlineStr">
        <is>
          <t>Time spent waiting (minutes)</t>
        </is>
      </c>
      <c r="B9" s="53">
        <f>IFERROR(B6*60-B5,"")</f>
        <v/>
      </c>
    </row>
    <row r="10" ht="30" customHeight="1" s="38">
      <c r="A10" s="41" t="inlineStr">
        <is>
          <t>PROCESS CYCLE EFFICIENCY</t>
        </is>
      </c>
      <c r="B10" s="67">
        <f>IFERROR(B5/(B6*60),"")</f>
        <v/>
      </c>
    </row>
    <row r="11"/>
    <row r="12" ht="25.5" customHeight="1" s="38">
      <c r="A12" s="58" t="inlineStr">
        <is>
          <t>In support this is typically 1% to 8%. The rest is queue time — waiting for a reply, waiting for a specialist, waiting for approval. Making agents faster barely moves it. Removing a waiting state moves it a lot.</t>
        </is>
      </c>
    </row>
    <row r="13"/>
    <row r="14"/>
    <row r="15"/>
    <row r="16"/>
    <row r="17"/>
    <row r="18"/>
    <row r="19"/>
    <row r="20"/>
    <row r="21"/>
    <row r="22"/>
    <row r="23"/>
    <row r="24"/>
    <row r="25"/>
    <row r="26"/>
    <row r="27"/>
    <row r="28"/>
    <row r="29"/>
    <row r="30"/>
    <row r="31"/>
    <row r="32"/>
    <row r="33"/>
    <row r="34"/>
    <row r="35"/>
    <row r="36"/>
    <row r="37"/>
    <row r="38"/>
    <row r="39"/>
    <row r="40"/>
  </sheetData>
  <mergeCells count="4">
    <mergeCell ref="A1:D1"/>
    <mergeCell ref="A12:D12"/>
    <mergeCell ref="A4:D4"/>
    <mergeCell ref="A2:D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How many people do I actually need?</t>
        </is>
      </c>
    </row>
    <row r="2" ht="27.75" customHeight="1" s="38">
      <c r="A2" s="45" t="inlineStr">
        <is>
          <t>Offered load, occupancy and shrinkage. Note this does not model queueing — for a service-level target you need Erlang C.</t>
        </is>
      </c>
    </row>
    <row r="3"/>
    <row r="4" ht="19.5" customHeight="1" s="38">
      <c r="A4" s="46" t="inlineStr">
        <is>
          <t>YOUR NUMBERS</t>
        </is>
      </c>
    </row>
    <row r="5" ht="33.75" customHeight="1" s="38">
      <c r="A5" s="47" t="inlineStr">
        <is>
          <t>Contacts per hour</t>
        </is>
      </c>
      <c r="B5" s="48" t="n">
        <v>360</v>
      </c>
      <c r="D5" s="49" t="inlineStr">
        <is>
          <t>Arrivals in the interval you are staffing. Use 15- or 30-minute granularity — a daily average hides the intraday peaks that actually break service level.</t>
        </is>
      </c>
    </row>
    <row r="6" ht="33.75" customHeight="1" s="38">
      <c r="A6" s="47" t="inlineStr">
        <is>
          <t>Handle time (seconds)</t>
        </is>
      </c>
      <c r="B6" s="48" t="n">
        <v>300</v>
      </c>
      <c r="D6" s="49" t="inlineStr">
        <is>
          <t>Talk plus hold plus after-call work. Confirm exactly what your report includes.</t>
        </is>
      </c>
    </row>
    <row r="7" ht="46.5" customHeight="1" s="38">
      <c r="A7" s="47" t="inlineStr">
        <is>
          <t>Target occupancy</t>
        </is>
      </c>
      <c r="B7" s="68" t="n">
        <v>0.82</v>
      </c>
      <c r="D7" s="49" t="inlineStr">
        <is>
          <t>Share of available time spent handling contacts. Sustained levels above the mid-80s are strongly associated with burnout and attrition — treat this as a ceiling.</t>
        </is>
      </c>
    </row>
    <row r="8" ht="33.75" customHeight="1" s="38">
      <c r="A8" s="47" t="inlineStr">
        <is>
          <t>Shrinkage</t>
        </is>
      </c>
      <c r="B8" s="68" t="n">
        <v>0.3</v>
      </c>
      <c r="D8" s="49" t="inlineStr">
        <is>
          <t>Share of paid time not available for contacts: breaks, meetings, training, absence, outages. Typically 25–35%.</t>
        </is>
      </c>
    </row>
    <row r="9"/>
    <row r="10" ht="21.75" customHeight="1" s="38">
      <c r="A10" s="51" t="inlineStr">
        <is>
          <t>Offered load (Erlangs)</t>
        </is>
      </c>
      <c r="B10" s="65">
        <f>B5*B6/3600</f>
        <v/>
      </c>
    </row>
    <row r="11" ht="21.75" customHeight="1" s="38">
      <c r="A11" s="51" t="inlineStr">
        <is>
          <t>Agents needed on the phone</t>
        </is>
      </c>
      <c r="B11" s="65">
        <f>IFERROR(B5*B6/3600/B7,"")</f>
        <v/>
      </c>
    </row>
    <row r="12" ht="21.75" customHeight="1" s="38">
      <c r="A12" s="51" t="inlineStr">
        <is>
          <t>Extra people shrinkage costs you</t>
        </is>
      </c>
      <c r="B12" s="65">
        <f>IFERROR(B5*B6/3600/B7/(1-B8)-B5*B6/3600/B7,"")</f>
        <v/>
      </c>
    </row>
    <row r="13" ht="30" customHeight="1" s="38">
      <c r="A13" s="41" t="inlineStr">
        <is>
          <t>PAID FTE REQUIRED</t>
        </is>
      </c>
      <c r="B13" s="69">
        <f>IFERROR(B5*B6/3600/B7/(1-B8),"")</f>
        <v/>
      </c>
    </row>
    <row r="14"/>
    <row r="15"/>
    <row r="16"/>
    <row r="17"/>
    <row r="18"/>
    <row r="19"/>
    <row r="20"/>
    <row r="21"/>
    <row r="22"/>
    <row r="23"/>
    <row r="24"/>
    <row r="25"/>
    <row r="26"/>
    <row r="27"/>
    <row r="28"/>
    <row r="29"/>
    <row r="30"/>
    <row r="31"/>
    <row r="32"/>
    <row r="33"/>
    <row r="34"/>
    <row r="35"/>
    <row r="36"/>
    <row r="37"/>
    <row r="38"/>
    <row r="39"/>
    <row r="40"/>
  </sheetData>
  <mergeCells count="3">
    <mergeCell ref="A1:D1"/>
    <mergeCell ref="A4:D4"/>
    <mergeCell ref="A2:D2"/>
  </mergeCells>
  <dataValidations count="2">
    <dataValidation sqref="B7" showDropDown="0" showInputMessage="0" showErrorMessage="1" allowBlank="1" errorTitle="Check this number" error="Target occupancy is a share between 0.05 and 1." type="decimal" operator="between">
      <formula1>0.05</formula1>
      <formula2>1</formula2>
    </dataValidation>
    <dataValidation sqref="B8" showDropDown="0" showInputMessage="0" showErrorMessage="1" allowBlank="1" errorTitle="Check this number" error="Shrinkage is a share below 0.95." type="decimal" operator="between">
      <formula1>0</formula1>
      <formula2>0.95</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What is a handle-time saving actually worth?</t>
        </is>
      </c>
    </row>
    <row r="2" ht="27.75" customHeight="1" s="38">
      <c r="A2" s="45" t="inlineStr">
        <is>
          <t>And the trap that makes most of these numbers wrong.</t>
        </is>
      </c>
    </row>
    <row r="3"/>
    <row r="4" ht="19.5" customHeight="1" s="38">
      <c r="A4" s="46" t="inlineStr">
        <is>
          <t>YOUR NUMBERS</t>
        </is>
      </c>
    </row>
    <row r="5" ht="33.75" customHeight="1" s="38">
      <c r="A5" s="47" t="inlineStr">
        <is>
          <t>Contacts per year in scope</t>
        </is>
      </c>
      <c r="B5" s="48" t="n">
        <v>3200000</v>
      </c>
      <c r="D5" s="49" t="inlineStr">
        <is>
          <t>Annual volume for the queue your project covers. Not the whole contact centre — overstating scope is the fastest way to lose Finance's trust.</t>
        </is>
      </c>
    </row>
    <row r="6" ht="33.75" customHeight="1" s="38">
      <c r="A6" s="47" t="inlineStr">
        <is>
          <t>Seconds saved per contact</t>
        </is>
      </c>
      <c r="B6" s="63" t="n">
        <v>14</v>
      </c>
      <c r="D6" s="49" t="inlineStr">
        <is>
          <t>From your pilot: treatment minus concurrent control. NOT before minus after, which is contaminated by seasonality and contact-mix shift.</t>
        </is>
      </c>
    </row>
    <row r="7" ht="33.75" customHeight="1" s="38">
      <c r="A7" s="47" t="inlineStr">
        <is>
          <t>Loaded cost per agent-hour</t>
        </is>
      </c>
      <c r="B7" s="70" t="n">
        <v>38</v>
      </c>
      <c r="D7" s="49" t="inlineStr">
        <is>
          <t>Ask Finance. Agree what is in it — salary only, or plus benefits, supervision, tooling, facilities, QA and training?</t>
        </is>
      </c>
    </row>
    <row r="8" ht="33.75" customHeight="1" s="38">
      <c r="A8" s="47" t="inlineStr">
        <is>
          <t>Occupancy</t>
        </is>
      </c>
      <c r="B8" s="68" t="n">
        <v>0.82</v>
      </c>
      <c r="D8" s="49" t="inlineStr">
        <is>
          <t>You divide by this because saving an hour of handle time frees more than an hour of payroll.</t>
        </is>
      </c>
    </row>
    <row r="9" ht="33.75" customHeight="1" s="38">
      <c r="A9" s="47" t="inlineStr">
        <is>
          <t>Realisation factor</t>
        </is>
      </c>
      <c r="B9" s="68" t="n">
        <v>0.7</v>
      </c>
      <c r="D9" s="49" t="inlineStr">
        <is>
          <t>What share survives full rollout. Typically 60–80%. Pilot groups know they are watched and outperform.</t>
        </is>
      </c>
    </row>
    <row r="10"/>
    <row r="11" ht="21.75" customHeight="1" s="38">
      <c r="A11" s="51" t="inlineStr">
        <is>
          <t>Handle-hours saved</t>
        </is>
      </c>
      <c r="B11" s="53">
        <f>B5*B6/3600</f>
        <v/>
      </c>
    </row>
    <row r="12" ht="21.75" customHeight="1" s="38">
      <c r="A12" s="51" t="inlineStr">
        <is>
          <t>Paid hours freed</t>
        </is>
      </c>
      <c r="B12" s="53">
        <f>IFERROR(B5*B6/3600/B8,"")</f>
        <v/>
      </c>
    </row>
    <row r="13" ht="21.75" customHeight="1" s="38">
      <c r="A13" s="51" t="inlineStr">
        <is>
          <t>People-equivalent (FTE)</t>
        </is>
      </c>
      <c r="B13" s="65">
        <f>IFERROR(B5*B6/3600/B8/1760,"")</f>
        <v/>
      </c>
    </row>
    <row r="14" ht="21.75" customHeight="1" s="38">
      <c r="A14" s="51" t="inlineStr">
        <is>
          <t>Gross annual value</t>
        </is>
      </c>
      <c r="B14" s="71">
        <f>IFERROR(B5*B6/3600/B8*B7,"")</f>
        <v/>
      </c>
    </row>
    <row r="15" ht="30" customHeight="1" s="38">
      <c r="A15" s="41" t="inlineStr">
        <is>
          <t>REALISED ANNUAL BENEFIT</t>
        </is>
      </c>
      <c r="B15" s="72">
        <f>IFERROR(B5*B6/3600/B8*B7*B9,"")</f>
        <v/>
      </c>
    </row>
    <row r="16"/>
    <row r="17" ht="51.75" customHeight="1" s="38">
      <c r="A17" s="58" t="inlineStr">
        <is>
          <t>THE TRAP: none of this is real money unless the capacity is actually harvested. If schedules do not change, the saving becomes lower occupancy — good for agents, invisible to the P&amp;L. Before you claim this number, name the harvest mechanism: removing headcount, avoiding hires in the approved plan, renegotiating outsourcer volume, or absorbing growth. Get WFM and Finance to sign it.</t>
        </is>
      </c>
    </row>
    <row r="18"/>
    <row r="19"/>
    <row r="20"/>
    <row r="21"/>
    <row r="22"/>
    <row r="23"/>
    <row r="24"/>
    <row r="25"/>
    <row r="26"/>
    <row r="27"/>
    <row r="28"/>
    <row r="29"/>
    <row r="30"/>
    <row r="31"/>
    <row r="32"/>
    <row r="33"/>
    <row r="34"/>
    <row r="35"/>
    <row r="36"/>
    <row r="37"/>
    <row r="38"/>
    <row r="39"/>
    <row r="40"/>
  </sheetData>
  <mergeCells count="4">
    <mergeCell ref="A1:D1"/>
    <mergeCell ref="A17:D17"/>
    <mergeCell ref="A4:D4"/>
    <mergeCell ref="A2:D2"/>
  </mergeCells>
  <dataValidations count="1">
    <dataValidation sqref="B8" showDropDown="0" showInputMessage="0" showErrorMessage="1" allowBlank="1" errorTitle="Check this number" error="Occupancy is a share between 0.05 and 1." type="decimal" operator="between">
      <formula1>0.05</formula1>
      <formula2>1</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What are avoided contacts worth?</t>
        </is>
      </c>
    </row>
    <row r="2" ht="27.75" customHeight="1" s="38">
      <c r="A2" s="45" t="inlineStr">
        <is>
          <t>Usually the highest-value kind of support improvement, and the easiest to defend.</t>
        </is>
      </c>
    </row>
    <row r="3"/>
    <row r="4" ht="19.5" customHeight="1" s="38">
      <c r="A4" s="46" t="inlineStr">
        <is>
          <t>YOUR NUMBERS</t>
        </is>
      </c>
    </row>
    <row r="5" ht="25.5" customHeight="1" s="38">
      <c r="A5" s="47" t="inlineStr">
        <is>
          <t>Annual volume in scope</t>
        </is>
      </c>
      <c r="B5" s="48" t="n">
        <v>480000</v>
      </c>
      <c r="D5" s="49" t="inlineStr">
        <is>
          <t>Contacts per year in the queue you are working on.</t>
        </is>
      </c>
    </row>
    <row r="6" ht="33.75" customHeight="1" s="38">
      <c r="A6" s="47" t="inlineStr">
        <is>
          <t>Current defect rate</t>
        </is>
      </c>
      <c r="B6" s="73" t="n">
        <v>0.142</v>
      </c>
      <c r="D6" s="49" t="inlineStr">
        <is>
          <t>Reopen rate, escalation rate, repeat-contact rate — whatever you are reducing. Over at least 13 weeks, with a written operational definition.</t>
        </is>
      </c>
    </row>
    <row r="7" ht="33.75" customHeight="1" s="38">
      <c r="A7" s="47" t="inlineStr">
        <is>
          <t>Target rate</t>
        </is>
      </c>
      <c r="B7" s="73" t="n">
        <v>0.08</v>
      </c>
      <c r="D7" s="49" t="inlineStr">
        <is>
          <t>From what your verified root causes can actually explain — not from an aspiration. If your causes explain 70% of the gap, your target closes 70% of it.</t>
        </is>
      </c>
    </row>
    <row r="8" ht="33.75" customHeight="1" s="38">
      <c r="A8" s="47" t="inlineStr">
        <is>
          <t>Fully-loaded cost per contact</t>
        </is>
      </c>
      <c r="B8" s="74" t="n">
        <v>6.8</v>
      </c>
      <c r="D8" s="49" t="inlineStr">
        <is>
          <t>From Finance: total support cost divided by total contacts, with an agreed definition of 'total support cost'.</t>
        </is>
      </c>
    </row>
    <row r="9" ht="33.75" customHeight="1" s="38">
      <c r="A9" s="47" t="inlineStr">
        <is>
          <t>Realisation factor</t>
        </is>
      </c>
      <c r="B9" s="68" t="n">
        <v>0.85</v>
      </c>
      <c r="D9" s="49" t="inlineStr">
        <is>
          <t>Higher than for handle-time projects, because an avoided contact is unambiguously avoided.</t>
        </is>
      </c>
    </row>
    <row r="10"/>
    <row r="11" ht="21.75" customHeight="1" s="38">
      <c r="A11" s="51" t="inlineStr">
        <is>
          <t>Improvement (percentage points)</t>
        </is>
      </c>
      <c r="B11" s="59">
        <f>B6-B7</f>
        <v/>
      </c>
    </row>
    <row r="12" ht="21.75" customHeight="1" s="38">
      <c r="A12" s="51" t="inlineStr">
        <is>
          <t>Contacts avoided per year</t>
        </is>
      </c>
      <c r="B12" s="53">
        <f>B5*(B6-B7)</f>
        <v/>
      </c>
    </row>
    <row r="13" ht="21.75" customHeight="1" s="38">
      <c r="A13" s="51" t="inlineStr">
        <is>
          <t>Gross annual value</t>
        </is>
      </c>
      <c r="B13" s="71">
        <f>B5*(B6-B7)*B8</f>
        <v/>
      </c>
    </row>
    <row r="14" ht="30" customHeight="1" s="38">
      <c r="A14" s="41" t="inlineStr">
        <is>
          <t>REALISED ANNUAL BENEFIT</t>
        </is>
      </c>
      <c r="B14" s="72">
        <f>B5*(B6-B7)*B8*B9</f>
        <v/>
      </c>
    </row>
    <row r="15"/>
    <row r="16"/>
    <row r="17"/>
    <row r="18"/>
    <row r="19"/>
    <row r="20"/>
    <row r="21"/>
    <row r="22"/>
    <row r="23"/>
    <row r="24"/>
    <row r="25"/>
    <row r="26"/>
    <row r="27"/>
    <row r="28"/>
    <row r="29"/>
    <row r="30"/>
    <row r="31"/>
    <row r="32"/>
    <row r="33"/>
    <row r="34"/>
    <row r="35"/>
    <row r="36"/>
    <row r="37"/>
    <row r="38"/>
    <row r="39"/>
    <row r="40"/>
  </sheetData>
  <mergeCells count="3">
    <mergeCell ref="A1:D1"/>
    <mergeCell ref="A4:D4"/>
    <mergeCell ref="A2:D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Was it worth doing?</t>
        </is>
      </c>
    </row>
    <row r="2" ht="27.75" customHeight="1" s="38">
      <c r="A2" s="45" t="inlineStr">
        <is>
          <t>The three numbers Finance will ask for, in the order they will ask for them.</t>
        </is>
      </c>
    </row>
    <row r="3"/>
    <row r="4" ht="19.5" customHeight="1" s="38">
      <c r="A4" s="46" t="inlineStr">
        <is>
          <t>YOUR NUMBERS</t>
        </is>
      </c>
    </row>
    <row r="5" ht="33.75" customHeight="1" s="38">
      <c r="A5" s="47" t="inlineStr">
        <is>
          <t>Total investment</t>
        </is>
      </c>
      <c r="B5" s="70" t="n">
        <v>193000</v>
      </c>
      <c r="D5" s="49" t="inlineStr">
        <is>
          <t>Everything you spend: belt time for the months they are dedicated, training, software, and engineering time to build the system-enforced controls.</t>
        </is>
      </c>
    </row>
    <row r="6" ht="33.75" customHeight="1" s="38">
      <c r="A6" s="47" t="inlineStr">
        <is>
          <t>Realised annual benefit</t>
        </is>
      </c>
      <c r="B6" s="70" t="n">
        <v>156672</v>
      </c>
      <c r="D6" s="49" t="inlineStr">
        <is>
          <t>Validated and realised — not gross, not the pilot rate. Signed by Finance after 90 days of control data.</t>
        </is>
      </c>
    </row>
    <row r="7" ht="33.75" customHeight="1" s="38">
      <c r="A7" s="47" t="inlineStr">
        <is>
          <t>Years to model</t>
        </is>
      </c>
      <c r="B7" s="50" t="n">
        <v>3</v>
      </c>
      <c r="D7" s="49" t="inlineStr">
        <is>
          <t>Three years for a programme, twelve months of claimed benefit per project. Do not claim benefit in perpetuity.</t>
        </is>
      </c>
    </row>
    <row r="8" ht="33.75" customHeight="1" s="38">
      <c r="A8" s="47" t="inlineStr">
        <is>
          <t>Discount rate</t>
        </is>
      </c>
      <c r="B8" s="68" t="n">
        <v>0.1</v>
      </c>
      <c r="D8" s="49" t="inlineStr">
        <is>
          <t>Ask Finance for the rate they use — usually the weighted average cost of capital, commonly 8–12%.</t>
        </is>
      </c>
    </row>
    <row r="9"/>
    <row r="10" ht="21.75" customHeight="1" s="38">
      <c r="A10" s="51" t="inlineStr">
        <is>
          <t>Year 1 in today's money</t>
        </is>
      </c>
      <c r="B10" s="71">
        <f>IF($B$7&gt;=1,B6/(1+B8)^1,0)</f>
        <v/>
      </c>
    </row>
    <row r="11" ht="21.75" customHeight="1" s="38">
      <c r="A11" s="51" t="inlineStr">
        <is>
          <t>Year 2 in today's money</t>
        </is>
      </c>
      <c r="B11" s="71">
        <f>IF($B$7&gt;=2,B6/(1+B8)^2,0)</f>
        <v/>
      </c>
    </row>
    <row r="12" ht="21.75" customHeight="1" s="38">
      <c r="A12" s="51" t="inlineStr">
        <is>
          <t>Year 3 in today's money</t>
        </is>
      </c>
      <c r="B12" s="71">
        <f>IF($B$7&gt;=3,B6/(1+B8)^3,0)</f>
        <v/>
      </c>
    </row>
    <row r="13" ht="21.75" customHeight="1" s="38">
      <c r="A13" s="51" t="inlineStr">
        <is>
          <t>Payback period (months)</t>
        </is>
      </c>
      <c r="B13" s="65">
        <f>IFERROR(B5/B6*12,"")</f>
        <v/>
      </c>
    </row>
    <row r="14" ht="21.75" customHeight="1" s="38">
      <c r="A14" s="51" t="inlineStr">
        <is>
          <t>Simple ROI over the period</t>
        </is>
      </c>
      <c r="B14" s="75">
        <f>IFERROR((B6*B7-B5)/B5,"")</f>
        <v/>
      </c>
    </row>
    <row r="15" ht="30" customHeight="1" s="38">
      <c r="A15" s="41" t="inlineStr">
        <is>
          <t>NET PRESENT VALUE</t>
        </is>
      </c>
      <c r="B15" s="72">
        <f>IFERROR(-B5+IF(B8=0,B6*B7,B6*(1-(1+B8)^-B7)/B8),"")</f>
        <v/>
      </c>
    </row>
    <row r="16"/>
    <row r="17" ht="39" customHeight="1" s="38">
      <c r="A17" s="58" t="inlineStr">
        <is>
          <t>Under 18 months payback is generally an easy sell. Net present value is calculated across all the years you model; the three rows above show the first three. And set year-one expectations honestly: a Black Belt completes only one project while learning, and a first cohort picks the least well-selected projects.</t>
        </is>
      </c>
    </row>
    <row r="18"/>
    <row r="19"/>
    <row r="20"/>
    <row r="21"/>
    <row r="22"/>
    <row r="23"/>
    <row r="24"/>
    <row r="25"/>
    <row r="26"/>
    <row r="27"/>
    <row r="28"/>
    <row r="29"/>
    <row r="30"/>
    <row r="31"/>
    <row r="32"/>
    <row r="33"/>
    <row r="34"/>
    <row r="35"/>
    <row r="36"/>
    <row r="37"/>
    <row r="38"/>
    <row r="39"/>
    <row r="40"/>
  </sheetData>
  <mergeCells count="4">
    <mergeCell ref="A1:D1"/>
    <mergeCell ref="A17:D17"/>
    <mergeCell ref="A4:D4"/>
    <mergeCell ref="A2:D2"/>
  </mergeCells>
  <dataValidations count="2">
    <dataValidation sqref="B7" showDropDown="0" showInputMessage="0" showErrorMessage="1" allowBlank="1" errorTitle="Check this number" error="Years to model must be a whole number from 1 to 10." type="whole" operator="between">
      <formula1>1</formula1>
      <formula2>10</formula2>
    </dataValidation>
    <dataValidation sqref="B8" showDropDown="0" showInputMessage="0" showErrorMessage="1" allowBlank="1" errorTitle="Check this number" error="Discount rate is a share, for example 0.10 for 10%." type="decimal" operator="between">
      <formula1>0</formula1>
      <formula2>1</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2026-07-31T15:37:50Z</dcterms:created>
  <dcterms:modified xsi:type="dcterms:W3CDTF">2026-07-31T22:02:20Z</dcterms:modified>
  <cp:revision>0</cp:revision>
</cp:coreProperties>
</file>