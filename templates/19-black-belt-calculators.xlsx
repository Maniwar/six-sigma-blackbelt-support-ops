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tart here" sheetId="1" state="visible" r:id="rId1"/>
    <sheet name="1 Sigma level" sheetId="2" state="visible" r:id="rId2"/>
    <sheet name="2 QA agreement (kappa)" sheetId="3" state="visible" r:id="rId3"/>
    <sheet name="3 SLA capability" sheetId="4" state="visible" r:id="rId4"/>
    <sheet name="4 Backlog and lead time" sheetId="5" state="visible" r:id="rId5"/>
    <sheet name="5 Process efficiency" sheetId="6" state="visible" r:id="rId6"/>
    <sheet name="6 Staffing" sheetId="7" state="visible" r:id="rId7"/>
    <sheet name="7 Benefit — AHT" sheetId="8" state="visible" r:id="rId8"/>
    <sheet name="8 Benefit — avoided contacts" sheetId="9" state="visible" r:id="rId9"/>
    <sheet name="9 ROI and payback"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9">
    <numFmt numFmtId="164" formatCode="0.0000"/>
    <numFmt numFmtId="165" formatCode="0.00000"/>
    <numFmt numFmtId="166" formatCode="0.0%"/>
    <numFmt numFmtId="167" formatCode="0.000"/>
    <numFmt numFmtId="168" formatCode="0.0"/>
    <numFmt numFmtId="169" formatCode="\$#,##0"/>
    <numFmt numFmtId="170" formatCode="\$#,##0.00"/>
    <numFmt numFmtId="171" formatCode="#,##0.0"/>
    <numFmt numFmtId="172" formatCode="&quot;$&quot;#,##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1F2937"/>
      <sz val="18"/>
    </font>
    <font>
      <name val="Arial"/>
      <charset val="1"/>
      <family val="0"/>
      <color rgb="FF1F2937"/>
      <sz val="10"/>
    </font>
    <font>
      <name val="Arial"/>
      <charset val="1"/>
      <family val="0"/>
      <b val="1"/>
      <color rgb="FFB45309"/>
      <sz val="12"/>
    </font>
    <font>
      <name val="Arial"/>
      <charset val="1"/>
      <family val="0"/>
      <b val="1"/>
      <color rgb="FFB91C1C"/>
      <sz val="10"/>
    </font>
    <font>
      <name val="Arial"/>
      <charset val="1"/>
      <family val="0"/>
      <b val="1"/>
      <color rgb="FFFFFFFF"/>
      <sz val="14"/>
    </font>
    <font>
      <name val="Arial"/>
      <charset val="1"/>
      <family val="0"/>
      <i val="1"/>
      <color rgb="FF657085"/>
      <sz val="9"/>
    </font>
    <font>
      <name val="Arial"/>
      <charset val="1"/>
      <family val="0"/>
      <b val="1"/>
      <color rgb="FFB45309"/>
      <sz val="9"/>
    </font>
    <font>
      <name val="Arial"/>
      <charset val="1"/>
      <family val="0"/>
      <b val="1"/>
      <color rgb="FF1F2937"/>
      <sz val="10"/>
    </font>
    <font>
      <name val="Arial"/>
      <charset val="1"/>
      <family val="0"/>
      <b val="1"/>
      <color rgb="FF0000FF"/>
      <sz val="11"/>
    </font>
    <font>
      <name val="Arial"/>
      <charset val="1"/>
      <family val="0"/>
      <b val="1"/>
      <color rgb="FF1F2937"/>
      <sz val="11"/>
    </font>
    <font>
      <name val="Arial"/>
      <charset val="1"/>
      <family val="0"/>
      <b val="1"/>
      <color rgb="FFB45309"/>
      <sz val="15"/>
    </font>
    <font>
      <b val="1"/>
      <sz val="10"/>
    </font>
    <font>
      <i val="1"/>
      <color rgb="FF6B7280"/>
      <sz val="9"/>
    </font>
    <font>
      <i val="1"/>
      <color rgb="FF4B5563"/>
      <sz val="9"/>
    </font>
  </fonts>
  <fills count="8">
    <fill>
      <patternFill/>
    </fill>
    <fill>
      <patternFill patternType="gray125"/>
    </fill>
    <fill>
      <patternFill patternType="solid">
        <fgColor rgb="FFFDEEEE"/>
        <bgColor rgb="FFEEF1F6"/>
      </patternFill>
    </fill>
    <fill>
      <patternFill patternType="solid">
        <fgColor rgb="FF151B24"/>
        <bgColor rgb="FF1F2937"/>
      </patternFill>
    </fill>
    <fill>
      <patternFill patternType="solid">
        <fgColor rgb="FFEEF1F6"/>
        <bgColor rgb="FFF2F7FF"/>
      </patternFill>
    </fill>
    <fill>
      <patternFill patternType="solid">
        <fgColor rgb="FFFFF9E3"/>
        <bgColor rgb="FFFDEEEE"/>
      </patternFill>
    </fill>
    <fill>
      <patternFill patternType="solid">
        <fgColor rgb="FFF2F7FF"/>
        <bgColor rgb="FFEEF1F6"/>
      </patternFill>
    </fill>
    <fill>
      <patternFill patternType="solid">
        <fgColor rgb="FFF2F7FF"/>
      </patternFill>
    </fill>
  </fills>
  <borders count="5">
    <border>
      <left/>
      <right/>
      <top/>
      <bottom/>
      <diagonal/>
    </border>
    <border>
      <left style="thin">
        <color rgb="FFD8DEE8"/>
      </left>
      <right style="thin">
        <color rgb="FFD8DEE8"/>
      </right>
      <top style="thin">
        <color rgb="FFD8DEE8"/>
      </top>
      <bottom style="thin">
        <color rgb="FFD8DEE8"/>
      </bottom>
      <diagonal/>
    </border>
    <border>
      <left style="thin">
        <color rgb="FFD8DEE8"/>
      </left>
      <right/>
      <top style="thin">
        <color rgb="FFD8DEE8"/>
      </top>
      <bottom style="thin">
        <color rgb="FFD8DEE8"/>
      </bottom>
      <diagonal/>
    </border>
    <border>
      <left/>
      <right/>
      <top style="thin">
        <color rgb="FFD8DEE8"/>
      </top>
      <bottom/>
      <diagonal/>
    </border>
    <border>
      <left/>
      <right/>
      <top style="thin">
        <color rgb="FFD8DEE8"/>
      </top>
      <bottom style="thin">
        <color rgb="FFD8DE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indent="1"/>
    </xf>
    <xf numFmtId="0" fontId="7" fillId="2" borderId="1" applyAlignment="1" pivotButton="0" quotePrefix="0" xfId="0">
      <alignment horizontal="general" vertical="top" wrapText="1" indent="1"/>
    </xf>
    <xf numFmtId="0" fontId="8" fillId="3" borderId="0" applyAlignment="1" pivotButton="0" quotePrefix="0" xfId="0">
      <alignment horizontal="general" vertical="center" indent="1"/>
    </xf>
    <xf numFmtId="0" fontId="9" fillId="0" borderId="0" applyAlignment="1" pivotButton="0" quotePrefix="0" xfId="0">
      <alignment horizontal="general" vertical="center" wrapText="1" indent="1"/>
    </xf>
    <xf numFmtId="0" fontId="10" fillId="4" borderId="0" applyAlignment="1" pivotButton="0" quotePrefix="0" xfId="0">
      <alignment horizontal="general" vertical="center" indent="1"/>
    </xf>
    <xf numFmtId="0" fontId="11" fillId="0" borderId="0" applyAlignment="1" pivotButton="0" quotePrefix="0" xfId="0">
      <alignment horizontal="general" vertical="bottom"/>
    </xf>
    <xf numFmtId="3" fontId="12" fillId="5" borderId="1" applyAlignment="1" pivotButton="0" quotePrefix="0" xfId="0">
      <alignment horizontal="general" vertical="bottom"/>
    </xf>
    <xf numFmtId="0" fontId="9" fillId="0" borderId="0" applyAlignment="1" pivotButton="0" quotePrefix="0" xfId="0">
      <alignment horizontal="general" vertical="center" wrapText="1"/>
    </xf>
    <xf numFmtId="1" fontId="12" fillId="5" borderId="1" applyAlignment="1" pivotButton="0" quotePrefix="0" xfId="0">
      <alignment horizontal="general" vertical="bottom"/>
    </xf>
    <xf numFmtId="0" fontId="5" fillId="0" borderId="0" applyAlignment="1" pivotButton="0" quotePrefix="0" xfId="0">
      <alignment horizontal="general" vertical="bottom"/>
    </xf>
    <xf numFmtId="164" fontId="13" fillId="6" borderId="1" applyAlignment="1" pivotButton="0" quotePrefix="0" xfId="0">
      <alignment horizontal="general" vertical="bottom"/>
    </xf>
    <xf numFmtId="3" fontId="13" fillId="6" borderId="1" applyAlignment="1" pivotButton="0" quotePrefix="0" xfId="0">
      <alignment horizontal="general" vertical="bottom"/>
    </xf>
    <xf numFmtId="165" fontId="13" fillId="6" borderId="1" applyAlignment="1" pivotButton="0" quotePrefix="0" xfId="0">
      <alignment horizontal="general" vertical="bottom"/>
    </xf>
    <xf numFmtId="10" fontId="13" fillId="6" borderId="1" applyAlignment="1" pivotButton="0" quotePrefix="0" xfId="0">
      <alignment horizontal="general" vertical="bottom"/>
    </xf>
    <xf numFmtId="2" fontId="13" fillId="6" borderId="1" applyAlignment="1" pivotButton="0" quotePrefix="0" xfId="0">
      <alignment horizontal="general" vertical="bottom"/>
    </xf>
    <xf numFmtId="2" fontId="14" fillId="6" borderId="1" applyAlignment="1" pivotButton="0" quotePrefix="0" xfId="0">
      <alignment horizontal="general" vertical="bottom"/>
    </xf>
    <xf numFmtId="0" fontId="9" fillId="0" borderId="0" applyAlignment="1" pivotButton="0" quotePrefix="0" xfId="0">
      <alignment horizontal="general" vertical="top" wrapText="1"/>
    </xf>
    <xf numFmtId="166" fontId="13" fillId="6" borderId="1" applyAlignment="1" pivotButton="0" quotePrefix="0" xfId="0">
      <alignment horizontal="general" vertical="bottom"/>
    </xf>
    <xf numFmtId="167" fontId="14" fillId="6" borderId="1" applyAlignment="1" pivotButton="0" quotePrefix="0" xfId="0">
      <alignment horizontal="general" vertical="bottom"/>
    </xf>
    <xf numFmtId="0" fontId="13" fillId="6" borderId="2" applyAlignment="1" pivotButton="0" quotePrefix="0" xfId="0">
      <alignment horizontal="general" vertical="bottom"/>
    </xf>
    <xf numFmtId="168" fontId="12" fillId="5" borderId="1" applyAlignment="1" pivotButton="0" quotePrefix="0" xfId="0">
      <alignment horizontal="general" vertical="bottom"/>
    </xf>
    <xf numFmtId="2" fontId="12" fillId="5" borderId="1" applyAlignment="1" pivotButton="0" quotePrefix="0" xfId="0">
      <alignment horizontal="general" vertical="bottom"/>
    </xf>
    <xf numFmtId="168" fontId="13" fillId="6" borderId="1" applyAlignment="1" pivotButton="0" quotePrefix="0" xfId="0">
      <alignment horizontal="general" vertical="bottom"/>
    </xf>
    <xf numFmtId="3" fontId="14" fillId="6" borderId="1" applyAlignment="1" pivotButton="0" quotePrefix="0" xfId="0">
      <alignment horizontal="general" vertical="bottom"/>
    </xf>
    <xf numFmtId="10" fontId="14" fillId="6" borderId="1" applyAlignment="1" pivotButton="0" quotePrefix="0" xfId="0">
      <alignment horizontal="general" vertical="bottom"/>
    </xf>
    <xf numFmtId="9" fontId="12" fillId="5" borderId="1" applyAlignment="1" pivotButton="0" quotePrefix="0" xfId="0">
      <alignment horizontal="general" vertical="bottom"/>
    </xf>
    <xf numFmtId="168" fontId="14" fillId="6" borderId="1" applyAlignment="1" pivotButton="0" quotePrefix="0" xfId="0">
      <alignment horizontal="general" vertical="bottom"/>
    </xf>
    <xf numFmtId="169" fontId="12" fillId="5" borderId="1" applyAlignment="1" pivotButton="0" quotePrefix="0" xfId="0">
      <alignment horizontal="general" vertical="bottom"/>
    </xf>
    <xf numFmtId="169" fontId="13" fillId="6" borderId="1" applyAlignment="1" pivotButton="0" quotePrefix="0" xfId="0">
      <alignment horizontal="general" vertical="bottom"/>
    </xf>
    <xf numFmtId="169" fontId="14" fillId="6" borderId="1" applyAlignment="1" pivotButton="0" quotePrefix="0" xfId="0">
      <alignment horizontal="general" vertical="bottom"/>
    </xf>
    <xf numFmtId="166" fontId="12" fillId="5" borderId="1" applyAlignment="1" pivotButton="0" quotePrefix="0" xfId="0">
      <alignment horizontal="general" vertical="bottom"/>
    </xf>
    <xf numFmtId="170" fontId="12" fillId="5" borderId="1" applyAlignment="1" pivotButton="0" quotePrefix="0" xfId="0">
      <alignment horizontal="general" vertical="bottom"/>
    </xf>
    <xf numFmtId="9" fontId="13" fillId="6"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indent="1"/>
    </xf>
    <xf numFmtId="0" fontId="7" fillId="2" borderId="1" applyAlignment="1" pivotButton="0" quotePrefix="0" xfId="0">
      <alignment horizontal="general" vertical="top" wrapText="1" indent="1"/>
    </xf>
    <xf numFmtId="0" fontId="8" fillId="3" borderId="0" applyAlignment="1" pivotButton="0" quotePrefix="0" xfId="0">
      <alignment horizontal="general" vertical="center" indent="1"/>
    </xf>
    <xf numFmtId="0" fontId="9" fillId="0" borderId="0" applyAlignment="1" pivotButton="0" quotePrefix="0" xfId="0">
      <alignment horizontal="general" vertical="center" wrapText="1" indent="1"/>
    </xf>
    <xf numFmtId="0" fontId="10" fillId="4" borderId="0" applyAlignment="1" pivotButton="0" quotePrefix="0" xfId="0">
      <alignment horizontal="general" vertical="center" indent="1"/>
    </xf>
    <xf numFmtId="0" fontId="11" fillId="0" borderId="0" applyAlignment="1" pivotButton="0" quotePrefix="0" xfId="0">
      <alignment horizontal="general" vertical="bottom"/>
    </xf>
    <xf numFmtId="3" fontId="12" fillId="5" borderId="1" applyAlignment="1" pivotButton="0" quotePrefix="0" xfId="0">
      <alignment horizontal="general" vertical="bottom"/>
    </xf>
    <xf numFmtId="0" fontId="9" fillId="0" borderId="0" applyAlignment="1" pivotButton="0" quotePrefix="0" xfId="0">
      <alignment horizontal="general" vertical="center" wrapText="1"/>
    </xf>
    <xf numFmtId="1" fontId="12" fillId="5" borderId="1" applyAlignment="1" pivotButton="0" quotePrefix="0" xfId="0">
      <alignment horizontal="general" vertical="bottom"/>
    </xf>
    <xf numFmtId="0" fontId="5" fillId="0" borderId="0" applyAlignment="1" pivotButton="0" quotePrefix="0" xfId="0">
      <alignment horizontal="general" vertical="bottom"/>
    </xf>
    <xf numFmtId="164" fontId="13" fillId="6" borderId="1" applyAlignment="1" pivotButton="0" quotePrefix="0" xfId="0">
      <alignment horizontal="general" vertical="bottom"/>
    </xf>
    <xf numFmtId="3" fontId="13" fillId="6" borderId="1" applyAlignment="1" pivotButton="0" quotePrefix="0" xfId="0">
      <alignment horizontal="general" vertical="bottom"/>
    </xf>
    <xf numFmtId="165" fontId="13" fillId="6" borderId="1" applyAlignment="1" pivotButton="0" quotePrefix="0" xfId="0">
      <alignment horizontal="general" vertical="bottom"/>
    </xf>
    <xf numFmtId="10" fontId="13" fillId="6" borderId="1" applyAlignment="1" pivotButton="0" quotePrefix="0" xfId="0">
      <alignment horizontal="general" vertical="bottom"/>
    </xf>
    <xf numFmtId="2" fontId="13" fillId="6" borderId="1" applyAlignment="1" pivotButton="0" quotePrefix="0" xfId="0">
      <alignment horizontal="general" vertical="bottom"/>
    </xf>
    <xf numFmtId="2" fontId="14" fillId="6" borderId="1" applyAlignment="1" pivotButton="0" quotePrefix="0" xfId="0">
      <alignment horizontal="general" vertical="bottom"/>
    </xf>
    <xf numFmtId="0" fontId="9" fillId="0" borderId="0" applyAlignment="1" pivotButton="0" quotePrefix="0" xfId="0">
      <alignment horizontal="general" vertical="top" wrapText="1"/>
    </xf>
    <xf numFmtId="166" fontId="13" fillId="6" borderId="1" applyAlignment="1" pivotButton="0" quotePrefix="0" xfId="0">
      <alignment horizontal="general" vertical="bottom"/>
    </xf>
    <xf numFmtId="167" fontId="14" fillId="6" borderId="1" applyAlignment="1" pivotButton="0" quotePrefix="0" xfId="0">
      <alignment horizontal="general" vertical="bottom"/>
    </xf>
    <xf numFmtId="0" fontId="13" fillId="6" borderId="2" applyAlignment="1" pivotButton="0" quotePrefix="0" xfId="0">
      <alignment horizontal="general" vertical="bottom"/>
    </xf>
    <xf numFmtId="0" fontId="0" fillId="0" borderId="4" pivotButton="0" quotePrefix="0" xfId="0"/>
    <xf numFmtId="168" fontId="12" fillId="5" borderId="1" applyAlignment="1" pivotButton="0" quotePrefix="0" xfId="0">
      <alignment horizontal="general" vertical="bottom"/>
    </xf>
    <xf numFmtId="2" fontId="12" fillId="5" borderId="1" applyAlignment="1" pivotButton="0" quotePrefix="0" xfId="0">
      <alignment horizontal="general" vertical="bottom"/>
    </xf>
    <xf numFmtId="168" fontId="13" fillId="6" borderId="1" applyAlignment="1" pivotButton="0" quotePrefix="0" xfId="0">
      <alignment horizontal="general" vertical="bottom"/>
    </xf>
    <xf numFmtId="3" fontId="14" fillId="6" borderId="1" applyAlignment="1" pivotButton="0" quotePrefix="0" xfId="0">
      <alignment horizontal="general" vertical="bottom"/>
    </xf>
    <xf numFmtId="10" fontId="14" fillId="6" borderId="1" applyAlignment="1" pivotButton="0" quotePrefix="0" xfId="0">
      <alignment horizontal="general" vertical="bottom"/>
    </xf>
    <xf numFmtId="9" fontId="12" fillId="5" borderId="1" applyAlignment="1" pivotButton="0" quotePrefix="0" xfId="0">
      <alignment horizontal="general" vertical="bottom"/>
    </xf>
    <xf numFmtId="168" fontId="14" fillId="6" borderId="1" applyAlignment="1" pivotButton="0" quotePrefix="0" xfId="0">
      <alignment horizontal="general" vertical="bottom"/>
    </xf>
    <xf numFmtId="169" fontId="12" fillId="5" borderId="1" applyAlignment="1" pivotButton="0" quotePrefix="0" xfId="0">
      <alignment horizontal="general" vertical="bottom"/>
    </xf>
    <xf numFmtId="169" fontId="13" fillId="6" borderId="1" applyAlignment="1" pivotButton="0" quotePrefix="0" xfId="0">
      <alignment horizontal="general" vertical="bottom"/>
    </xf>
    <xf numFmtId="169" fontId="14" fillId="6" borderId="1" applyAlignment="1" pivotButton="0" quotePrefix="0" xfId="0">
      <alignment horizontal="general" vertical="bottom"/>
    </xf>
    <xf numFmtId="166" fontId="12" fillId="5" borderId="1" applyAlignment="1" pivotButton="0" quotePrefix="0" xfId="0">
      <alignment horizontal="general" vertical="bottom"/>
    </xf>
    <xf numFmtId="170" fontId="12" fillId="5" borderId="1" applyAlignment="1" pivotButton="0" quotePrefix="0" xfId="0">
      <alignment horizontal="general" vertical="bottom"/>
    </xf>
    <xf numFmtId="9" fontId="13" fillId="6" borderId="1" applyAlignment="1" pivotButton="0" quotePrefix="0" xfId="0">
      <alignment horizontal="general" vertical="bottom"/>
    </xf>
    <xf numFmtId="0" fontId="15" fillId="0" borderId="0" applyAlignment="1" pivotButton="0" quotePrefix="0" xfId="0">
      <alignment vertical="center" wrapText="1"/>
    </xf>
    <xf numFmtId="3" fontId="0" fillId="0" borderId="0" pivotButton="0" quotePrefix="0" xfId="0"/>
    <xf numFmtId="0" fontId="15" fillId="0" borderId="0" pivotButton="0" quotePrefix="0" xfId="0"/>
    <xf numFmtId="3" fontId="0" fillId="7" borderId="0" pivotButton="0" quotePrefix="0" xfId="0"/>
    <xf numFmtId="2" fontId="0" fillId="0" borderId="0" pivotButton="0" quotePrefix="0" xfId="0"/>
    <xf numFmtId="2" fontId="0" fillId="7" borderId="0" pivotButton="0" quotePrefix="0" xfId="0"/>
    <xf numFmtId="164" fontId="0" fillId="7" borderId="0" pivotButton="0" quotePrefix="0" xfId="0"/>
    <xf numFmtId="4" fontId="0" fillId="7" borderId="0" pivotButton="0" quotePrefix="0" xfId="0"/>
    <xf numFmtId="171" fontId="0" fillId="7" borderId="0" pivotButton="0" quotePrefix="0" xfId="0"/>
    <xf numFmtId="172" fontId="0" fillId="7" borderId="0" pivotButton="0" quotePrefix="0" xfId="0"/>
    <xf numFmtId="172" fontId="0" fillId="0" borderId="0" pivotButton="0" quotePrefix="0" xfId="0"/>
    <xf numFmtId="0" fontId="16" fillId="0" borderId="0" applyAlignment="1" pivotButton="0" quotePrefix="0" xfId="0">
      <alignment vertical="top" wrapText="1"/>
    </xf>
    <xf numFmtId="0" fontId="16" fillId="0" borderId="0" pivotButton="0" quotePrefix="0" xfId="0"/>
    <xf numFmtId="2" fontId="15" fillId="7" borderId="0" pivotButton="0" quotePrefix="0" xfId="0"/>
    <xf numFmtId="164" fontId="15" fillId="7" borderId="0" pivotButton="0" quotePrefix="0" xfId="0"/>
    <xf numFmtId="0" fontId="15" fillId="0" borderId="0" applyAlignment="1" pivotButton="0" quotePrefix="0" xfId="0">
      <alignment horizontal="general" vertical="bottom"/>
    </xf>
    <xf numFmtId="172" fontId="15" fillId="7" borderId="0" pivotButton="0" quotePrefix="0" xfId="0"/>
    <xf numFmtId="172" fontId="15" fillId="0" borderId="0" pivotButton="0" quotePrefix="0" xfId="0"/>
    <xf numFmtId="2" fontId="15" fillId="0" borderId="0" pivotButton="0" quotePrefix="0" xfId="0"/>
    <xf numFmtId="164" fontId="15" fillId="0" borderId="0" pivotButton="0" quotePrefix="0" xfId="0"/>
    <xf numFmtId="0" fontId="9" fillId="0" borderId="0" applyAlignment="1" pivotButton="0" quotePrefix="0" xfId="0">
      <alignment vertical="top" wrapText="1"/>
    </xf>
    <xf numFmtId="0" fontId="17"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B45309"/>
      <rgbColor rgb="FFFFF9E3"/>
      <rgbColor rgb="FFF2F7FF"/>
      <rgbColor rgb="FF660066"/>
      <rgbColor rgb="FFFF8080"/>
      <rgbColor rgb="FF0066CC"/>
      <rgbColor rgb="FFD8DEE8"/>
      <rgbColor rgb="FF000080"/>
      <rgbColor rgb="FFFF00FF"/>
      <rgbColor rgb="FFFFFF00"/>
      <rgbColor rgb="FF00FFFF"/>
      <rgbColor rgb="FF800080"/>
      <rgbColor rgb="FF800000"/>
      <rgbColor rgb="FF008080"/>
      <rgbColor rgb="FF0000FF"/>
      <rgbColor rgb="FF00CCFF"/>
      <rgbColor rgb="FFEEF1F6"/>
      <rgbColor rgb="FFCCFFCC"/>
      <rgbColor rgb="FFFDEEEE"/>
      <rgbColor rgb="FF99CCFF"/>
      <rgbColor rgb="FFFF99CC"/>
      <rgbColor rgb="FFCC99FF"/>
      <rgbColor rgb="FFFFCC99"/>
      <rgbColor rgb="FF3366FF"/>
      <rgbColor rgb="FF33CCCC"/>
      <rgbColor rgb="FF99CC00"/>
      <rgbColor rgb="FFFFCC00"/>
      <rgbColor rgb="FFFF9900"/>
      <rgbColor rgb="FFFF6600"/>
      <rgbColor rgb="FF657085"/>
      <rgbColor rgb="FF969696"/>
      <rgbColor rgb="FF003366"/>
      <rgbColor rgb="FF339966"/>
      <rgbColor rgb="FF151B24"/>
      <rgbColor rgb="FF333300"/>
      <rgbColor rgb="FFB91C1C"/>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roundedCorners val="0"/>
  <style val="10"/>
  <chart>
    <title>
      <tx>
        <rich>
          <a:bodyPr/>
          <a:p>
            <a:pPr>
              <a:defRPr/>
            </a:pPr>
            <a:r>
              <a:t>DPMO — you against the scale</a:t>
            </a:r>
          </a:p>
        </rich>
      </tx>
    </title>
    <plotArea>
      <barChart>
        <barDir val="bar"/>
        <grouping val="clustered"/>
        <ser>
          <idx val="0"/>
          <order val="0"/>
          <spPr>
            <a:ln>
              <a:prstDash val="solid"/>
            </a:ln>
          </spPr>
          <invertIfNegative val="0"/>
          <dPt>
            <idx val="0"/>
            <spPr>
              <a:solidFill>
                <a:srgbClr val="1F4E79"/>
              </a:solidFill>
              <a:ln>
                <a:prstDash val="solid"/>
              </a:ln>
            </spPr>
          </dPt>
          <dPt>
            <idx val="1"/>
            <spPr>
              <a:solidFill>
                <a:srgbClr val="1F4E79"/>
              </a:solidFill>
              <a:ln>
                <a:prstDash val="solid"/>
              </a:ln>
            </spPr>
          </dPt>
          <dPt>
            <idx val="2"/>
            <spPr>
              <a:solidFill>
                <a:srgbClr val="1F4E79"/>
              </a:solidFill>
              <a:ln>
                <a:prstDash val="solid"/>
              </a:ln>
            </spPr>
          </dPt>
          <dPt>
            <idx val="3"/>
            <spPr>
              <a:solidFill>
                <a:srgbClr val="1F4E79"/>
              </a:solidFill>
              <a:ln>
                <a:prstDash val="solid"/>
              </a:ln>
            </spPr>
          </dPt>
          <dPt>
            <idx val="4"/>
            <spPr>
              <a:solidFill>
                <a:srgbClr val="1F4E79"/>
              </a:solidFill>
              <a:ln>
                <a:prstDash val="solid"/>
              </a:ln>
            </spPr>
          </dPt>
          <dPt>
            <idx val="5"/>
            <spPr>
              <a:solidFill>
                <a:srgbClr val="B45309"/>
              </a:solidFill>
              <a:ln>
                <a:prstDash val="solid"/>
              </a:ln>
            </spPr>
          </dPt>
          <cat>
            <numRef>
              <f>'1 Sigma level'!$A$20:$A$25</f>
            </numRef>
          </cat>
          <val>
            <numRef>
              <f>'1 Sigma level'!$B$20:$B$25</f>
            </numRef>
          </val>
        </ser>
        <dLbls>
          <numFmt formatCode="#,##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majorTickMark val="none"/>
        <minorTickMark val="none"/>
        <tickLblPos val="nextTo"/>
        <crossAx val="10"/>
      </valAx>
    </plotArea>
    <plotVisOnly val="1"/>
    <dispBlanksAs val="gap"/>
  </chart>
</chartSpace>
</file>

<file path=xl/charts/chart2.xml><?xml version="1.0" encoding="utf-8"?>
<chartSpace xmlns:a="http://schemas.openxmlformats.org/drawingml/2006/main" xmlns="http://schemas.openxmlformats.org/drawingml/2006/chart">
  <roundedCorners val="0"/>
  <style val="10"/>
  <chart>
    <title>
      <tx>
        <rich>
          <a:bodyPr/>
          <a:p>
            <a:pPr>
              <a:defRPr/>
            </a:pPr>
            <a:r>
              <a:t>Cohen's kappa against the usual thresholds</a:t>
            </a:r>
          </a:p>
        </rich>
      </tx>
    </title>
    <plotArea>
      <barChart>
        <barDir val="col"/>
        <grouping val="clustered"/>
        <ser>
          <idx val="0"/>
          <order val="0"/>
          <spPr>
            <a:ln>
              <a:prstDash val="solid"/>
            </a:ln>
          </spPr>
          <invertIfNegative val="0"/>
          <dPt>
            <idx val="0"/>
            <spPr>
              <a:solidFill>
                <a:srgbClr val="C0392B"/>
              </a:solidFill>
              <a:ln>
                <a:prstDash val="solid"/>
              </a:ln>
            </spPr>
          </dPt>
          <dPt>
            <idx val="1"/>
            <spPr>
              <a:solidFill>
                <a:srgbClr val="B45309"/>
              </a:solidFill>
              <a:ln>
                <a:prstDash val="solid"/>
              </a:ln>
            </spPr>
          </dPt>
          <dPt>
            <idx val="2"/>
            <spPr>
              <a:solidFill>
                <a:srgbClr val="3F8F5A"/>
              </a:solidFill>
              <a:ln>
                <a:prstDash val="solid"/>
              </a:ln>
            </spPr>
          </dPt>
          <dPt>
            <idx val="3"/>
            <spPr>
              <a:solidFill>
                <a:srgbClr val="1F4E79"/>
              </a:solidFill>
              <a:ln>
                <a:prstDash val="solid"/>
              </a:ln>
            </spPr>
          </dPt>
          <cat>
            <numRef>
              <f>'2 QA agreement (kappa)'!$A$17:$A$20</f>
            </numRef>
          </cat>
          <val>
            <numRef>
              <f>'2 QA agreement (kappa)'!$B$17:$B$20</f>
            </numRef>
          </val>
        </ser>
        <dLbls>
          <numFmt formatCode="0.0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max val="1"/>
          <min val="0"/>
        </scaling>
        <delete val="0"/>
        <axPos val="l"/>
        <majorGridlines/>
        <numFmt formatCode="0.00" sourceLinked="0"/>
        <majorTickMark val="none"/>
        <minorTickMark val="none"/>
        <tickLblPos val="nextTo"/>
        <crossAx val="10"/>
      </valAx>
    </plotArea>
    <plotVisOnly val="1"/>
    <dispBlanksAs val="gap"/>
  </chart>
</chartSpace>
</file>

<file path=xl/charts/chart3.xml><?xml version="1.0" encoding="utf-8"?>
<chartSpace xmlns:a="http://schemas.openxmlformats.org/drawingml/2006/main" xmlns="http://schemas.openxmlformats.org/drawingml/2006/chart">
  <roundedCorners val="0"/>
  <style val="2"/>
  <chart>
    <title>
      <tx>
        <rich>
          <a:bodyPr/>
          <a:p>
            <a:pPr>
              <a:defRPr/>
            </a:pPr>
            <a:r>
              <a:t>Where you sit against the SLA — area past the red line is a breach</a:t>
            </a:r>
          </a:p>
        </rich>
      </tx>
    </title>
    <plotArea>
      <lineChart>
        <grouping val="standard"/>
        <ser>
          <idx val="0"/>
          <order val="0"/>
          <tx>
            <v>Your process</v>
          </tx>
          <spPr>
            <a:ln w="28000">
              <a:solidFill>
                <a:srgbClr val="1F4E79"/>
              </a:solidFill>
              <a:prstDash val="solid"/>
            </a:ln>
          </spPr>
          <marker>
            <symbol val="none"/>
            <spPr>
              <a:ln>
                <a:prstDash val="solid"/>
              </a:ln>
            </spPr>
          </marker>
          <cat>
            <numRef>
              <f>'3 SLA capability'!$A$22:$A$62</f>
            </numRef>
          </cat>
          <val>
            <numRef>
              <f>'3 SLA capability'!$B$22:$B$62</f>
            </numRef>
          </val>
          <smooth val="0"/>
        </ser>
        <axId val="10"/>
        <axId val="100"/>
      </lineChart>
      <barChart>
        <barDir val="col"/>
        <grouping val="clustered"/>
        <ser>
          <idx val="1"/>
          <order val="1"/>
          <tx>
            <v>SLA limit</v>
          </tx>
          <spPr>
            <a:solidFill>
              <a:srgbClr val="C0392B"/>
            </a:solidFill>
            <a:ln>
              <a:solidFill>
                <a:srgbClr val="C0392B"/>
              </a:solidFill>
              <a:prstDash val="solid"/>
            </a:ln>
          </spPr>
          <val>
            <numRef>
              <f>'3 SLA capability'!$C$22:$C$62</f>
            </numRef>
          </val>
        </ser>
        <gapWidth val="400"/>
        <axId val="10"/>
        <axId val="100"/>
      </barChart>
      <catAx>
        <axId val="10"/>
        <scaling>
          <orientation val="minMax"/>
        </scaling>
        <delete val="0"/>
        <axPos val="l"/>
        <majorTickMark val="none"/>
        <minorTickMark val="none"/>
        <tickLblPos val="low"/>
        <crossAx val="100"/>
        <lblOffset val="100"/>
        <tickLblSkip val="4"/>
        <tickMarkSkip val="4"/>
      </catAx>
      <valAx>
        <axId val="100"/>
        <scaling>
          <orientation val="minMax"/>
        </scaling>
        <delete val="0"/>
        <axPos val="l"/>
        <majorGridlines/>
        <title>
          <tx>
            <rich>
              <a:bodyPr/>
              <a:p>
                <a:pPr>
                  <a:defRPr/>
                </a:pPr>
                <a:r>
                  <a:t>Relative frequency</a:t>
                </a:r>
              </a:p>
            </rich>
          </tx>
        </title>
        <majorTickMark val="none"/>
        <minorTickMark val="none"/>
        <tickLblPos val="nextTo"/>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roundedCorners val="0"/>
  <style val="10"/>
  <chart>
    <title>
      <tx>
        <rich>
          <a:bodyPr/>
          <a:p>
            <a:pPr>
              <a:defRPr/>
            </a:pPr>
            <a:r>
              <a:t>Lead time in days — today against target</a:t>
            </a:r>
          </a:p>
        </rich>
      </tx>
    </title>
    <plotArea>
      <barChart>
        <barDir val="col"/>
        <grouping val="clustered"/>
        <ser>
          <idx val="0"/>
          <order val="0"/>
          <spPr>
            <a:ln>
              <a:prstDash val="solid"/>
            </a:ln>
          </spPr>
          <invertIfNegative val="0"/>
          <dPt>
            <idx val="0"/>
            <spPr>
              <a:solidFill>
                <a:srgbClr val="C0392B"/>
              </a:solidFill>
              <a:ln>
                <a:prstDash val="solid"/>
              </a:ln>
            </spPr>
          </dPt>
          <dPt>
            <idx val="1"/>
            <spPr>
              <a:solidFill>
                <a:srgbClr val="3F8F5A"/>
              </a:solidFill>
              <a:ln>
                <a:prstDash val="solid"/>
              </a:ln>
            </spPr>
          </dPt>
          <cat>
            <numRef>
              <f>'4 Backlog and lead time'!$A$17:$A$18</f>
            </numRef>
          </cat>
          <val>
            <numRef>
              <f>'4 Backlog and lead time'!$B$17:$B$18</f>
            </numRef>
          </val>
        </ser>
        <dLbls>
          <numFmt formatCode="#,##0.0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numFmt formatCode="#,##0.00" sourceLinked="0"/>
        <majorTickMark val="none"/>
        <minorTickMark val="none"/>
        <tickLblPos val="nextTo"/>
        <crossAx val="10"/>
      </valAx>
    </plotArea>
    <plotVisOnly val="1"/>
    <dispBlanksAs val="gap"/>
  </chart>
</chartSpace>
</file>

<file path=xl/charts/chart5.xml><?xml version="1.0" encoding="utf-8"?>
<chartSpace xmlns:a="http://schemas.openxmlformats.org/drawingml/2006/main" xmlns="http://schemas.openxmlformats.org/drawingml/2006/chart">
  <roundedCorners val="0"/>
  <style val="10"/>
  <chart>
    <title>
      <tx>
        <rich>
          <a:bodyPr/>
          <a:p>
            <a:pPr>
              <a:defRPr/>
            </a:pPr>
            <a:r>
              <a:t>Open tickets against the cap</a:t>
            </a:r>
          </a:p>
        </rich>
      </tx>
    </title>
    <plotArea>
      <barChart>
        <barDir val="col"/>
        <grouping val="clustered"/>
        <ser>
          <idx val="0"/>
          <order val="0"/>
          <spPr>
            <a:ln>
              <a:prstDash val="solid"/>
            </a:ln>
          </spPr>
          <invertIfNegative val="0"/>
          <dPt>
            <idx val="0"/>
            <spPr>
              <a:solidFill>
                <a:srgbClr val="C0392B"/>
              </a:solidFill>
              <a:ln>
                <a:prstDash val="solid"/>
              </a:ln>
            </spPr>
          </dPt>
          <dPt>
            <idx val="1"/>
            <spPr>
              <a:solidFill>
                <a:srgbClr val="3F8F5A"/>
              </a:solidFill>
              <a:ln>
                <a:prstDash val="solid"/>
              </a:ln>
            </spPr>
          </dPt>
          <cat>
            <numRef>
              <f>'4 Backlog and lead time'!$A$21:$A$22</f>
            </numRef>
          </cat>
          <val>
            <numRef>
              <f>'4 Backlog and lead time'!$B$21:$B$22</f>
            </numRef>
          </val>
        </ser>
        <dLbls>
          <numFmt formatCode="#,##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majorTickMark val="none"/>
        <minorTickMark val="none"/>
        <tickLblPos val="nextTo"/>
        <crossAx val="10"/>
      </valAx>
    </plotArea>
    <plotVisOnly val="1"/>
    <dispBlanksAs val="gap"/>
  </chart>
</chartSpace>
</file>

<file path=xl/charts/chart6.xml><?xml version="1.0" encoding="utf-8"?>
<chartSpace xmlns:a="http://schemas.openxmlformats.org/drawingml/2006/main" xmlns="http://schemas.openxmlformats.org/drawingml/2006/chart">
  <roundedCorners val="0"/>
  <style val="10"/>
  <chart>
    <title>
      <tx>
        <rich>
          <a:bodyPr/>
          <a:p>
            <a:pPr>
              <a:defRPr/>
            </a:pPr>
            <a:r>
              <a:t>Minutes of work against minutes of waiting</a:t>
            </a:r>
          </a:p>
        </rich>
      </tx>
    </title>
    <plotArea>
      <barChart>
        <barDir val="col"/>
        <grouping val="clustered"/>
        <ser>
          <idx val="0"/>
          <order val="0"/>
          <spPr>
            <a:ln>
              <a:prstDash val="solid"/>
            </a:ln>
          </spPr>
          <invertIfNegative val="0"/>
          <dPt>
            <idx val="0"/>
            <spPr>
              <a:solidFill>
                <a:srgbClr val="3F8F5A"/>
              </a:solidFill>
              <a:ln>
                <a:prstDash val="solid"/>
              </a:ln>
            </spPr>
          </dPt>
          <dPt>
            <idx val="1"/>
            <spPr>
              <a:solidFill>
                <a:srgbClr val="C0392B"/>
              </a:solidFill>
              <a:ln>
                <a:prstDash val="solid"/>
              </a:ln>
            </spPr>
          </dPt>
          <cat>
            <numRef>
              <f>'5 Process efficiency'!$A$15:$A$16</f>
            </numRef>
          </cat>
          <val>
            <numRef>
              <f>'5 Process efficiency'!$B$15:$B$16</f>
            </numRef>
          </val>
        </ser>
        <dLbls>
          <numFmt formatCode="#,##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majorTickMark val="none"/>
        <minorTickMark val="none"/>
        <tickLblPos val="nextTo"/>
        <crossAx val="10"/>
      </valAx>
    </plotArea>
    <plotVisOnly val="1"/>
    <dispBlanksAs val="gap"/>
  </chart>
</chartSpace>
</file>

<file path=xl/charts/chart7.xml><?xml version="1.0" encoding="utf-8"?>
<chartSpace xmlns:a="http://schemas.openxmlformats.org/drawingml/2006/main" xmlns="http://schemas.openxmlformats.org/drawingml/2006/chart">
  <roundedCorners val="0"/>
  <style val="10"/>
  <chart>
    <title>
      <tx>
        <rich>
          <a:bodyPr/>
          <a:p>
            <a:pPr>
              <a:defRPr/>
            </a:pPr>
            <a:r>
              <a:t>From offered load to paid FTE — where does the headcount actually go?</a:t>
            </a:r>
          </a:p>
        </rich>
      </tx>
    </title>
    <plotArea>
      <barChart>
        <barDir val="col"/>
        <grouping val="clustered"/>
        <ser>
          <idx val="0"/>
          <order val="0"/>
          <spPr>
            <a:ln>
              <a:prstDash val="solid"/>
            </a:ln>
          </spPr>
          <invertIfNegative val="0"/>
          <dPt>
            <idx val="0"/>
            <spPr>
              <a:solidFill>
                <a:srgbClr val="1F4E79"/>
              </a:solidFill>
              <a:ln>
                <a:prstDash val="solid"/>
              </a:ln>
            </spPr>
          </dPt>
          <dPt>
            <idx val="1"/>
            <spPr>
              <a:solidFill>
                <a:srgbClr val="B45309"/>
              </a:solidFill>
              <a:ln>
                <a:prstDash val="solid"/>
              </a:ln>
            </spPr>
          </dPt>
          <dPt>
            <idx val="2"/>
            <spPr>
              <a:solidFill>
                <a:srgbClr val="C0392B"/>
              </a:solidFill>
              <a:ln>
                <a:prstDash val="solid"/>
              </a:ln>
            </spPr>
          </dPt>
          <dPt>
            <idx val="3"/>
            <spPr>
              <a:solidFill>
                <a:srgbClr val="3F8F5A"/>
              </a:solidFill>
              <a:ln>
                <a:prstDash val="solid"/>
              </a:ln>
            </spPr>
          </dPt>
          <cat>
            <numRef>
              <f>'6 Staffing'!$A$16:$A$19</f>
            </numRef>
          </cat>
          <val>
            <numRef>
              <f>'6 Staffing'!$B$16:$B$19</f>
            </numRef>
          </val>
        </ser>
        <dLbls>
          <numFmt formatCode="#,##0.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numFmt formatCode="#,##0.0" sourceLinked="0"/>
        <majorTickMark val="none"/>
        <minorTickMark val="none"/>
        <tickLblPos val="nextTo"/>
        <crossAx val="10"/>
      </valAx>
    </plotArea>
    <plotVisOnly val="1"/>
    <dispBlanksAs val="gap"/>
  </chart>
</chartSpace>
</file>

<file path=xl/charts/chart8.xml><?xml version="1.0" encoding="utf-8"?>
<chartSpace xmlns:a="http://schemas.openxmlformats.org/drawingml/2006/main" xmlns="http://schemas.openxmlformats.org/drawingml/2006/chart">
  <roundedCorners val="0"/>
  <style val="10"/>
  <chart>
    <title>
      <tx>
        <rich>
          <a:bodyPr/>
          <a:p>
            <a:pPr>
              <a:defRPr/>
            </a:pPr>
            <a:r>
              <a:t>Gross value against what Finance will actually book</a:t>
            </a:r>
          </a:p>
        </rich>
      </tx>
    </title>
    <plotArea>
      <barChart>
        <barDir val="col"/>
        <grouping val="clustered"/>
        <ser>
          <idx val="0"/>
          <order val="0"/>
          <spPr>
            <a:ln>
              <a:prstDash val="solid"/>
            </a:ln>
          </spPr>
          <invertIfNegative val="0"/>
          <dPt>
            <idx val="0"/>
            <spPr>
              <a:solidFill>
                <a:srgbClr val="B45309"/>
              </a:solidFill>
              <a:ln>
                <a:prstDash val="solid"/>
              </a:ln>
            </spPr>
          </dPt>
          <dPt>
            <idx val="1"/>
            <spPr>
              <a:solidFill>
                <a:srgbClr val="3F8F5A"/>
              </a:solidFill>
              <a:ln>
                <a:prstDash val="solid"/>
              </a:ln>
            </spPr>
          </dPt>
          <cat>
            <numRef>
              <f>'7 Benefit — AHT'!$A$20:$A$21</f>
            </numRef>
          </cat>
          <val>
            <numRef>
              <f>'7 Benefit — AHT'!$B$20:$B$21</f>
            </numRef>
          </val>
        </ser>
        <dLbls>
          <numFmt formatCode="&quot;$&quot;#,##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numFmt formatCode="&quot;$&quot;#,##0" sourceLinked="0"/>
        <majorTickMark val="none"/>
        <minorTickMark val="none"/>
        <tickLblPos val="nextTo"/>
        <crossAx val="10"/>
      </valAx>
    </plotArea>
    <plotVisOnly val="1"/>
    <dispBlanksAs val="gap"/>
  </chart>
</chartSpace>
</file>

<file path=xl/charts/chart9.xml><?xml version="1.0" encoding="utf-8"?>
<chartSpace xmlns:a="http://schemas.openxmlformats.org/drawingml/2006/main" xmlns="http://schemas.openxmlformats.org/drawingml/2006/chart">
  <roundedCorners val="0"/>
  <style val="10"/>
  <chart>
    <title>
      <tx>
        <rich>
          <a:bodyPr/>
          <a:p>
            <a:pPr>
              <a:defRPr/>
            </a:pPr>
            <a:r>
              <a:t>Gross value against what Finance will actually book</a:t>
            </a:r>
          </a:p>
        </rich>
      </tx>
    </title>
    <plotArea>
      <barChart>
        <barDir val="col"/>
        <grouping val="clustered"/>
        <ser>
          <idx val="0"/>
          <order val="0"/>
          <spPr>
            <a:ln>
              <a:prstDash val="solid"/>
            </a:ln>
          </spPr>
          <invertIfNegative val="0"/>
          <dPt>
            <idx val="0"/>
            <spPr>
              <a:solidFill>
                <a:srgbClr val="B45309"/>
              </a:solidFill>
              <a:ln>
                <a:prstDash val="solid"/>
              </a:ln>
            </spPr>
          </dPt>
          <dPt>
            <idx val="1"/>
            <spPr>
              <a:solidFill>
                <a:srgbClr val="3F8F5A"/>
              </a:solidFill>
              <a:ln>
                <a:prstDash val="solid"/>
              </a:ln>
            </spPr>
          </dPt>
          <cat>
            <numRef>
              <f>'8 Benefit — avoided contacts'!$A$20:$A$21</f>
            </numRef>
          </cat>
          <val>
            <numRef>
              <f>'8 Benefit — avoided contacts'!$B$20:$B$21</f>
            </numRef>
          </val>
        </ser>
        <dLbls>
          <numFmt formatCode="&quot;$&quot;#,##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numFmt formatCode="&quot;$&quot;#,##0" sourceLinked="0"/>
        <majorTickMark val="none"/>
        <minorTickMark val="none"/>
        <tickLblPos val="nextTo"/>
        <crossAx val="10"/>
      </valAx>
    </plotArea>
    <plotVisOnly val="1"/>
    <dispBlanksAs val="gap"/>
  </chart>
</chartSpace>
</file>

<file path=xl/charts/chart10.xml><?xml version="1.0" encoding="utf-8"?>
<chartSpace xmlns:a="http://schemas.openxmlformats.org/drawingml/2006/main" xmlns="http://schemas.openxmlformats.org/drawingml/2006/chart">
  <roundedCorners val="0"/>
  <style val="2"/>
  <chart>
    <title>
      <tx>
        <rich>
          <a:bodyPr/>
          <a:p>
            <a:pPr>
              <a:defRPr/>
            </a:pPr>
            <a:r>
              <a:t>Cumulative discounted position — it crosses zero at payback</a:t>
            </a:r>
          </a:p>
        </rich>
      </tx>
    </title>
    <plotArea>
      <lineChart>
        <grouping val="standard"/>
        <ser>
          <idx val="0"/>
          <order val="0"/>
          <tx>
            <v>Cumulative</v>
          </tx>
          <spPr>
            <a:ln w="28000">
              <a:solidFill>
                <a:srgbClr val="1F4E79"/>
              </a:solidFill>
              <a:prstDash val="solid"/>
            </a:ln>
          </spPr>
          <marker>
            <symbol val="circle"/>
            <size val="6"/>
            <spPr>
              <a:solidFill>
                <a:srgbClr val="1F4E79"/>
              </a:solidFill>
              <a:ln>
                <a:prstDash val="solid"/>
              </a:ln>
            </spPr>
          </marker>
          <cat>
            <numRef>
              <f>'9 ROI and payback'!$A$22:$A$32</f>
            </numRef>
          </cat>
          <val>
            <numRef>
              <f>'9 ROI and payback'!$B$22:$B$32</f>
            </numRef>
          </val>
          <smooth val="0"/>
        </ser>
        <ser>
          <idx val="1"/>
          <order val="1"/>
          <tx>
            <v>Breakeven</v>
          </tx>
          <spPr>
            <a:ln w="16000">
              <a:solidFill>
                <a:srgbClr val="C0392B"/>
              </a:solidFill>
              <a:prstDash val="dash"/>
            </a:ln>
          </spPr>
          <marker>
            <symbol val="none"/>
            <spPr>
              <a:ln>
                <a:prstDash val="solid"/>
              </a:ln>
            </spPr>
          </marker>
          <cat>
            <numRef>
              <f>'9 ROI and payback'!$A$22:$A$32</f>
            </numRef>
          </cat>
          <val>
            <numRef>
              <f>'9 ROI and payback'!$C$22:$C$32</f>
            </numRef>
          </val>
          <smooth val="0"/>
        </ser>
        <axId val="10"/>
        <axId val="100"/>
      </line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numFmt formatCode="&quot;$&quot;#,##0" sourceLinked="0"/>
        <majorTickMark val="none"/>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_rels/drawing5.xml.rels><Relationships xmlns="http://schemas.openxmlformats.org/package/2006/relationships"><Relationship Type="http://schemas.openxmlformats.org/officeDocument/2006/relationships/chart" Target="/xl/charts/chart6.xml" Id="rId1" /></Relationships>
</file>

<file path=xl/drawings/_rels/drawing6.xml.rels><Relationships xmlns="http://schemas.openxmlformats.org/package/2006/relationships"><Relationship Type="http://schemas.openxmlformats.org/officeDocument/2006/relationships/chart" Target="/xl/charts/chart7.xml" Id="rId1" /></Relationships>
</file>

<file path=xl/drawings/_rels/drawing7.xml.rels><Relationships xmlns="http://schemas.openxmlformats.org/package/2006/relationships"><Relationship Type="http://schemas.openxmlformats.org/officeDocument/2006/relationships/chart" Target="/xl/charts/chart8.xml" Id="rId1" /></Relationships>
</file>

<file path=xl/drawings/_rels/drawing8.xml.rels><Relationships xmlns="http://schemas.openxmlformats.org/package/2006/relationships"><Relationship Type="http://schemas.openxmlformats.org/officeDocument/2006/relationships/chart" Target="/xl/charts/chart9.xml" Id="rId1" /></Relationships>
</file>

<file path=xl/drawings/_rels/drawing9.xml.rels><Relationships xmlns="http://schemas.openxmlformats.org/package/2006/relationships"><Relationship Type="http://schemas.openxmlformats.org/officeDocument/2006/relationships/chart" Target="/xl/charts/chart10.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19</row>
      <rowOff>0</rowOff>
    </from>
    <ext cx="504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filterMode="0">
    <outlinePr summaryBelow="1" summaryRight="1"/>
    <pageSetUpPr fitToPage="1"/>
  </sheetPr>
  <dimension ref="A1:B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37" min="1" max="1"/>
    <col width="108" customWidth="1" style="37" min="2" max="2"/>
  </cols>
  <sheetData>
    <row r="1"/>
    <row r="2" ht="30" customHeight="1" s="38">
      <c r="B2" s="39" t="inlineStr">
        <is>
          <t>Black Belt Calculator Workbook</t>
        </is>
      </c>
    </row>
    <row r="3" ht="25.5" customHeight="1" s="38">
      <c r="B3" s="40" t="inlineStr">
        <is>
          <t>Nine calculators. Every one works the same way: change the YELLOW cells, read the answer. Everything else is a formula — do not type over it.</t>
        </is>
      </c>
    </row>
    <row r="4"/>
    <row r="5" ht="24" customHeight="1" s="38">
      <c r="B5" s="41" t="inlineStr">
        <is>
          <t>What each tab does</t>
        </is>
      </c>
    </row>
    <row r="6" ht="25.5" customHeight="1" s="38">
      <c r="B6" s="42" t="inlineStr">
        <is>
          <t>1  SIGMA LEVEL — turns your defect count into the 1-to-6 quality score everyone in the industry uses.</t>
        </is>
      </c>
    </row>
    <row r="7" ht="25.5" customHeight="1" s="38">
      <c r="B7" s="42" t="inlineStr">
        <is>
          <t>2  QA AGREEMENT — do two quality analysts scoring the same calls actually agree? Usually much less than anyone assumes.</t>
        </is>
      </c>
    </row>
    <row r="8" ht="25.5" customHeight="1" s="38">
      <c r="B8" s="42" t="inlineStr">
        <is>
          <t>3  SLA CAPABILITY — are you actually capable of hitting your service commitment, and what share of contacts breach it?</t>
        </is>
      </c>
    </row>
    <row r="9" ht="25.5" customHeight="1" s="38">
      <c r="B9" s="42" t="inlineStr">
        <is>
          <t>4  BACKLOG AND LEAD TIME — how long customers wait, and exactly how much backlog you have to remove to change it.</t>
        </is>
      </c>
    </row>
    <row r="10" ht="25.5" customHeight="1" s="38">
      <c r="B10" s="42" t="inlineStr">
        <is>
          <t>5  PROCESS EFFICIENCY — how much of the customer's wait was actual work. The answer is usually shocking.</t>
        </is>
      </c>
    </row>
    <row r="11" ht="15" customHeight="1" s="38">
      <c r="B11" s="42" t="inlineStr">
        <is>
          <t>6  STAFFING — how many people you need on the floor, and on the payroll.</t>
        </is>
      </c>
    </row>
    <row r="12" ht="25.5" customHeight="1" s="38">
      <c r="B12" s="42" t="inlineStr">
        <is>
          <t>7  BENEFIT, HANDLE TIME — what a handle-time saving is worth, and the trap that makes most of these numbers wrong.</t>
        </is>
      </c>
    </row>
    <row r="13" ht="15" customHeight="1" s="38">
      <c r="B13" s="42" t="inlineStr">
        <is>
          <t>8  BENEFIT, AVOIDED CONTACTS — what it is worth to stop a contact happening at all.</t>
        </is>
      </c>
    </row>
    <row r="14" ht="15" customHeight="1" s="38">
      <c r="B14" s="42" t="inlineStr">
        <is>
          <t>9  ROI AND PAYBACK — the three numbers Finance will ask for.</t>
        </is>
      </c>
    </row>
    <row r="15"/>
    <row r="16" ht="24" customHeight="1" s="38">
      <c r="B16" s="41" t="inlineStr">
        <is>
          <t>Every input has a note</t>
        </is>
      </c>
    </row>
    <row r="17" ht="25.5" customHeight="1" s="38">
      <c r="B17" s="40" t="inlineStr">
        <is>
          <t>Hover over any yellow cell, or read the grey text to its right. It tells you exactly which system that number lives in and what to watch out for when you pull it.</t>
        </is>
      </c>
    </row>
    <row r="18"/>
    <row r="19" ht="39" customHeight="1" s="38">
      <c r="B19" s="43" t="inlineStr">
        <is>
          <t>These are models, not measurements. Before any of this reaches a steering committee, every input should be traceable to a named source, and your Finance partner should have seen the assumptions.</t>
        </is>
      </c>
    </row>
    <row r="20"/>
    <row r="21">
      <c r="B21" s="37" t="inlineStr">
        <is>
          <t>What the colours mean</t>
        </is>
      </c>
    </row>
    <row r="22">
      <c r="B22" s="37" t="inlineStr">
        <is>
          <t>Yellow cells</t>
        </is>
      </c>
    </row>
    <row r="23">
      <c r="B23" s="37" t="inlineStr">
        <is>
          <t>You fill these in.</t>
        </is>
      </c>
    </row>
    <row r="24">
      <c r="B24" s="37" t="inlineStr">
        <is>
          <t>Blue cells</t>
        </is>
      </c>
    </row>
    <row r="25">
      <c r="B25" s="37" t="inlineStr">
        <is>
          <t>Calculated for you. Do not type over them — they contain formulas.</t>
        </is>
      </c>
    </row>
    <row r="26"/>
    <row r="27"/>
    <row r="28"/>
    <row r="29"/>
    <row r="30"/>
    <row r="31"/>
    <row r="32"/>
    <row r="33"/>
    <row r="34"/>
    <row r="35"/>
    <row r="36"/>
    <row r="37"/>
    <row r="38"/>
    <row r="39"/>
    <row r="40"/>
  </sheetData>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s>
  <sheetData>
    <row r="1" ht="25.5" customHeight="1" s="38">
      <c r="A1" s="44" t="inlineStr">
        <is>
          <t>Sigma level and DPMO</t>
        </is>
      </c>
    </row>
    <row r="2" ht="27.75" customHeight="1" s="38">
      <c r="A2" s="45" t="inlineStr">
        <is>
          <t>How good is this process, on the scale everyone in the quality world uses?</t>
        </is>
      </c>
    </row>
    <row r="3"/>
    <row r="4" ht="19.5" customHeight="1" s="38">
      <c r="A4" s="46" t="inlineStr">
        <is>
          <t>YOUR NUMBERS</t>
        </is>
      </c>
    </row>
    <row r="5" ht="33.75" customHeight="1" s="38">
      <c r="A5" s="47" t="inlineStr">
        <is>
          <t>Units handled (contacts)</t>
        </is>
      </c>
      <c r="B5" s="48" t="n">
        <v>120000</v>
      </c>
      <c r="D5" s="49" t="inlineStr">
        <is>
          <t>How many contacts or tickets you handled in the period. From your ticketing or phone platform.</t>
        </is>
      </c>
    </row>
    <row r="6" ht="60" customHeight="1" s="38">
      <c r="A6" s="47" t="inlineStr">
        <is>
          <t>Opportunities per unit</t>
        </is>
      </c>
      <c r="B6" s="50" t="n">
        <v>5</v>
      </c>
      <c r="D6" s="49" t="inlineStr">
        <is>
          <t>How many independent ways one contact can go wrong. In support, 4–8 is normal: routing, diagnosis, resolution accuracy, communication, timeliness, documentation. Fix this number once at programme level and never change it mid-project.</t>
        </is>
      </c>
    </row>
    <row r="7" ht="33.75" customHeight="1" s="38">
      <c r="A7" s="47" t="inlineStr">
        <is>
          <t>Defects observed</t>
        </is>
      </c>
      <c r="B7" s="48" t="n">
        <v>30400</v>
      </c>
      <c r="D7" s="49" t="inlineStr">
        <is>
          <t>Every defect in the period across all your defect types — reopens, transfers, SLA breaches, QA fails. One contact can carry several.</t>
        </is>
      </c>
    </row>
    <row r="8"/>
    <row r="9" ht="26" customHeight="1" s="38">
      <c r="A9" s="51" t="inlineStr">
        <is>
          <t>Defects per unit (DPU)</t>
        </is>
      </c>
      <c r="B9" s="52">
        <f>IFERROR(B7/B5,"")</f>
        <v/>
      </c>
      <c r="D9" s="87" t="inlineStr">
        <is>
          <t>DPU = defects per unit: how many things go wrong on the average contact. Above 1.0 the typical contact is carrying more than one defect.</t>
        </is>
      </c>
    </row>
    <row r="10" ht="39" customHeight="1" s="38">
      <c r="A10" s="51" t="inlineStr">
        <is>
          <t>Total opportunities</t>
        </is>
      </c>
      <c r="B10" s="53">
        <f>B5*B6</f>
        <v/>
      </c>
      <c r="D10" s="87" t="inlineStr">
        <is>
          <t>The denominator everything below is measured against. Change the opportunities-per-unit figure and every rate on this tab moves with it, which is why you fix it once and leave it.</t>
        </is>
      </c>
    </row>
    <row r="11" ht="39" customHeight="1" s="38">
      <c r="A11" s="51" t="inlineStr">
        <is>
          <t>Defects per opportunity (DPO)</t>
        </is>
      </c>
      <c r="B11" s="54">
        <f>IFERROR(B7/(B5*B6),"")</f>
        <v/>
      </c>
      <c r="D11" s="87" t="inlineStr">
        <is>
          <t>DPO = defects per opportunity: of all the chances to get something wrong, the share that actually went wrong. This is what the sigma scale is built on.</t>
        </is>
      </c>
    </row>
    <row r="12" ht="39" customHeight="1" s="38">
      <c r="A12" s="51" t="inlineStr">
        <is>
          <t>DPMO</t>
        </is>
      </c>
      <c r="B12" s="53">
        <f>IFERROR(B7/(B5*B6)*1000000,"")</f>
        <v/>
      </c>
      <c r="D12" s="87" t="inlineStr">
        <is>
          <t>DPMO = defects per million opportunities, the same figure scaled up so it stays readable. This is the one to quote — published benchmarks are all in DPMO.</t>
        </is>
      </c>
    </row>
    <row r="13" ht="39" customHeight="1" s="38">
      <c r="A13" s="51" t="inlineStr">
        <is>
          <t>Throughput yield</t>
        </is>
      </c>
      <c r="B13" s="55">
        <f>IFERROR(EXP(-B7/B5),"")</f>
        <v/>
      </c>
      <c r="D13" s="87" t="inlineStr">
        <is>
          <t>The share of contacts that get through with no defect at all — a customer's chance of a clean experience, which is usually a more sobering number than the sigma level.</t>
        </is>
      </c>
    </row>
    <row r="14" ht="26" customHeight="1" s="38">
      <c r="A14" s="51" t="inlineStr">
        <is>
          <t>Z from your data (long-term)</t>
        </is>
      </c>
      <c r="B14" s="56">
        <f>IFERROR(NORMSINV(1-B7/(B5*B6)),"")</f>
        <v/>
      </c>
      <c r="D14" s="87" t="inlineStr">
        <is>
          <t>Your process restated in standard deviations, with no shift added. Use this one when you compare yourself against your own history.</t>
        </is>
      </c>
    </row>
    <row r="15" ht="39" customHeight="1" s="38">
      <c r="A15" s="41" t="inlineStr">
        <is>
          <t>SIGMA LEVEL (with the 1.5 shift)</t>
        </is>
      </c>
      <c r="B15" s="57">
        <f>IFERROR(NORMSINV(1-B7/(B5*B6))+1.5,"")</f>
        <v/>
      </c>
      <c r="D15" s="87" t="inlineStr">
        <is>
          <t>The headline number, on the convention the industry quotes. It is 1.5 higher than the Z above by construction, so say which of the two you are reporting and never mix them.</t>
        </is>
      </c>
    </row>
    <row r="16"/>
    <row r="17" ht="39" customHeight="1" s="38">
      <c r="A17" s="58" t="inlineStr">
        <is>
          <t>The number quality tables quote includes a conventional 1.5 sigma shift, which exists because processes drift over the long run. Six sigma = 3.4 DPMO, five = 233, four = 6,210, three = 66,807. Say which convention you are using and never mix them in one report.</t>
        </is>
      </c>
    </row>
    <row r="18"/>
    <row r="19">
      <c r="A19" s="76" t="inlineStr">
        <is>
          <t>Your DPMO against the standard scale</t>
        </is>
      </c>
    </row>
    <row r="20">
      <c r="A20" s="37" t="inlineStr">
        <is>
          <t>2 sigma</t>
        </is>
      </c>
      <c r="B20" s="77" t="n">
        <v>308538</v>
      </c>
    </row>
    <row r="21">
      <c r="A21" s="37" t="inlineStr">
        <is>
          <t>3 sigma</t>
        </is>
      </c>
      <c r="B21" s="77" t="n">
        <v>66807</v>
      </c>
    </row>
    <row r="22" ht="44" customHeight="1" s="38">
      <c r="A22" s="37" t="inlineStr">
        <is>
          <t>4 sigma</t>
        </is>
      </c>
      <c r="B22" s="77" t="n">
        <v>6210</v>
      </c>
      <c r="D22" s="97" t="inlineStr">
        <is>
          <t>HOW TO READ IT.  A log-scaled ladder, so each sigma level is a step change rather than an increment. Your bar against the rungs is the whole message. Most support processes land between 3 and 4 sigma; treat 6 as a direction, not a target.
SO:  Read your rung, then set the target one step up rather than at 6 sigma. A single step is an order of magnitude in defects and is usually a year of work.</t>
        </is>
      </c>
    </row>
    <row r="23">
      <c r="A23" s="37" t="inlineStr">
        <is>
          <t>5 sigma</t>
        </is>
      </c>
      <c r="B23" s="77" t="n">
        <v>233</v>
      </c>
    </row>
    <row r="24">
      <c r="A24" s="37" t="inlineStr">
        <is>
          <t>6 sigma</t>
        </is>
      </c>
      <c r="B24" s="77" t="n">
        <v>3.4</v>
      </c>
    </row>
    <row r="25" ht="26" customHeight="1" s="38">
      <c r="A25" s="78" t="inlineStr">
        <is>
          <t>YOU</t>
        </is>
      </c>
      <c r="B25" s="79">
        <f>IFERROR(B12,"")</f>
        <v/>
      </c>
      <c r="D25" s="87" t="inlineStr">
        <is>
          <t>Where you land on the published ladder. Read the band you are actually in, not the one the rounded sigma level lets you claim.</t>
        </is>
      </c>
    </row>
    <row r="26"/>
    <row r="27"/>
    <row r="28"/>
    <row r="29"/>
    <row r="30"/>
    <row r="31"/>
    <row r="32"/>
    <row r="33"/>
    <row r="34"/>
    <row r="35"/>
    <row r="36"/>
    <row r="37"/>
    <row r="38"/>
    <row r="39"/>
    <row r="40"/>
  </sheetData>
  <mergeCells count="5">
    <mergeCell ref="A1:D1"/>
    <mergeCell ref="A17:D17"/>
    <mergeCell ref="A4:D4"/>
    <mergeCell ref="D22:L22"/>
    <mergeCell ref="A2:D2"/>
  </mergeCells>
  <dataValidations count="1">
    <dataValidation sqref="B6" showDropDown="0" showInputMessage="0" showErrorMessage="1" allowBlank="1" errorTitle="Check this number" error="Opportunities per unit must be at least 1." type="whole" operator="between">
      <formula1>1</formula1>
      <formula2>50</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s>
  <sheetData>
    <row r="1" ht="25.5" customHeight="1" s="38">
      <c r="A1" s="44" t="inlineStr">
        <is>
          <t>Do your QA analysts actually agree?</t>
        </is>
      </c>
    </row>
    <row r="2" ht="27.75" customHeight="1" s="38">
      <c r="A2" s="45" t="inlineStr">
        <is>
          <t>Two analysts scored the same calls. Kappa strips out the agreement you would get by pure luck.</t>
        </is>
      </c>
    </row>
    <row r="3"/>
    <row r="4" ht="19.5" customHeight="1" s="38">
      <c r="A4" s="46" t="inlineStr">
        <is>
          <t>COUNT HOW THE TWO ANALYSTS SCORED THE SAME SAMPLE</t>
        </is>
      </c>
    </row>
    <row r="5" ht="25.5" customHeight="1" s="38">
      <c r="A5" s="47" t="inlineStr">
        <is>
          <t>Both said PASS</t>
        </is>
      </c>
      <c r="B5" s="48" t="n">
        <v>38</v>
      </c>
      <c r="D5" s="49" t="inlineStr">
        <is>
          <t>Items both analysts passed.</t>
        </is>
      </c>
    </row>
    <row r="6" ht="25.5" customHeight="1" s="38">
      <c r="A6" s="47" t="inlineStr">
        <is>
          <t>A passed, B failed</t>
        </is>
      </c>
      <c r="B6" s="48" t="n">
        <v>9</v>
      </c>
      <c r="D6" s="49" t="inlineStr">
        <is>
          <t>Disagreements. These are the whole point of the study.</t>
        </is>
      </c>
    </row>
    <row r="7" ht="25.5" customHeight="1" s="38">
      <c r="A7" s="47" t="inlineStr">
        <is>
          <t>A failed, B passed</t>
        </is>
      </c>
      <c r="B7" s="48" t="n">
        <v>7</v>
      </c>
      <c r="D7" s="49" t="inlineStr">
        <is>
          <t>Disagreements the other way.</t>
        </is>
      </c>
    </row>
    <row r="8" ht="46.5" customHeight="1" s="38">
      <c r="A8" s="47" t="inlineStr">
        <is>
          <t>Both said FAIL</t>
        </is>
      </c>
      <c r="B8" s="48" t="n">
        <v>16</v>
      </c>
      <c r="D8" s="49" t="inlineStr">
        <is>
          <t>Items both analysts failed. DESIGN TIP: deliberately load your sample with failures and ambiguous cases. A random sample from a queue with a 95% pass rate has almost no power to detect disagreement.</t>
        </is>
      </c>
    </row>
    <row r="9"/>
    <row r="10" ht="26" customHeight="1" s="38">
      <c r="A10" s="51" t="inlineStr">
        <is>
          <t>Total items scored</t>
        </is>
      </c>
      <c r="B10" s="53">
        <f>SUM(B5:B8)</f>
        <v/>
      </c>
      <c r="D10" s="87" t="inlineStr">
        <is>
          <t>The size of the study. Below about 50 items kappa bounces around too much to act on, and below 30 it is not worth calculating.</t>
        </is>
      </c>
    </row>
    <row r="11" ht="39" customHeight="1" s="38">
      <c r="A11" s="51" t="inlineStr">
        <is>
          <t>They agreed on</t>
        </is>
      </c>
      <c r="B11" s="59">
        <f>IFERROR((B5+B8)/SUM(B5:B8),"")</f>
        <v/>
      </c>
      <c r="D11" s="87" t="inlineStr">
        <is>
          <t>Raw agreement — the share of items the two scored the same way. It flatters you badly: two analysts who pass everything agree 95% of the time while measuring nothing.</t>
        </is>
      </c>
    </row>
    <row r="12" ht="39" customHeight="1" s="38">
      <c r="A12" s="51" t="inlineStr">
        <is>
          <t>Agreement expected by luck alone</t>
        </is>
      </c>
      <c r="B12" s="59">
        <f>IFERROR(((B5+B6)/SUM(B5:B8))*((B5+B7)/SUM(B5:B8))+((B7+B8)/SUM(B5:B8))*((B6+B8)/SUM(B5:B8)),"")</f>
        <v/>
      </c>
      <c r="D12" s="87" t="inlineStr">
        <is>
          <t>What the two would have matched on by luck alone, given how often each says pass. The higher your pass rate the higher this is, which is exactly why raw agreement misleads.</t>
        </is>
      </c>
    </row>
    <row r="13" ht="39" customHeight="1" s="38">
      <c r="A13" s="41" t="inlineStr">
        <is>
          <t>COHEN'S KAPPA</t>
        </is>
      </c>
      <c r="B13" s="60">
        <f>IFERROR((B11-B12)/(1-B12),"")</f>
        <v/>
      </c>
      <c r="D13" s="87" t="inlineStr">
        <is>
          <t>Agreement with the luck stripped out: 0 is no better than guessing, 1 is perfect. This is the number to report, and it is always lower than the raw figure above.</t>
        </is>
      </c>
    </row>
    <row r="14" ht="25.5" customHeight="1" s="38">
      <c r="A14" s="47" t="inlineStr">
        <is>
          <t>Verdict</t>
        </is>
      </c>
      <c r="B14" s="61">
        <f>IF(B13="","",IF(B13&gt;0.9,"EXCELLENT — fit for purpose",IF(B13&gt;0.8,"GOOD — usable, fix the weakest rubric items",IF(B13&gt;0.6,"MARGINAL — aggregate analysis only, never individual performance management","UNACCEPTABLE — halt all use of this data until fixed"))))</f>
        <v/>
      </c>
      <c r="C14" s="62" t="n"/>
      <c r="D14" s="62" t="n"/>
    </row>
    <row r="15"/>
    <row r="16">
      <c r="A16" s="76" t="inlineStr">
        <is>
          <t>Your kappa against the usual bars</t>
        </is>
      </c>
    </row>
    <row r="17">
      <c r="A17" s="37" t="inlineStr">
        <is>
          <t>Unusable below</t>
        </is>
      </c>
      <c r="B17" s="80" t="n">
        <v>0.6</v>
      </c>
    </row>
    <row r="18">
      <c r="A18" s="37" t="inlineStr">
        <is>
          <t>Acceptable</t>
        </is>
      </c>
      <c r="B18" s="80" t="n">
        <v>0.8</v>
      </c>
    </row>
    <row r="19">
      <c r="A19" s="37" t="inlineStr">
        <is>
          <t>Good</t>
        </is>
      </c>
      <c r="B19" s="80" t="n">
        <v>0.9</v>
      </c>
    </row>
    <row r="20" ht="39" customHeight="1" s="38">
      <c r="A20" s="78" t="inlineStr">
        <is>
          <t>YOUR KAPPA</t>
        </is>
      </c>
      <c r="B20" s="81">
        <f>IFERROR(B13,"")</f>
        <v/>
      </c>
      <c r="D20" s="87" t="inlineStr">
        <is>
          <t>Your kappa against the bars everyone uses. Below 0.6 the scores are not a measurement system yet — fix the rubric and re-calibrate before anything is built on them.</t>
        </is>
      </c>
    </row>
    <row r="21"/>
    <row r="22" ht="55" customHeight="1" s="38">
      <c r="D22" s="97" t="inlineStr">
        <is>
          <t>HOW TO READ IT.  Kappa is agreement after chance is removed, which is why it is so much lower than the raw agreement percentage people quote. Below 0.4 the data cannot be used for individual performance management at all. Fix the rubric and re-run — improving the training rarely moves it.
SO:  Below 0.4, stop and rewrite the rubric — do not analyse the data you have and do not use it for individual performance management. Re-run the study on the new definitions and only then carry on.</t>
        </is>
      </c>
    </row>
    <row r="23"/>
    <row r="24"/>
    <row r="25"/>
    <row r="26"/>
    <row r="27"/>
    <row r="28"/>
    <row r="29"/>
    <row r="30"/>
    <row r="31"/>
    <row r="32"/>
    <row r="33"/>
    <row r="34"/>
    <row r="35"/>
    <row r="36"/>
    <row r="37"/>
    <row r="38"/>
    <row r="39"/>
    <row r="40"/>
  </sheetData>
  <mergeCells count="5">
    <mergeCell ref="A1:D1"/>
    <mergeCell ref="B14:D14"/>
    <mergeCell ref="A4:D4"/>
    <mergeCell ref="D22:L22"/>
    <mergeCell ref="A2:D2"/>
  </mergeCell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1"/>
  </sheetPr>
  <dimension ref="A1:M6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 width="13" customWidth="1" style="38" min="13" max="13"/>
  </cols>
  <sheetData>
    <row r="1" ht="25.5" customHeight="1" s="38">
      <c r="A1" s="44" t="inlineStr">
        <is>
          <t>Are you actually capable of hitting your SLA?</t>
        </is>
      </c>
    </row>
    <row r="2" ht="27.75" customHeight="1" s="38">
      <c r="A2" s="45" t="inlineStr">
        <is>
          <t>Compares how your process behaves against what you promised the customer.</t>
        </is>
      </c>
    </row>
    <row r="3"/>
    <row r="4" ht="19.5" customHeight="1" s="38">
      <c r="A4" s="46" t="inlineStr">
        <is>
          <t>YOUR NUMBERS</t>
        </is>
      </c>
    </row>
    <row r="5" ht="46.5" customHeight="1" s="38">
      <c r="A5" s="47" t="inlineStr">
        <is>
          <t>SLA limit (hours)</t>
        </is>
      </c>
      <c r="B5" s="63" t="n">
        <v>4</v>
      </c>
      <c r="D5" s="49" t="inlineStr">
        <is>
          <t>Your committed response or resolution time. From your published SLA or contract. Check whether the clock can be paused — any clock that can be paused will be.</t>
        </is>
      </c>
    </row>
    <row r="6" ht="25.5" customHeight="1" s="38">
      <c r="A6" s="47" t="inlineStr">
        <is>
          <t>Average actual (hours)</t>
        </is>
      </c>
      <c r="B6" s="64" t="n">
        <v>2.6</v>
      </c>
      <c r="D6" s="49" t="inlineStr">
        <is>
          <t>Mean of your actual times over at least 13 weeks, from your ticketing system.</t>
        </is>
      </c>
    </row>
    <row r="7" ht="33.75" customHeight="1" s="38">
      <c r="A7" s="47" t="inlineStr">
        <is>
          <t>Standard deviation (hours)</t>
        </is>
      </c>
      <c r="B7" s="64" t="n">
        <v>1.1</v>
      </c>
      <c r="D7" s="49" t="inlineStr">
        <is>
          <t>How spread out your times are. In a spreadsheet: =STDEV(range) over the same extract. Use the overall standard deviation across all your data.</t>
        </is>
      </c>
    </row>
    <row r="8"/>
    <row r="9" ht="39" customHeight="1" s="38">
      <c r="A9" s="51" t="inlineStr">
        <is>
          <t>Headroom to the limit</t>
        </is>
      </c>
      <c r="B9" s="56">
        <f>B5-B6</f>
        <v/>
      </c>
      <c r="D9" s="87" t="inlineStr">
        <is>
          <t>SLA = service level agreement. How far the average sits below what you promised, in hours. Negative means the average contact already breaches and no amount of tuning will save it.</t>
        </is>
      </c>
    </row>
    <row r="10" ht="39" customHeight="1" s="38">
      <c r="A10" s="51" t="inlineStr">
        <is>
          <t>Three standard deviations</t>
        </is>
      </c>
      <c r="B10" s="56">
        <f>3*B7</f>
        <v/>
      </c>
      <c r="D10" s="87" t="inlineStr">
        <is>
          <t>The width of your process, in the units of your promise. Compare it with the headroom above: if it is the larger of the two, you are manufacturing breaches.</t>
        </is>
      </c>
    </row>
    <row r="11" ht="39" customHeight="1" s="38">
      <c r="A11" s="51" t="inlineStr">
        <is>
          <t>Z-score at the limit</t>
        </is>
      </c>
      <c r="B11" s="56">
        <f>IFERROR((B5-B6)/B7,"")</f>
        <v/>
      </c>
      <c r="D11" s="87" t="inlineStr">
        <is>
          <t>Your headroom counted in standard deviations. Around 3 or more is a process that breaches rarely; around 1 is one that breaches most weeks.</t>
        </is>
      </c>
    </row>
    <row r="12" ht="39" customHeight="1" s="38">
      <c r="A12" s="51" t="inlineStr">
        <is>
          <t>Share of contacts that breach</t>
        </is>
      </c>
      <c r="B12" s="55">
        <f>IFERROR(1-NORMSDIST((B5-B6)/B7),"")</f>
        <v/>
      </c>
      <c r="D12" s="87" t="inlineStr">
        <is>
          <t>The breach rate this model expects. Treat it as a floor — support durations have a long right tail, so the real rate is normally higher than this, sometimes much higher.</t>
        </is>
      </c>
    </row>
    <row r="13" ht="39" customHeight="1" s="38">
      <c r="A13" s="41" t="inlineStr">
        <is>
          <t>CAPABILITY (Ppu)</t>
        </is>
      </c>
      <c r="B13" s="57">
        <f>IFERROR((B5-B6)/(3*B7),"")</f>
        <v/>
      </c>
      <c r="D13" s="87" t="inlineStr">
        <is>
          <t>Ppu = one-sided process performance: headroom divided by spread. 1.33 is the usual bar for 'capable'; below 1.0 customers notice. It says nothing about whether the promise was sane.</t>
        </is>
      </c>
    </row>
    <row r="14"/>
    <row r="15" ht="51.75" customHeight="1" s="38">
      <c r="A15" s="58" t="inlineStr">
        <is>
          <t>1.33 or above is the usual 'capable' bar. Below 1.0 you are breaching often enough for customers to notice. IMPORTANT: this assumes a normal bell curve. Real support duration data is right-skewed with a much heavier tail, so your true breach rate is usually HIGHER than this — often substantially. Transform your data or fit a lognormal before you quote a breach rate to anyone.</t>
        </is>
      </c>
    </row>
    <row r="16"/>
    <row r="17" ht="15" customHeight="1" s="38">
      <c r="A17" s="47" t="inlineStr">
        <is>
          <t>Verdict</t>
        </is>
      </c>
      <c r="B17" s="61">
        <f>IF(B13="","",IF(B13&gt;=1.33,"CAPABLE",IF(B13&gt;=1,"MARGINAL — customers notice","NOT CAPABLE — you are producing breaches")))</f>
        <v/>
      </c>
      <c r="C17" s="62" t="n"/>
      <c r="D17" s="62" t="n"/>
    </row>
    <row r="18"/>
    <row r="19">
      <c r="A19" s="76" t="inlineStr">
        <is>
          <t>Your resolution-time distribution against the SLA limit</t>
        </is>
      </c>
    </row>
    <row r="20" ht="52" customHeight="1" s="38">
      <c r="A20" s="87" t="inlineStr">
        <is>
          <t>Everything below is drawn by formula from the three numbers you typed above — there is nothing here to fill in. HOURS runs from four standard deviations below your average to four above. HOW OFTEN is the height of the curve at that point: a relative frequency, not a count of contacts. SLA LIMIT MARKER is deliberately blank on every row but the one your limit falls on — that single point is what draws the red line, and it moves when you change the limit.</t>
        </is>
      </c>
    </row>
    <row r="21">
      <c r="A21" s="94" t="inlineStr">
        <is>
          <t>Hours</t>
        </is>
      </c>
      <c r="B21" s="95" t="inlineStr">
        <is>
          <t>How often</t>
        </is>
      </c>
      <c r="C21" s="95" t="inlineStr">
        <is>
          <t>SLA limit marker</t>
        </is>
      </c>
    </row>
    <row r="22">
      <c r="A22" s="81">
        <f>MAX(0,$B$6-4*$B$7)+(0/40)*(8*$B$7)</f>
        <v/>
      </c>
      <c r="B22" s="82">
        <f>IFERROR(NORMDIST(A22,$B$6,$B$7,FALSE),"")</f>
        <v/>
      </c>
      <c r="C22" s="82">
        <f>IF(ABS(A22-$B$5)&lt;=(8*$B$7)/80,MAX($B$22:$B$62),NA())</f>
        <v/>
      </c>
    </row>
    <row r="23">
      <c r="A23" s="81">
        <f>MAX(0,$B$6-4*$B$7)+(1/40)*(8*$B$7)</f>
        <v/>
      </c>
      <c r="B23" s="82">
        <f>IFERROR(NORMDIST(A23,$B$6,$B$7,FALSE),"")</f>
        <v/>
      </c>
      <c r="C23" s="82">
        <f>IF(ABS(A23-$B$5)&lt;=(8*$B$7)/80,MAX($B$22:$B$62),NA())</f>
        <v/>
      </c>
    </row>
    <row r="24" ht="66" customHeight="1" s="38">
      <c r="A24" s="81">
        <f>MAX(0,$B$6-4*$B$7)+(2/40)*(8*$B$7)</f>
        <v/>
      </c>
      <c r="B24" s="82">
        <f>IFERROR(NORMDIST(A24,$B$6,$B$7,FALSE),"")</f>
        <v/>
      </c>
      <c r="C24" s="82">
        <f>IF(ABS(A24-$B$5)&lt;=(8*$B$7)/80,MAX($B$22:$B$62),NA())</f>
        <v/>
      </c>
      <c r="E24" s="97" t="inlineStr">
        <is>
          <t>HOW TO READ IT.  The red line is your SLA limit; everything to the right of it is a contact you missed. The verdict cell reads the capability index, not this picture, but the picture is what makes the index mean something — a long right tail past the line is the promise you are actually breaking.
SO:  Read the verdict cell, then act on the tail rather than the average. Pulling the mean in leaves the breaches where they are; narrowing the spread is what moves the area past the line.</t>
        </is>
      </c>
    </row>
    <row r="25">
      <c r="A25" s="81">
        <f>MAX(0,$B$6-4*$B$7)+(3/40)*(8*$B$7)</f>
        <v/>
      </c>
      <c r="B25" s="82">
        <f>IFERROR(NORMDIST(A25,$B$6,$B$7,FALSE),"")</f>
        <v/>
      </c>
      <c r="C25" s="82">
        <f>IF(ABS(A25-$B$5)&lt;=(8*$B$7)/80,MAX($B$22:$B$62),NA())</f>
        <v/>
      </c>
    </row>
    <row r="26">
      <c r="A26" s="81">
        <f>MAX(0,$B$6-4*$B$7)+(4/40)*(8*$B$7)</f>
        <v/>
      </c>
      <c r="B26" s="82">
        <f>IFERROR(NORMDIST(A26,$B$6,$B$7,FALSE),"")</f>
        <v/>
      </c>
      <c r="C26" s="82">
        <f>IF(ABS(A26-$B$5)&lt;=(8*$B$7)/80,MAX($B$22:$B$62),NA())</f>
        <v/>
      </c>
    </row>
    <row r="27">
      <c r="A27" s="81">
        <f>MAX(0,$B$6-4*$B$7)+(5/40)*(8*$B$7)</f>
        <v/>
      </c>
      <c r="B27" s="82">
        <f>IFERROR(NORMDIST(A27,$B$6,$B$7,FALSE),"")</f>
        <v/>
      </c>
      <c r="C27" s="82">
        <f>IF(ABS(A27-$B$5)&lt;=(8*$B$7)/80,MAX($B$22:$B$62),NA())</f>
        <v/>
      </c>
    </row>
    <row r="28">
      <c r="A28" s="81">
        <f>MAX(0,$B$6-4*$B$7)+(6/40)*(8*$B$7)</f>
        <v/>
      </c>
      <c r="B28" s="82">
        <f>IFERROR(NORMDIST(A28,$B$6,$B$7,FALSE),"")</f>
        <v/>
      </c>
      <c r="C28" s="82">
        <f>IF(ABS(A28-$B$5)&lt;=(8*$B$7)/80,MAX($B$22:$B$62),NA())</f>
        <v/>
      </c>
    </row>
    <row r="29">
      <c r="A29" s="81">
        <f>MAX(0,$B$6-4*$B$7)+(7/40)*(8*$B$7)</f>
        <v/>
      </c>
      <c r="B29" s="82">
        <f>IFERROR(NORMDIST(A29,$B$6,$B$7,FALSE),"")</f>
        <v/>
      </c>
      <c r="C29" s="82">
        <f>IF(ABS(A29-$B$5)&lt;=(8*$B$7)/80,MAX($B$22:$B$62),NA())</f>
        <v/>
      </c>
    </row>
    <row r="30">
      <c r="A30" s="81">
        <f>MAX(0,$B$6-4*$B$7)+(8/40)*(8*$B$7)</f>
        <v/>
      </c>
      <c r="B30" s="82">
        <f>IFERROR(NORMDIST(A30,$B$6,$B$7,FALSE),"")</f>
        <v/>
      </c>
      <c r="C30" s="82">
        <f>IF(ABS(A30-$B$5)&lt;=(8*$B$7)/80,MAX($B$22:$B$62),NA())</f>
        <v/>
      </c>
    </row>
    <row r="31">
      <c r="A31" s="81">
        <f>MAX(0,$B$6-4*$B$7)+(9/40)*(8*$B$7)</f>
        <v/>
      </c>
      <c r="B31" s="82">
        <f>IFERROR(NORMDIST(A31,$B$6,$B$7,FALSE),"")</f>
        <v/>
      </c>
      <c r="C31" s="82">
        <f>IF(ABS(A31-$B$5)&lt;=(8*$B$7)/80,MAX($B$22:$B$62),NA())</f>
        <v/>
      </c>
    </row>
    <row r="32">
      <c r="A32" s="81">
        <f>MAX(0,$B$6-4*$B$7)+(10/40)*(8*$B$7)</f>
        <v/>
      </c>
      <c r="B32" s="82">
        <f>IFERROR(NORMDIST(A32,$B$6,$B$7,FALSE),"")</f>
        <v/>
      </c>
      <c r="C32" s="82">
        <f>IF(ABS(A32-$B$5)&lt;=(8*$B$7)/80,MAX($B$22:$B$62),NA())</f>
        <v/>
      </c>
    </row>
    <row r="33">
      <c r="A33" s="81">
        <f>MAX(0,$B$6-4*$B$7)+(11/40)*(8*$B$7)</f>
        <v/>
      </c>
      <c r="B33" s="82">
        <f>IFERROR(NORMDIST(A33,$B$6,$B$7,FALSE),"")</f>
        <v/>
      </c>
      <c r="C33" s="82">
        <f>IF(ABS(A33-$B$5)&lt;=(8*$B$7)/80,MAX($B$22:$B$62),NA())</f>
        <v/>
      </c>
    </row>
    <row r="34">
      <c r="A34" s="81">
        <f>MAX(0,$B$6-4*$B$7)+(12/40)*(8*$B$7)</f>
        <v/>
      </c>
      <c r="B34" s="82">
        <f>IFERROR(NORMDIST(A34,$B$6,$B$7,FALSE),"")</f>
        <v/>
      </c>
      <c r="C34" s="82">
        <f>IF(ABS(A34-$B$5)&lt;=(8*$B$7)/80,MAX($B$22:$B$62),NA())</f>
        <v/>
      </c>
    </row>
    <row r="35">
      <c r="A35" s="81">
        <f>MAX(0,$B$6-4*$B$7)+(13/40)*(8*$B$7)</f>
        <v/>
      </c>
      <c r="B35" s="82">
        <f>IFERROR(NORMDIST(A35,$B$6,$B$7,FALSE),"")</f>
        <v/>
      </c>
      <c r="C35" s="82">
        <f>IF(ABS(A35-$B$5)&lt;=(8*$B$7)/80,MAX($B$22:$B$62),NA())</f>
        <v/>
      </c>
    </row>
    <row r="36">
      <c r="A36" s="81">
        <f>MAX(0,$B$6-4*$B$7)+(14/40)*(8*$B$7)</f>
        <v/>
      </c>
      <c r="B36" s="82">
        <f>IFERROR(NORMDIST(A36,$B$6,$B$7,FALSE),"")</f>
        <v/>
      </c>
      <c r="C36" s="82">
        <f>IF(ABS(A36-$B$5)&lt;=(8*$B$7)/80,MAX($B$22:$B$62),NA())</f>
        <v/>
      </c>
    </row>
    <row r="37">
      <c r="A37" s="81">
        <f>MAX(0,$B$6-4*$B$7)+(15/40)*(8*$B$7)</f>
        <v/>
      </c>
      <c r="B37" s="82">
        <f>IFERROR(NORMDIST(A37,$B$6,$B$7,FALSE),"")</f>
        <v/>
      </c>
      <c r="C37" s="82">
        <f>IF(ABS(A37-$B$5)&lt;=(8*$B$7)/80,MAX($B$22:$B$62),NA())</f>
        <v/>
      </c>
    </row>
    <row r="38">
      <c r="A38" s="81">
        <f>MAX(0,$B$6-4*$B$7)+(16/40)*(8*$B$7)</f>
        <v/>
      </c>
      <c r="B38" s="82">
        <f>IFERROR(NORMDIST(A38,$B$6,$B$7,FALSE),"")</f>
        <v/>
      </c>
      <c r="C38" s="82">
        <f>IF(ABS(A38-$B$5)&lt;=(8*$B$7)/80,MAX($B$22:$B$62),NA())</f>
        <v/>
      </c>
    </row>
    <row r="39">
      <c r="A39" s="81">
        <f>MAX(0,$B$6-4*$B$7)+(17/40)*(8*$B$7)</f>
        <v/>
      </c>
      <c r="B39" s="82">
        <f>IFERROR(NORMDIST(A39,$B$6,$B$7,FALSE),"")</f>
        <v/>
      </c>
      <c r="C39" s="82">
        <f>IF(ABS(A39-$B$5)&lt;=(8*$B$7)/80,MAX($B$22:$B$62),NA())</f>
        <v/>
      </c>
    </row>
    <row r="40">
      <c r="A40" s="81">
        <f>MAX(0,$B$6-4*$B$7)+(18/40)*(8*$B$7)</f>
        <v/>
      </c>
      <c r="B40" s="82">
        <f>IFERROR(NORMDIST(A40,$B$6,$B$7,FALSE),"")</f>
        <v/>
      </c>
      <c r="C40" s="82">
        <f>IF(ABS(A40-$B$5)&lt;=(8*$B$7)/80,MAX($B$22:$B$62),NA())</f>
        <v/>
      </c>
    </row>
    <row r="41">
      <c r="A41" s="81">
        <f>MAX(0,$B$6-4*$B$7)+(19/40)*(8*$B$7)</f>
        <v/>
      </c>
      <c r="B41" s="82">
        <f>IFERROR(NORMDIST(A41,$B$6,$B$7,FALSE),"")</f>
        <v/>
      </c>
      <c r="C41" s="82">
        <f>IF(ABS(A41-$B$5)&lt;=(8*$B$7)/80,MAX($B$22:$B$62),NA())</f>
        <v/>
      </c>
    </row>
    <row r="42">
      <c r="A42" s="81">
        <f>MAX(0,$B$6-4*$B$7)+(20/40)*(8*$B$7)</f>
        <v/>
      </c>
      <c r="B42" s="82">
        <f>IFERROR(NORMDIST(A42,$B$6,$B$7,FALSE),"")</f>
        <v/>
      </c>
      <c r="C42" s="82">
        <f>IF(ABS(A42-$B$5)&lt;=(8*$B$7)/80,MAX($B$22:$B$62),NA())</f>
        <v/>
      </c>
    </row>
    <row r="43">
      <c r="A43" s="81">
        <f>MAX(0,$B$6-4*$B$7)+(21/40)*(8*$B$7)</f>
        <v/>
      </c>
      <c r="B43" s="82">
        <f>IFERROR(NORMDIST(A43,$B$6,$B$7,FALSE),"")</f>
        <v/>
      </c>
      <c r="C43" s="82">
        <f>IF(ABS(A43-$B$5)&lt;=(8*$B$7)/80,MAX($B$22:$B$62),NA())</f>
        <v/>
      </c>
    </row>
    <row r="44">
      <c r="A44" s="81">
        <f>MAX(0,$B$6-4*$B$7)+(22/40)*(8*$B$7)</f>
        <v/>
      </c>
      <c r="B44" s="82">
        <f>IFERROR(NORMDIST(A44,$B$6,$B$7,FALSE),"")</f>
        <v/>
      </c>
      <c r="C44" s="82">
        <f>IF(ABS(A44-$B$5)&lt;=(8*$B$7)/80,MAX($B$22:$B$62),NA())</f>
        <v/>
      </c>
    </row>
    <row r="45">
      <c r="A45" s="81">
        <f>MAX(0,$B$6-4*$B$7)+(23/40)*(8*$B$7)</f>
        <v/>
      </c>
      <c r="B45" s="82">
        <f>IFERROR(NORMDIST(A45,$B$6,$B$7,FALSE),"")</f>
        <v/>
      </c>
      <c r="C45" s="82">
        <f>IF(ABS(A45-$B$5)&lt;=(8*$B$7)/80,MAX($B$22:$B$62),NA())</f>
        <v/>
      </c>
    </row>
    <row r="46">
      <c r="A46" s="81">
        <f>MAX(0,$B$6-4*$B$7)+(24/40)*(8*$B$7)</f>
        <v/>
      </c>
      <c r="B46" s="82">
        <f>IFERROR(NORMDIST(A46,$B$6,$B$7,FALSE),"")</f>
        <v/>
      </c>
      <c r="C46" s="82">
        <f>IF(ABS(A46-$B$5)&lt;=(8*$B$7)/80,MAX($B$22:$B$62),NA())</f>
        <v/>
      </c>
    </row>
    <row r="47">
      <c r="A47" s="81">
        <f>MAX(0,$B$6-4*$B$7)+(25/40)*(8*$B$7)</f>
        <v/>
      </c>
      <c r="B47" s="82">
        <f>IFERROR(NORMDIST(A47,$B$6,$B$7,FALSE),"")</f>
        <v/>
      </c>
      <c r="C47" s="82">
        <f>IF(ABS(A47-$B$5)&lt;=(8*$B$7)/80,MAX($B$22:$B$62),NA())</f>
        <v/>
      </c>
    </row>
    <row r="48">
      <c r="A48" s="81">
        <f>MAX(0,$B$6-4*$B$7)+(26/40)*(8*$B$7)</f>
        <v/>
      </c>
      <c r="B48" s="82">
        <f>IFERROR(NORMDIST(A48,$B$6,$B$7,FALSE),"")</f>
        <v/>
      </c>
      <c r="C48" s="82">
        <f>IF(ABS(A48-$B$5)&lt;=(8*$B$7)/80,MAX($B$22:$B$62),NA())</f>
        <v/>
      </c>
    </row>
    <row r="49">
      <c r="A49" s="81">
        <f>MAX(0,$B$6-4*$B$7)+(27/40)*(8*$B$7)</f>
        <v/>
      </c>
      <c r="B49" s="82">
        <f>IFERROR(NORMDIST(A49,$B$6,$B$7,FALSE),"")</f>
        <v/>
      </c>
      <c r="C49" s="82">
        <f>IF(ABS(A49-$B$5)&lt;=(8*$B$7)/80,MAX($B$22:$B$62),NA())</f>
        <v/>
      </c>
    </row>
    <row r="50">
      <c r="A50" s="81">
        <f>MAX(0,$B$6-4*$B$7)+(28/40)*(8*$B$7)</f>
        <v/>
      </c>
      <c r="B50" s="82">
        <f>IFERROR(NORMDIST(A50,$B$6,$B$7,FALSE),"")</f>
        <v/>
      </c>
      <c r="C50" s="82">
        <f>IF(ABS(A50-$B$5)&lt;=(8*$B$7)/80,MAX($B$22:$B$62),NA())</f>
        <v/>
      </c>
    </row>
    <row r="51">
      <c r="A51" s="81">
        <f>MAX(0,$B$6-4*$B$7)+(29/40)*(8*$B$7)</f>
        <v/>
      </c>
      <c r="B51" s="82">
        <f>IFERROR(NORMDIST(A51,$B$6,$B$7,FALSE),"")</f>
        <v/>
      </c>
      <c r="C51" s="82">
        <f>IF(ABS(A51-$B$5)&lt;=(8*$B$7)/80,MAX($B$22:$B$62),NA())</f>
        <v/>
      </c>
    </row>
    <row r="52">
      <c r="A52" s="81">
        <f>MAX(0,$B$6-4*$B$7)+(30/40)*(8*$B$7)</f>
        <v/>
      </c>
      <c r="B52" s="82">
        <f>IFERROR(NORMDIST(A52,$B$6,$B$7,FALSE),"")</f>
        <v/>
      </c>
      <c r="C52" s="82">
        <f>IF(ABS(A52-$B$5)&lt;=(8*$B$7)/80,MAX($B$22:$B$62),NA())</f>
        <v/>
      </c>
    </row>
    <row r="53">
      <c r="A53" s="81">
        <f>MAX(0,$B$6-4*$B$7)+(31/40)*(8*$B$7)</f>
        <v/>
      </c>
      <c r="B53" s="82">
        <f>IFERROR(NORMDIST(A53,$B$6,$B$7,FALSE),"")</f>
        <v/>
      </c>
      <c r="C53" s="82">
        <f>IF(ABS(A53-$B$5)&lt;=(8*$B$7)/80,MAX($B$22:$B$62),NA())</f>
        <v/>
      </c>
    </row>
    <row r="54">
      <c r="A54" s="81">
        <f>MAX(0,$B$6-4*$B$7)+(32/40)*(8*$B$7)</f>
        <v/>
      </c>
      <c r="B54" s="82">
        <f>IFERROR(NORMDIST(A54,$B$6,$B$7,FALSE),"")</f>
        <v/>
      </c>
      <c r="C54" s="82">
        <f>IF(ABS(A54-$B$5)&lt;=(8*$B$7)/80,MAX($B$22:$B$62),NA())</f>
        <v/>
      </c>
    </row>
    <row r="55">
      <c r="A55" s="81">
        <f>MAX(0,$B$6-4*$B$7)+(33/40)*(8*$B$7)</f>
        <v/>
      </c>
      <c r="B55" s="82">
        <f>IFERROR(NORMDIST(A55,$B$6,$B$7,FALSE),"")</f>
        <v/>
      </c>
      <c r="C55" s="82">
        <f>IF(ABS(A55-$B$5)&lt;=(8*$B$7)/80,MAX($B$22:$B$62),NA())</f>
        <v/>
      </c>
    </row>
    <row r="56">
      <c r="A56" s="81">
        <f>MAX(0,$B$6-4*$B$7)+(34/40)*(8*$B$7)</f>
        <v/>
      </c>
      <c r="B56" s="82">
        <f>IFERROR(NORMDIST(A56,$B$6,$B$7,FALSE),"")</f>
        <v/>
      </c>
      <c r="C56" s="82">
        <f>IF(ABS(A56-$B$5)&lt;=(8*$B$7)/80,MAX($B$22:$B$62),NA())</f>
        <v/>
      </c>
    </row>
    <row r="57">
      <c r="A57" s="81">
        <f>MAX(0,$B$6-4*$B$7)+(35/40)*(8*$B$7)</f>
        <v/>
      </c>
      <c r="B57" s="82">
        <f>IFERROR(NORMDIST(A57,$B$6,$B$7,FALSE),"")</f>
        <v/>
      </c>
      <c r="C57" s="82">
        <f>IF(ABS(A57-$B$5)&lt;=(8*$B$7)/80,MAX($B$22:$B$62),NA())</f>
        <v/>
      </c>
    </row>
    <row r="58">
      <c r="A58" s="81">
        <f>MAX(0,$B$6-4*$B$7)+(36/40)*(8*$B$7)</f>
        <v/>
      </c>
      <c r="B58" s="82">
        <f>IFERROR(NORMDIST(A58,$B$6,$B$7,FALSE),"")</f>
        <v/>
      </c>
      <c r="C58" s="82">
        <f>IF(ABS(A58-$B$5)&lt;=(8*$B$7)/80,MAX($B$22:$B$62),NA())</f>
        <v/>
      </c>
    </row>
    <row r="59">
      <c r="A59" s="81">
        <f>MAX(0,$B$6-4*$B$7)+(37/40)*(8*$B$7)</f>
        <v/>
      </c>
      <c r="B59" s="82">
        <f>IFERROR(NORMDIST(A59,$B$6,$B$7,FALSE),"")</f>
        <v/>
      </c>
      <c r="C59" s="82">
        <f>IF(ABS(A59-$B$5)&lt;=(8*$B$7)/80,MAX($B$22:$B$62),NA())</f>
        <v/>
      </c>
    </row>
    <row r="60">
      <c r="A60" s="81">
        <f>MAX(0,$B$6-4*$B$7)+(38/40)*(8*$B$7)</f>
        <v/>
      </c>
      <c r="B60" s="82">
        <f>IFERROR(NORMDIST(A60,$B$6,$B$7,FALSE),"")</f>
        <v/>
      </c>
      <c r="C60" s="82">
        <f>IF(ABS(A60-$B$5)&lt;=(8*$B$7)/80,MAX($B$22:$B$62),NA())</f>
        <v/>
      </c>
    </row>
    <row r="61">
      <c r="A61" s="81">
        <f>MAX(0,$B$6-4*$B$7)+(39/40)*(8*$B$7)</f>
        <v/>
      </c>
      <c r="B61" s="82">
        <f>IFERROR(NORMDIST(A61,$B$6,$B$7,FALSE),"")</f>
        <v/>
      </c>
      <c r="C61" s="82">
        <f>IF(ABS(A61-$B$5)&lt;=(8*$B$7)/80,MAX($B$22:$B$62),NA())</f>
        <v/>
      </c>
    </row>
    <row r="62">
      <c r="A62" s="81">
        <f>MAX(0,$B$6-4*$B$7)+(40/40)*(8*$B$7)</f>
        <v/>
      </c>
      <c r="B62" s="82">
        <f>IFERROR(NORMDIST(A62,$B$6,$B$7,FALSE),"")</f>
        <v/>
      </c>
      <c r="C62" s="82">
        <f>IF(ABS(A62-$B$5)&lt;=(8*$B$7)/80,MAX($B$22:$B$62),NA())</f>
        <v/>
      </c>
    </row>
  </sheetData>
  <mergeCells count="7">
    <mergeCell ref="A1:D1"/>
    <mergeCell ref="E24:M24"/>
    <mergeCell ref="A4:D4"/>
    <mergeCell ref="A20:D20"/>
    <mergeCell ref="B17:D17"/>
    <mergeCell ref="A15:D15"/>
    <mergeCell ref="A2:D2"/>
  </mergeCells>
  <dataValidations count="1">
    <dataValidation sqref="B7" showDropDown="0" showInputMessage="0" showErrorMessage="1" allowBlank="1" errorTitle="Check this number" error="Standard deviation must be greater than zero." type="decimal" operator="between">
      <formula1>0.0000001</formula1>
      <formula2>100000</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s>
  <sheetData>
    <row r="1" ht="25.5" customHeight="1" s="38">
      <c r="A1" s="44" t="inlineStr">
        <is>
          <t>Backlog, closing rate and how long customers wait</t>
        </is>
      </c>
    </row>
    <row r="2" ht="27.75" customHeight="1" s="38">
      <c r="A2" s="45" t="inlineStr">
        <is>
          <t>Little's Law. It is arithmetic, not a theory — it cannot be argued with.</t>
        </is>
      </c>
    </row>
    <row r="3"/>
    <row r="4" ht="19.5" customHeight="1" s="38">
      <c r="A4" s="46" t="inlineStr">
        <is>
          <t>YOUR NUMBERS</t>
        </is>
      </c>
    </row>
    <row r="5" ht="33.75" customHeight="1" s="38">
      <c r="A5" s="47" t="inlineStr">
        <is>
          <t>Open tickets right now</t>
        </is>
      </c>
      <c r="B5" s="48" t="n">
        <v>4200</v>
      </c>
      <c r="D5" s="49" t="inlineStr">
        <is>
          <t>Live count from your ticketing system. Take it at the same time of day each time — backlog has an intraday shape.</t>
        </is>
      </c>
    </row>
    <row r="6" ht="33.75" customHeight="1" s="38">
      <c r="A6" s="47" t="inlineStr">
        <is>
          <t>Tickets closed per day</t>
        </is>
      </c>
      <c r="B6" s="48" t="n">
        <v>1100</v>
      </c>
      <c r="D6" s="49" t="inlineStr">
        <is>
          <t>Average daily closing rate over a stable period — one where arrivals roughly matched departures.</t>
        </is>
      </c>
    </row>
    <row r="7" ht="25.5" customHeight="1" s="38">
      <c r="A7" s="47" t="inlineStr">
        <is>
          <t>Target lead time (days)</t>
        </is>
      </c>
      <c r="B7" s="63" t="n">
        <v>2</v>
      </c>
      <c r="D7" s="49" t="inlineStr">
        <is>
          <t>How long you want customers to wait.</t>
        </is>
      </c>
    </row>
    <row r="8"/>
    <row r="9" ht="39" customHeight="1" s="38">
      <c r="A9" s="51" t="inlineStr">
        <is>
          <t>Average lead time today (days)</t>
        </is>
      </c>
      <c r="B9" s="56">
        <f>IFERROR(B5/B6,"")</f>
        <v/>
      </c>
      <c r="D9" s="87" t="inlineStr">
        <is>
          <t>How long the average customer waits, given the backlog you hold and the rate you close at. Headcount and effort are not in this calculation, and cannot be argued into it.</t>
        </is>
      </c>
    </row>
    <row r="10" ht="26" customHeight="1" s="38">
      <c r="A10" s="51" t="inlineStr">
        <is>
          <t>In hours</t>
        </is>
      </c>
      <c r="B10" s="65">
        <f>IFERROR(B5/B6*24,"")</f>
        <v/>
      </c>
      <c r="D10" s="87" t="inlineStr">
        <is>
          <t>The same wait in hours, which is usually the unit your SLA and your customers speak in.</t>
        </is>
      </c>
    </row>
    <row r="11" ht="39" customHeight="1" s="38">
      <c r="A11" s="51" t="inlineStr">
        <is>
          <t>Backlog cap needed to hit your target</t>
        </is>
      </c>
      <c r="B11" s="53">
        <f>B6*B7</f>
        <v/>
      </c>
      <c r="D11" s="87" t="inlineStr">
        <is>
          <t>The most open work you can hold and still deliver the target wait. This is your work-in-progress limit — enforce it in the tool, because a limit in a document is a suggestion.</t>
        </is>
      </c>
    </row>
    <row r="12" ht="39" customHeight="1" s="38">
      <c r="A12" s="41" t="inlineStr">
        <is>
          <t>Backlog you must remove</t>
        </is>
      </c>
      <c r="B12" s="66">
        <f>MAX(0,B5-B6*B7)</f>
        <v/>
      </c>
      <c r="D12" s="87" t="inlineStr">
        <is>
          <t>The one-off clear-down that has to happen before the cap can hold. Plan it as a separate push with a start and an end date, or the limit gets abandoned in week one.</t>
        </is>
      </c>
    </row>
    <row r="13"/>
    <row r="14" ht="25.5" customHeight="1" s="38">
      <c r="A14" s="58" t="inlineStr">
        <is>
          <t>If your closing rate is fixed and you want shorter waits, you must cap the open work. There is no third option. Switch from pushing work to letting agents pull it, and enforce a limit on how many tickets one agent can hold at a time.</t>
        </is>
      </c>
    </row>
    <row r="15"/>
    <row r="16">
      <c r="A16" s="76" t="inlineStr">
        <is>
          <t>Lead time: today against your target</t>
        </is>
      </c>
    </row>
    <row r="17" ht="13" customHeight="1" s="38">
      <c r="A17" s="37" t="inlineStr">
        <is>
          <t>Today</t>
        </is>
      </c>
      <c r="B17" s="83">
        <f>IFERROR(B9,"")</f>
        <v/>
      </c>
      <c r="D17" s="87" t="inlineStr">
        <is>
          <t>What customers experience today, drawn against the promise below.</t>
        </is>
      </c>
    </row>
    <row r="18" ht="26" customHeight="1" s="38">
      <c r="A18" s="37" t="inlineStr">
        <is>
          <t>Target</t>
        </is>
      </c>
      <c r="B18" s="83">
        <f>B7</f>
        <v/>
      </c>
      <c r="D18" s="87" t="inlineStr">
        <is>
          <t>The wait you want to commit to. The distance between the two bars is backlog, not effort.</t>
        </is>
      </c>
    </row>
    <row r="19"/>
    <row r="20" ht="55" customHeight="1" s="38">
      <c r="A20" s="76" t="inlineStr">
        <is>
          <t>Backlog: now against the cap that delivers your target</t>
        </is>
      </c>
      <c r="D20" s="97" t="inlineStr">
        <is>
          <t>HOW TO READ IT.  Two bars, no trend. Read it beside the backlog chart on the same tab: lead time falling while open tickets rise means you are triaging rather than resolving, and the improvement will reverse the moment the queue is worked.
SO:  If lead time is falling while open tickets rise, do not report the improvement. Work the queue down first and re-measure — the gain reverses the moment the backlog is cleared.</t>
        </is>
      </c>
    </row>
    <row r="21" ht="39" customHeight="1" s="38">
      <c r="A21" s="37" t="inlineStr">
        <is>
          <t>Open now</t>
        </is>
      </c>
      <c r="B21" s="79">
        <f>B5</f>
        <v/>
      </c>
      <c r="D21" s="87" t="inlineStr">
        <is>
          <t>Today's open work against the ceiling below. Everything above the ceiling is wait the customer feels and the team cannot work off by trying harder.</t>
        </is>
      </c>
    </row>
    <row r="22" ht="26" customHeight="1" s="38">
      <c r="A22" s="37" t="inlineStr">
        <is>
          <t>Cap needed</t>
        </is>
      </c>
      <c r="B22" s="79">
        <f>IFERROR(B11,"")</f>
        <v/>
      </c>
      <c r="D22" s="87" t="inlineStr">
        <is>
          <t>The ceiling that delivers your target. Hold more than this and the promise fails as arithmetic, whatever the team does.</t>
        </is>
      </c>
    </row>
    <row r="23"/>
    <row r="24"/>
    <row r="25"/>
    <row r="26"/>
    <row r="27"/>
    <row r="28"/>
    <row r="29"/>
    <row r="30"/>
    <row r="31"/>
    <row r="32"/>
    <row r="33"/>
    <row r="34"/>
    <row r="35"/>
    <row r="36" ht="55" customHeight="1" s="38">
      <c r="D36" s="97" t="inlineStr">
        <is>
          <t>HOW TO READ IT.  The cap is a decision, not a measurement — it is the level above which lead time starts to climb faster than volume. Sitting above it for more than a week means the queue is the constraint, whatever the handle-time numbers say.
SO:  Above the cap for more than a week, add capacity or cut intake — do not optimise handle time. When the queue is the constraint, seconds saved per contact go into the backlog rather than to the customer.</t>
        </is>
      </c>
    </row>
    <row r="37"/>
    <row r="38"/>
    <row r="39"/>
    <row r="40"/>
  </sheetData>
  <mergeCells count="6">
    <mergeCell ref="A1:D1"/>
    <mergeCell ref="A4:D4"/>
    <mergeCell ref="A2:D2"/>
    <mergeCell ref="D36:L36"/>
    <mergeCell ref="D20:L20"/>
    <mergeCell ref="A14:D14"/>
  </mergeCell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s>
  <sheetData>
    <row r="1" ht="25.5" customHeight="1" s="38">
      <c r="A1" s="44" t="inlineStr">
        <is>
          <t>How much of the wait was actual work?</t>
        </is>
      </c>
    </row>
    <row r="2" ht="27.75" customHeight="1" s="38">
      <c r="A2" s="45" t="inlineStr">
        <is>
          <t>Process Cycle Efficiency. The number that reframes almost every support improvement conversation.</t>
        </is>
      </c>
    </row>
    <row r="3"/>
    <row r="4" ht="19.5" customHeight="1" s="38">
      <c r="A4" s="46" t="inlineStr">
        <is>
          <t>YOUR NUMBERS</t>
        </is>
      </c>
    </row>
    <row r="5" ht="33.75" customHeight="1" s="38">
      <c r="A5" s="47" t="inlineStr">
        <is>
          <t>Touch time (minutes)</t>
        </is>
      </c>
      <c r="B5" s="63" t="n">
        <v>43</v>
      </c>
      <c r="D5" s="49" t="inlineStr">
        <is>
          <t>Total minutes anyone actually spent working on this one issue, summed across every contact.</t>
        </is>
      </c>
    </row>
    <row r="6" ht="33.75" customHeight="1" s="38">
      <c r="A6" s="47" t="inlineStr">
        <is>
          <t>Elapsed time (hours)</t>
        </is>
      </c>
      <c r="B6" s="63" t="n">
        <v>38.5</v>
      </c>
      <c r="D6" s="49" t="inlineStr">
        <is>
          <t>Wall-clock hours from the customer first getting in touch to the issue being resolved.</t>
        </is>
      </c>
    </row>
    <row r="7"/>
    <row r="8" ht="39" customHeight="1" s="38">
      <c r="A8" s="51" t="inlineStr">
        <is>
          <t>Elapsed time in minutes</t>
        </is>
      </c>
      <c r="B8" s="53">
        <f>B6*60</f>
        <v/>
      </c>
      <c r="D8" s="87" t="inlineStr">
        <is>
          <t>The customer's entire wait, restated in the same unit as the work so the two can be compared honestly. Everything here that is not touch time is queue.</t>
        </is>
      </c>
    </row>
    <row r="9" ht="39" customHeight="1" s="38">
      <c r="A9" s="51" t="inlineStr">
        <is>
          <t>Time spent waiting (minutes)</t>
        </is>
      </c>
      <c r="B9" s="53">
        <f>IFERROR(B6*60-B5,"")</f>
        <v/>
      </c>
      <c r="D9" s="87" t="inlineStr">
        <is>
          <t>Queue time: the part of the wait when nobody was working on the issue. In support this is nearly all of it, and it is where the improvement lives.</t>
        </is>
      </c>
    </row>
    <row r="10" ht="39" customHeight="1" s="38">
      <c r="A10" s="41" t="inlineStr">
        <is>
          <t>PROCESS CYCLE EFFICIENCY</t>
        </is>
      </c>
      <c r="B10" s="67">
        <f>IFERROR(B5/(B6*60),"")</f>
        <v/>
      </c>
      <c r="D10" s="87" t="inlineStr">
        <is>
          <t>PCE = process cycle efficiency, the share of the customer's wait that was actual work. 1-8% is normal in support. Below about 5%, making agents faster cannot move it — you have to remove a waiting state.</t>
        </is>
      </c>
    </row>
    <row r="11"/>
    <row r="12" ht="25.5" customHeight="1" s="38">
      <c r="A12" s="58" t="inlineStr">
        <is>
          <t>In support this is typically 1% to 8%. The rest is queue time — waiting for a reply, waiting for a specialist, waiting for approval. Making agents faster barely moves it. Removing a waiting state moves it a lot.</t>
        </is>
      </c>
    </row>
    <row r="13"/>
    <row r="14">
      <c r="A14" s="76" t="inlineStr">
        <is>
          <t>Where the elapsed time went</t>
        </is>
      </c>
    </row>
    <row r="15" ht="26" customHeight="1" s="38">
      <c r="A15" s="37" t="inlineStr">
        <is>
          <t>Actual work</t>
        </is>
      </c>
      <c r="B15" s="79">
        <f>B5</f>
        <v/>
      </c>
      <c r="D15" s="87" t="inlineStr">
        <is>
          <t>The touch time, drawn to scale against the wait. It is usually a sliver, and the sliver is the argument.</t>
        </is>
      </c>
    </row>
    <row r="16" ht="26" customHeight="1" s="38">
      <c r="A16" s="37" t="inlineStr">
        <is>
          <t>Waiting</t>
        </is>
      </c>
      <c r="B16" s="79">
        <f>IFERROR(B9,"")</f>
        <v/>
      </c>
      <c r="D16" s="87" t="inlineStr">
        <is>
          <t>The queue time. Every hour of it is a handoff, an approval or a reply being waited on — and each one is a candidate for removal.</t>
        </is>
      </c>
    </row>
    <row r="17"/>
    <row r="18"/>
    <row r="19"/>
    <row r="20"/>
    <row r="21"/>
    <row r="22" ht="55" customHeight="1" s="38">
      <c r="D22" s="97" t="inlineStr">
        <is>
          <t>HOW TO READ IT.  Process cycle efficiency in two bars. In support the working bar is almost always the short one, and single-digit efficiency is normal rather than alarming. The number to act on is the waiting bar's composition, not this ratio.
SO:  Do not chase this ratio. Break the waiting bar into its parts and remove the largest, then re-measure — process cycle efficiency is a symptom and a target set on it invites gaming.</t>
        </is>
      </c>
    </row>
    <row r="23"/>
    <row r="24"/>
    <row r="25"/>
    <row r="26"/>
    <row r="27"/>
    <row r="28"/>
    <row r="29"/>
    <row r="30"/>
    <row r="31"/>
    <row r="32"/>
    <row r="33"/>
    <row r="34"/>
    <row r="35"/>
    <row r="36"/>
    <row r="37"/>
    <row r="38"/>
    <row r="39"/>
    <row r="40"/>
  </sheetData>
  <mergeCells count="5">
    <mergeCell ref="A1:D1"/>
    <mergeCell ref="A12:D12"/>
    <mergeCell ref="A4:D4"/>
    <mergeCell ref="D22:L22"/>
    <mergeCell ref="A2:D2"/>
  </mergeCell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s>
  <sheetData>
    <row r="1" ht="25.5" customHeight="1" s="38">
      <c r="A1" s="44" t="inlineStr">
        <is>
          <t>How many people do I actually need?</t>
        </is>
      </c>
    </row>
    <row r="2" ht="27.75" customHeight="1" s="38">
      <c r="A2" s="45" t="inlineStr">
        <is>
          <t>Offered load, occupancy and shrinkage. Note this does not model queueing — for a service-level target you need Erlang C.</t>
        </is>
      </c>
    </row>
    <row r="3"/>
    <row r="4" ht="19.5" customHeight="1" s="38">
      <c r="A4" s="46" t="inlineStr">
        <is>
          <t>YOUR NUMBERS</t>
        </is>
      </c>
    </row>
    <row r="5" ht="33.75" customHeight="1" s="38">
      <c r="A5" s="47" t="inlineStr">
        <is>
          <t>Contacts per hour</t>
        </is>
      </c>
      <c r="B5" s="48" t="n">
        <v>360</v>
      </c>
      <c r="D5" s="49" t="inlineStr">
        <is>
          <t>Arrivals in the interval you are staffing. Use 15- or 30-minute granularity — a daily average hides the intraday peaks that actually break service level.</t>
        </is>
      </c>
    </row>
    <row r="6" ht="33.75" customHeight="1" s="38">
      <c r="A6" s="47" t="inlineStr">
        <is>
          <t>Handle time (seconds)</t>
        </is>
      </c>
      <c r="B6" s="48" t="n">
        <v>300</v>
      </c>
      <c r="D6" s="49" t="inlineStr">
        <is>
          <t>Talk plus hold plus after-call work. Confirm exactly what your report includes.</t>
        </is>
      </c>
    </row>
    <row r="7" ht="46.5" customHeight="1" s="38">
      <c r="A7" s="47" t="inlineStr">
        <is>
          <t>Target occupancy</t>
        </is>
      </c>
      <c r="B7" s="68" t="n">
        <v>0.82</v>
      </c>
      <c r="D7" s="49" t="inlineStr">
        <is>
          <t>Share of available time spent handling contacts. Sustained levels above the mid-80s are strongly associated with burnout and attrition — treat this as a ceiling.</t>
        </is>
      </c>
    </row>
    <row r="8" ht="33.75" customHeight="1" s="38">
      <c r="A8" s="47" t="inlineStr">
        <is>
          <t>Shrinkage</t>
        </is>
      </c>
      <c r="B8" s="68" t="n">
        <v>0.3</v>
      </c>
      <c r="D8" s="49" t="inlineStr">
        <is>
          <t>Share of paid time not available for contacts: breaks, meetings, training, absence, outages. Typically 25–35%.</t>
        </is>
      </c>
    </row>
    <row r="9"/>
    <row r="10" ht="39" customHeight="1" s="38">
      <c r="A10" s="51" t="inlineStr">
        <is>
          <t>Offered load (Erlangs)</t>
        </is>
      </c>
      <c r="B10" s="65">
        <f>B5*B6/3600</f>
        <v/>
      </c>
      <c r="D10" s="87" t="inlineStr">
        <is>
          <t>One Erlang is one agent busy for the whole hour. This is the work that arrives, before any allowance for queueing, breaks or occupancy. It is the floor, never the answer.</t>
        </is>
      </c>
    </row>
    <row r="11" ht="26" customHeight="1" s="38">
      <c r="A11" s="51" t="inlineStr">
        <is>
          <t>Agents needed on the phone</t>
        </is>
      </c>
      <c r="B11" s="65">
        <f>IFERROR(B5*B6/3600/B7,"")</f>
        <v/>
      </c>
      <c r="D11" s="87" t="inlineStr">
        <is>
          <t>Bodies logged in and taking contacts, once you accept that nobody handles contacts every minute they are available.</t>
        </is>
      </c>
    </row>
    <row r="12" ht="39" customHeight="1" s="38">
      <c r="A12" s="51" t="inlineStr">
        <is>
          <t>Extra people shrinkage costs you</t>
        </is>
      </c>
      <c r="B12" s="65">
        <f>IFERROR(B5*B6/3600/B7/(1-B8)-B5*B6/3600/B7,"")</f>
        <v/>
      </c>
      <c r="D12" s="87" t="inlineStr">
        <is>
          <t>Headcount that exists purely to cover breaks, meetings, training and absence. Show it separately — it is the line Finance always challenges, and it is defensible when named.</t>
        </is>
      </c>
    </row>
    <row r="13" ht="39" customHeight="1" s="38">
      <c r="A13" s="41" t="inlineStr">
        <is>
          <t>PAID FTE REQUIRED</t>
        </is>
      </c>
      <c r="B13" s="69">
        <f>IFERROR(B5*B6/3600/B7/(1-B8),"")</f>
        <v/>
      </c>
      <c r="D13" s="87" t="inlineStr">
        <is>
          <t>FTE = full-time equivalent: what actually goes on the payroll. This model has no queueing in it, so if you are staffing to a service-level promise use 28-erlang-staffing.xlsx instead.</t>
        </is>
      </c>
    </row>
    <row r="14"/>
    <row r="15">
      <c r="A15" s="76" t="inlineStr">
        <is>
          <t>What the headcount is actually made of</t>
        </is>
      </c>
    </row>
    <row r="16" ht="26" customHeight="1" s="38">
      <c r="A16" s="37" t="inlineStr">
        <is>
          <t>Offered load</t>
        </is>
      </c>
      <c r="B16" s="84">
        <f>IFERROR(B10,"")</f>
        <v/>
      </c>
      <c r="D16" s="87" t="inlineStr">
        <is>
          <t>The work itself. Everything stacked above this is overhead you should be able to name.</t>
        </is>
      </c>
    </row>
    <row r="17" ht="26" customHeight="1" s="38">
      <c r="A17" s="37" t="inlineStr">
        <is>
          <t>+ occupancy gap</t>
        </is>
      </c>
      <c r="B17" s="84">
        <f>IFERROR(B11-B10,"")</f>
        <v/>
      </c>
      <c r="D17" s="87" t="inlineStr">
        <is>
          <t>The gap between the work arriving and the people needed to absorb it without running agents flat out all day.</t>
        </is>
      </c>
    </row>
    <row r="18" ht="26" customHeight="1" s="38">
      <c r="A18" s="37" t="inlineStr">
        <is>
          <t>+ shrinkage</t>
        </is>
      </c>
      <c r="B18" s="84">
        <f>IFERROR(B12,"")</f>
        <v/>
      </c>
      <c r="D18" s="87" t="inlineStr">
        <is>
          <t>Paid time that is never on a contact. Usually the largest single block, and the one most often left out of a business case.</t>
        </is>
      </c>
    </row>
    <row r="19" ht="26" customHeight="1" s="38">
      <c r="A19" s="78" t="inlineStr">
        <is>
          <t>PAID FTE</t>
        </is>
      </c>
      <c r="B19" s="84">
        <f>IFERROR(B13,"")</f>
        <v/>
      </c>
      <c r="D19" s="87" t="inlineStr">
        <is>
          <t>The total you are asking for. Presenting it as three named parts is how the request survives a budget conversation.</t>
        </is>
      </c>
    </row>
    <row r="20"/>
    <row r="21"/>
    <row r="22" ht="55" customHeight="1" s="38">
      <c r="D22" s="97" t="inlineStr">
        <is>
          <t>HOW TO READ IT.  Each bar adds one effect: offered load, then the agents queueing theory needs on top of it, then shrinkage. Shrinkage is applied to the ANSWER, never to the load — inflating the load first and then running Erlang produces a different and wrong number.
SO:  Roster the final bar, not the first. And check the order: shrinkage belongs on the answer, so if someone has inflated the load by it before running Erlang, the number is wrong and usually high.</t>
        </is>
      </c>
    </row>
    <row r="23"/>
    <row r="24"/>
    <row r="25"/>
    <row r="26"/>
    <row r="27"/>
    <row r="28"/>
    <row r="29"/>
    <row r="30"/>
    <row r="31"/>
    <row r="32"/>
    <row r="33"/>
    <row r="34"/>
    <row r="35"/>
    <row r="36"/>
    <row r="37"/>
    <row r="38"/>
    <row r="39"/>
    <row r="40"/>
  </sheetData>
  <mergeCells count="4">
    <mergeCell ref="A1:D1"/>
    <mergeCell ref="A4:D4"/>
    <mergeCell ref="A2:D2"/>
    <mergeCell ref="D22:L22"/>
  </mergeCells>
  <dataValidations count="2">
    <dataValidation sqref="B7" showDropDown="0" showInputMessage="0" showErrorMessage="1" allowBlank="1" errorTitle="Check this number" error="Target occupancy is a share between 0.05 and 1." type="decimal" operator="between">
      <formula1>0.05</formula1>
      <formula2>1</formula2>
    </dataValidation>
    <dataValidation sqref="B8" showDropDown="0" showInputMessage="0" showErrorMessage="1" allowBlank="1" errorTitle="Check this number" error="Shrinkage is a share below 0.95." type="decimal" operator="between">
      <formula1>0</formula1>
      <formula2>0.95</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s>
  <sheetData>
    <row r="1" ht="25.5" customHeight="1" s="38">
      <c r="A1" s="44" t="inlineStr">
        <is>
          <t>What is a handle-time saving actually worth?</t>
        </is>
      </c>
    </row>
    <row r="2" ht="27.75" customHeight="1" s="38">
      <c r="A2" s="45" t="inlineStr">
        <is>
          <t>And the trap that makes most of these numbers wrong.</t>
        </is>
      </c>
    </row>
    <row r="3"/>
    <row r="4" ht="19.5" customHeight="1" s="38">
      <c r="A4" s="46" t="inlineStr">
        <is>
          <t>YOUR NUMBERS</t>
        </is>
      </c>
    </row>
    <row r="5" ht="33.75" customHeight="1" s="38">
      <c r="A5" s="47" t="inlineStr">
        <is>
          <t>Contacts per year in scope</t>
        </is>
      </c>
      <c r="B5" s="48" t="n">
        <v>3200000</v>
      </c>
      <c r="D5" s="49" t="inlineStr">
        <is>
          <t>Annual volume for the queue your project covers. Not the whole contact centre — overstating scope is the fastest way to lose Finance's trust.</t>
        </is>
      </c>
    </row>
    <row r="6" ht="33.75" customHeight="1" s="38">
      <c r="A6" s="47" t="inlineStr">
        <is>
          <t>Seconds saved per contact</t>
        </is>
      </c>
      <c r="B6" s="63" t="n">
        <v>14</v>
      </c>
      <c r="D6" s="49" t="inlineStr">
        <is>
          <t>From your pilot: treatment minus concurrent control. NOT before minus after, which is contaminated by seasonality and contact-mix shift.</t>
        </is>
      </c>
    </row>
    <row r="7" ht="33.75" customHeight="1" s="38">
      <c r="A7" s="47" t="inlineStr">
        <is>
          <t>Loaded cost per agent-hour</t>
        </is>
      </c>
      <c r="B7" s="70" t="n">
        <v>38</v>
      </c>
      <c r="D7" s="49" t="inlineStr">
        <is>
          <t>Ask Finance. Agree what is in it — salary only, or plus benefits, supervision, tooling, facilities, QA and training?</t>
        </is>
      </c>
    </row>
    <row r="8" ht="33.75" customHeight="1" s="38">
      <c r="A8" s="47" t="inlineStr">
        <is>
          <t>Occupancy</t>
        </is>
      </c>
      <c r="B8" s="68" t="n">
        <v>0.82</v>
      </c>
      <c r="D8" s="49" t="inlineStr">
        <is>
          <t>You divide by this because saving an hour of handle time frees more than an hour of payroll.</t>
        </is>
      </c>
    </row>
    <row r="9" ht="33.75" customHeight="1" s="38">
      <c r="A9" s="47" t="inlineStr">
        <is>
          <t>Realisation factor</t>
        </is>
      </c>
      <c r="B9" s="68" t="n">
        <v>0.7</v>
      </c>
      <c r="D9" s="49" t="inlineStr">
        <is>
          <t>What share survives full rollout. Typically 60–80%. Pilot groups know they are watched and outperform.</t>
        </is>
      </c>
    </row>
    <row r="10"/>
    <row r="11" ht="26" customHeight="1" s="38">
      <c r="A11" s="51" t="inlineStr">
        <is>
          <t>Handle-hours saved</t>
        </is>
      </c>
      <c r="B11" s="53">
        <f>B5*B6/3600</f>
        <v/>
      </c>
      <c r="D11" s="87" t="inlineStr">
        <is>
          <t>AHT = average handle time. The raw hours of talk, hold and after-call work your change removes across a year.</t>
        </is>
      </c>
    </row>
    <row r="12" ht="39" customHeight="1" s="38">
      <c r="A12" s="51" t="inlineStr">
        <is>
          <t>Paid hours freed</t>
        </is>
      </c>
      <c r="B12" s="53">
        <f>IFERROR(B5*B6/3600/B8,"")</f>
        <v/>
      </c>
      <c r="D12" s="87" t="inlineStr">
        <is>
          <t>More than the handle-hours above, because agents are never occupied every minute — freeing an hour of handle time frees rather more than an hour of payroll.</t>
        </is>
      </c>
    </row>
    <row r="13" ht="26" customHeight="1" s="38">
      <c r="A13" s="51" t="inlineStr">
        <is>
          <t>People-equivalent (FTE)</t>
        </is>
      </c>
      <c r="B13" s="65">
        <f>IFERROR(B5*B6/3600/B8/1760,"")</f>
        <v/>
      </c>
      <c r="D13" s="87" t="inlineStr">
        <is>
          <t>The same saving expressed as whole people, at 1,760 productive hours a year. This is the unit an executive actually hears.</t>
        </is>
      </c>
    </row>
    <row r="14" ht="26" customHeight="1" s="38">
      <c r="A14" s="51" t="inlineStr">
        <is>
          <t>Gross annual value</t>
        </is>
      </c>
      <c r="B14" s="71">
        <f>IFERROR(B5*B6/3600/B8*B7,"")</f>
        <v/>
      </c>
      <c r="D14" s="87" t="inlineStr">
        <is>
          <t>The value before anything is discounted for what decays at rollout. Never quote this figure on its own.</t>
        </is>
      </c>
    </row>
    <row r="15" ht="30" customHeight="1" s="38">
      <c r="A15" s="41" t="inlineStr">
        <is>
          <t>REALISED ANNUAL BENEFIT</t>
        </is>
      </c>
      <c r="B15" s="72">
        <f>IFERROR(B5*B6/3600/B8*B7*B9,"")</f>
        <v/>
      </c>
      <c r="D15" s="87" t="inlineStr">
        <is>
          <t>The number to take to Finance — and still only real if the freed capacity is harvested. Read the trap below before you claim it.</t>
        </is>
      </c>
    </row>
    <row r="16"/>
    <row r="17" ht="51.75" customHeight="1" s="38">
      <c r="A17" s="58" t="inlineStr">
        <is>
          <t>THE TRAP: none of this is real money unless the capacity is actually harvested. If schedules do not change, the saving becomes lower occupancy — good for agents, invisible to the P&amp;L. Before you claim this number, name the harvest mechanism: removing headcount, avoiding hires in the approved plan, renegotiating outsourcer volume, or absorbing growth. Get WFM and Finance to sign it.</t>
        </is>
      </c>
    </row>
    <row r="18"/>
    <row r="19">
      <c r="A19" s="76" t="inlineStr">
        <is>
          <t>Gross against realised</t>
        </is>
      </c>
    </row>
    <row r="20" ht="13" customHeight="1" s="38">
      <c r="A20" s="37" t="inlineStr">
        <is>
          <t>Gross annual value</t>
        </is>
      </c>
      <c r="B20" s="85">
        <f>IFERROR(B14,"")</f>
        <v/>
      </c>
      <c r="D20" s="87" t="inlineStr">
        <is>
          <t>The claim before realisation is applied.</t>
        </is>
      </c>
    </row>
    <row r="21" ht="39" customHeight="1" s="38">
      <c r="A21" s="37" t="inlineStr">
        <is>
          <t>Realised benefit</t>
        </is>
      </c>
      <c r="B21" s="85">
        <f>IFERROR(B15,"")</f>
        <v/>
      </c>
      <c r="D21" s="87" t="inlineStr">
        <is>
          <t>What belongs in the business case. Showing the discount rather than burying it is what stops the conversation happening later, in front of the steering committee.</t>
        </is>
      </c>
    </row>
    <row r="22" ht="55" customHeight="1" s="38">
      <c r="D22" s="97" t="inlineStr">
        <is>
          <t>HOW TO READ IT.  Two bars: what the arithmetic produces and what survives the realisation factor. The gap is not pessimism — it is the share of a saving that never becomes cash because the capacity is absorbed rather than removed. Quote the right-hand bar. A benefit case that quotes the left-hand one does not survive validation.
SO:  Quote the right-hand bar and put the left-hand one nowhere near the business case. Then name the harvest mechanism — whose plan the saving comes out of — because a benefit with no named mechanism does not survive validation at closure.</t>
        </is>
      </c>
    </row>
    <row r="23"/>
    <row r="24"/>
    <row r="25"/>
    <row r="26"/>
    <row r="27"/>
    <row r="28"/>
    <row r="29"/>
    <row r="30"/>
    <row r="31"/>
    <row r="32"/>
    <row r="33"/>
    <row r="34"/>
    <row r="35"/>
    <row r="36"/>
    <row r="37"/>
    <row r="38"/>
    <row r="39"/>
    <row r="40"/>
  </sheetData>
  <mergeCells count="5">
    <mergeCell ref="A1:D1"/>
    <mergeCell ref="A17:D17"/>
    <mergeCell ref="A4:D4"/>
    <mergeCell ref="D22:L22"/>
    <mergeCell ref="A2:D2"/>
  </mergeCells>
  <dataValidations count="1">
    <dataValidation sqref="B8" showDropDown="0" showInputMessage="0" showErrorMessage="1" allowBlank="1" errorTitle="Check this number" error="Occupancy is a share between 0.05 and 1." type="decimal" operator="between">
      <formula1>0.05</formula1>
      <formula2>1</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s>
  <sheetData>
    <row r="1" ht="25.5" customHeight="1" s="38">
      <c r="A1" s="44" t="inlineStr">
        <is>
          <t>What are avoided contacts worth?</t>
        </is>
      </c>
    </row>
    <row r="2" ht="27.75" customHeight="1" s="38">
      <c r="A2" s="45" t="inlineStr">
        <is>
          <t>Usually the highest-value kind of support improvement, and the easiest to defend.</t>
        </is>
      </c>
    </row>
    <row r="3"/>
    <row r="4" ht="19.5" customHeight="1" s="38">
      <c r="A4" s="46" t="inlineStr">
        <is>
          <t>YOUR NUMBERS</t>
        </is>
      </c>
    </row>
    <row r="5" ht="25.5" customHeight="1" s="38">
      <c r="A5" s="47" t="inlineStr">
        <is>
          <t>Annual volume in scope</t>
        </is>
      </c>
      <c r="B5" s="48" t="n">
        <v>11592</v>
      </c>
      <c r="D5" s="49" t="inlineStr">
        <is>
          <t>Units per year in the population the rates below are measured on — not the wider queue it sits inside. The worked example uses 11,592 in-scope billing adjustments, not the 266,000 contacts of the queue around them.</t>
        </is>
      </c>
    </row>
    <row r="6" ht="33.75" customHeight="1" s="38">
      <c r="A6" s="47" t="inlineStr">
        <is>
          <t>Current defect rate</t>
        </is>
      </c>
      <c r="B6" s="73" t="n">
        <v>0.142</v>
      </c>
      <c r="D6" s="49" t="inlineStr">
        <is>
          <t>Reopen rate, escalation rate, repeat-contact rate — whatever you are reducing. Over at least 13 weeks, with a written operational definition.</t>
        </is>
      </c>
    </row>
    <row r="7" ht="33.75" customHeight="1" s="38">
      <c r="A7" s="47" t="inlineStr">
        <is>
          <t>Target rate</t>
        </is>
      </c>
      <c r="B7" s="73" t="n">
        <v>0.08</v>
      </c>
      <c r="D7" s="49" t="inlineStr">
        <is>
          <t>From what your verified root causes can actually explain — not from an aspiration. If your causes explain 70% of the gap, your target closes 70% of it.</t>
        </is>
      </c>
    </row>
    <row r="8" ht="169" customHeight="1" s="38">
      <c r="A8" s="47" t="inlineStr">
        <is>
          <t>Fully-loaded cost per contact</t>
        </is>
      </c>
      <c r="B8" s="74" t="n">
        <v>38.6</v>
      </c>
      <c r="D8" s="96" t="inlineStr">
        <is>
          <t>From Finance: total support cost divided by total contacts, with an agreed definition of 'total support cost'. CAREFUL when what you are removing is a REOPEN, an escalation or a repeat rather than a first contact: cost to serve an average contact is the wrong price for rework, because rework carries the investigation and the redo on top of the handling, and Finance usually books it far higher. This programme's worked project uses $6.80 to serve a contact and $38.60 for a reopened one — 5.7x apart, and pricing reopens at $6.80 is the defect its charter records. Ask Finance which of the two applies to the thing you are actually removing, and make sure the rate above and the volume in B5 are measured on the SAME population: a rate from one and a volume from a wider one is how a benefit case comes out ten times its arithmetic maximum.</t>
        </is>
      </c>
    </row>
    <row r="9" ht="33.75" customHeight="1" s="38">
      <c r="A9" s="47" t="inlineStr">
        <is>
          <t>Realisation factor</t>
        </is>
      </c>
      <c r="B9" s="68" t="n">
        <v>0.85</v>
      </c>
      <c r="D9" s="49" t="inlineStr">
        <is>
          <t>Higher than for handle-time projects, because an avoided contact is unambiguously avoided.</t>
        </is>
      </c>
    </row>
    <row r="10"/>
    <row r="11" ht="39" customHeight="1" s="38">
      <c r="A11" s="51" t="inlineStr">
        <is>
          <t>Improvement (percentage points)</t>
        </is>
      </c>
      <c r="B11" s="59">
        <f>B6-B7</f>
        <v/>
      </c>
      <c r="D11" s="87" t="inlineStr">
        <is>
          <t>The gap you are closing, in percentage POINTS, not as a percentage change. 14.2% down to 8% is 6.2 points — describing it as a 44% reduction is how these numbers lose credibility.</t>
        </is>
      </c>
    </row>
    <row r="12" ht="39" customHeight="1" s="38">
      <c r="A12" s="51" t="inlineStr">
        <is>
          <t>Contacts avoided per year</t>
        </is>
      </c>
      <c r="B12" s="53">
        <f>B5*(B6-B7)</f>
        <v/>
      </c>
      <c r="D12" s="87" t="inlineStr">
        <is>
          <t>Contacts that simply never happen. Unlike a handle-time saving this needs no harvesting argument, because the work is not there to be redeployed.</t>
        </is>
      </c>
    </row>
    <row r="13" ht="26" customHeight="1" s="38">
      <c r="A13" s="51" t="inlineStr">
        <is>
          <t>Gross annual value</t>
        </is>
      </c>
      <c r="B13" s="71">
        <f>B5*(B6-B7)*B8</f>
        <v/>
      </c>
      <c r="D13" s="87" t="inlineStr">
        <is>
          <t>Avoided contacts at your fully-loaded cost per contact, before realisation is applied.</t>
        </is>
      </c>
    </row>
    <row r="14" ht="30" customHeight="1" s="38">
      <c r="A14" s="41" t="inlineStr">
        <is>
          <t>REALISED ANNUAL BENEFIT</t>
        </is>
      </c>
      <c r="B14" s="72">
        <f>B5*(B6-B7)*B8*B9</f>
        <v/>
      </c>
      <c r="D14" s="87" t="inlineStr">
        <is>
          <t>The defensible number. Realisation is higher here than on handle-time work because an avoided contact is unambiguously avoided.</t>
        </is>
      </c>
    </row>
    <row r="15"/>
    <row r="16"/>
    <row r="17"/>
    <row r="18"/>
    <row r="19">
      <c r="A19" s="76" t="inlineStr">
        <is>
          <t>Gross against realised</t>
        </is>
      </c>
    </row>
    <row r="20" ht="13" customHeight="1" s="38">
      <c r="A20" s="37" t="inlineStr">
        <is>
          <t>Gross annual value</t>
        </is>
      </c>
      <c r="B20" s="85">
        <f>IFERROR(B13,"")</f>
        <v/>
      </c>
      <c r="D20" s="87" t="inlineStr">
        <is>
          <t>The claim before realisation is applied.</t>
        </is>
      </c>
    </row>
    <row r="21" ht="39" customHeight="1" s="38">
      <c r="A21" s="37" t="inlineStr">
        <is>
          <t>Realised benefit</t>
        </is>
      </c>
      <c r="B21" s="85">
        <f>IFERROR(B14,"")</f>
        <v/>
      </c>
      <c r="D21" s="87" t="inlineStr">
        <is>
          <t>What belongs in the business case. A wide gap between the two bars means your target is running ahead of the causes you have actually verified.</t>
        </is>
      </c>
    </row>
    <row r="22" ht="55" customHeight="1" s="38">
      <c r="D22" s="97" t="inlineStr">
        <is>
          <t>HOW TO READ IT.  Two bars: what the arithmetic produces and what survives the realisation factor. The gap is not pessimism — it is the share of a saving that never becomes cash because the capacity is absorbed rather than removed. Quote the right-hand bar. A benefit case that quotes the left-hand one does not survive validation.
SO:  Quote the right-hand bar and put the left-hand one nowhere near the business case. Then name the harvest mechanism — whose plan the saving comes out of — because a benefit with no named mechanism does not survive validation at closure.</t>
        </is>
      </c>
    </row>
    <row r="23"/>
    <row r="24"/>
    <row r="25"/>
    <row r="26"/>
    <row r="27"/>
    <row r="28"/>
    <row r="29"/>
    <row r="30"/>
    <row r="31"/>
    <row r="32"/>
    <row r="33"/>
    <row r="34"/>
    <row r="35"/>
    <row r="36"/>
    <row r="37"/>
    <row r="38"/>
    <row r="39"/>
    <row r="40"/>
  </sheetData>
  <mergeCells count="5">
    <mergeCell ref="A1:D1"/>
    <mergeCell ref="A4:D4"/>
    <mergeCell ref="D8"/>
    <mergeCell ref="D22:L22"/>
    <mergeCell ref="A2:D2"/>
  </mergeCell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10.xml><?xml version="1.0" encoding="utf-8"?>
<worksheet xmlns="http://schemas.openxmlformats.org/spreadsheetml/2006/main">
  <sheetPr filterMode="0">
    <outlinePr summaryBelow="1" summaryRight="1"/>
    <pageSetUpPr fitToPage="1"/>
  </sheetPr>
  <dimension ref="A1:M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7" min="1" max="1"/>
    <col width="20" customWidth="1" style="37" min="2" max="2"/>
    <col width="18" customWidth="1" style="37" min="3" max="3"/>
    <col width="72" customWidth="1" style="37" min="4" max="4"/>
    <col width="13" customWidth="1" style="38" min="5" max="5"/>
    <col width="13" customWidth="1" style="38" min="6" max="6"/>
    <col width="13" customWidth="1" style="38" min="7" max="7"/>
    <col width="13" customWidth="1" style="38" min="8" max="8"/>
    <col width="13" customWidth="1" style="38" min="9" max="9"/>
    <col width="13" customWidth="1" style="38" min="10" max="10"/>
    <col width="13" customWidth="1" style="38" min="11" max="11"/>
    <col width="13" customWidth="1" style="38" min="12" max="12"/>
    <col width="13" customWidth="1" style="38" min="13" max="13"/>
  </cols>
  <sheetData>
    <row r="1" ht="25.5" customHeight="1" s="38">
      <c r="A1" s="44" t="inlineStr">
        <is>
          <t>Was it worth doing?</t>
        </is>
      </c>
    </row>
    <row r="2" ht="27.75" customHeight="1" s="38">
      <c r="A2" s="45" t="inlineStr">
        <is>
          <t>The three numbers Finance will ask for, in the order they will ask for them.</t>
        </is>
      </c>
    </row>
    <row r="3"/>
    <row r="4" ht="19.5" customHeight="1" s="38">
      <c r="A4" s="46" t="inlineStr">
        <is>
          <t>YOUR NUMBERS</t>
        </is>
      </c>
    </row>
    <row r="5" ht="33.75" customHeight="1" s="38">
      <c r="A5" s="47" t="inlineStr">
        <is>
          <t>Total investment</t>
        </is>
      </c>
      <c r="B5" s="70" t="n">
        <v>193000</v>
      </c>
      <c r="D5" s="49" t="inlineStr">
        <is>
          <t>Everything you spend: belt time for the months they are dedicated, training, software, and engineering time to build the system-enforced controls.</t>
        </is>
      </c>
    </row>
    <row r="6" ht="33.75" customHeight="1" s="38">
      <c r="A6" s="47" t="inlineStr">
        <is>
          <t>Realised annual benefit</t>
        </is>
      </c>
      <c r="B6" s="70" t="n">
        <v>23580.68</v>
      </c>
      <c r="D6" s="49" t="inlineStr">
        <is>
          <t>Validated and realised — not gross, not the pilot rate. Signed by Finance after 90 days of control data. The worked example carries tab 8's own realised benefit so this workbook agrees with itself; replace it with yours, from whichever tab or source produced it.</t>
        </is>
      </c>
    </row>
    <row r="7" ht="33.75" customHeight="1" s="38">
      <c r="A7" s="47" t="inlineStr">
        <is>
          <t>Years to model</t>
        </is>
      </c>
      <c r="B7" s="50" t="n">
        <v>3</v>
      </c>
      <c r="D7" s="49" t="inlineStr">
        <is>
          <t>Three years for a programme, twelve months of claimed benefit per project. Do not claim benefit in perpetuity.</t>
        </is>
      </c>
    </row>
    <row r="8" ht="33.75" customHeight="1" s="38">
      <c r="A8" s="47" t="inlineStr">
        <is>
          <t>Discount rate</t>
        </is>
      </c>
      <c r="B8" s="68" t="n">
        <v>0.1</v>
      </c>
      <c r="D8" s="49" t="inlineStr">
        <is>
          <t>Ask Finance for the rate they use — usually the weighted average cost of capital, commonly 8–12%.</t>
        </is>
      </c>
    </row>
    <row r="9"/>
    <row r="10" ht="26" customHeight="1" s="38">
      <c r="A10" s="51" t="inlineStr">
        <is>
          <t>Year 1 in today's money</t>
        </is>
      </c>
      <c r="B10" s="71">
        <f>IF($B$7&gt;=1,B6/(1+B8)^1,0)</f>
        <v/>
      </c>
      <c r="D10" s="87" t="inlineStr">
        <is>
          <t>Benefit arriving a year from now is worth less than cash today, so it is discounted. This is year one in today's money.</t>
        </is>
      </c>
    </row>
    <row r="11" ht="26" customHeight="1" s="38">
      <c r="A11" s="51" t="inlineStr">
        <is>
          <t>Year 2 in today's money</t>
        </is>
      </c>
      <c r="B11" s="71">
        <f>IF($B$7&gt;=2,B6/(1+B8)^2,0)</f>
        <v/>
      </c>
      <c r="D11" s="87" t="inlineStr">
        <is>
          <t>Year two, discounted twice. It shows zero if you modelled fewer years than this.</t>
        </is>
      </c>
    </row>
    <row r="12" ht="26" customHeight="1" s="38">
      <c r="A12" s="51" t="inlineStr">
        <is>
          <t>Year 3 in today's money</t>
        </is>
      </c>
      <c r="B12" s="71">
        <f>IF($B$7&gt;=3,B6/(1+B8)^3,0)</f>
        <v/>
      </c>
      <c r="D12" s="87" t="inlineStr">
        <is>
          <t>Year three, discounted three times. It shows zero if you modelled fewer years than this.</t>
        </is>
      </c>
    </row>
    <row r="13" ht="39" customHeight="1" s="38">
      <c r="A13" s="51" t="inlineStr">
        <is>
          <t>Payback period (months)</t>
        </is>
      </c>
      <c r="B13" s="65">
        <f>IFERROR(B5/B6*12,"")</f>
        <v/>
      </c>
      <c r="D13" s="87" t="inlineStr">
        <is>
          <t>How long before the benefit has repaid what you spent. Under 18 months is generally an easy sell; past three years the assumptions matter more than the answer.</t>
        </is>
      </c>
    </row>
    <row r="14" ht="52" customHeight="1" s="38">
      <c r="A14" s="51" t="inlineStr">
        <is>
          <t>Simple ROI over the period</t>
        </is>
      </c>
      <c r="B14" s="75">
        <f>IFERROR((B6*B7-B5)/B5,"")</f>
        <v/>
      </c>
      <c r="D14" s="87" t="inlineStr">
        <is>
          <t>ROI = return on investment: what you got back less what you spent, as a share of what you spent. It ignores the time value of money, so it always flatters — quote it beside the net present value below, never instead of it.</t>
        </is>
      </c>
    </row>
    <row r="15" ht="39" customHeight="1" s="38">
      <c r="A15" s="41" t="inlineStr">
        <is>
          <t>NET PRESENT VALUE</t>
        </is>
      </c>
      <c r="B15" s="72">
        <f>IFERROR(-B5+IF(B8=0,B6*B7,B6*(1-(1+B8)^-B7)/B8),"")</f>
        <v/>
      </c>
      <c r="D15" s="87" t="inlineStr">
        <is>
          <t>NPV = net present value: every year's benefit brought back to today's money, minus the investment. Above zero the project beat the cost of the money. This is the one Finance trusts.</t>
        </is>
      </c>
    </row>
    <row r="16"/>
    <row r="17" ht="39" customHeight="1" s="38">
      <c r="A17" s="58" t="inlineStr">
        <is>
          <t>Under 18 months payback is generally an easy sell. Net present value is calculated across all the years you model; the three rows above show the first three. And set year-one expectations honestly: a Black Belt completes only one project while learning, and a first cohort picks the least well-selected projects.</t>
        </is>
      </c>
    </row>
    <row r="18"/>
    <row r="19">
      <c r="A19" s="76" t="inlineStr">
        <is>
          <t>Cumulative position in today's money</t>
        </is>
      </c>
    </row>
    <row r="20" ht="52" customHeight="1" s="38">
      <c r="A20" s="87" t="inlineStr">
        <is>
          <t>Chart data, calculated from your numbers above — nothing here is for you to fill in. CUMULATIVE starts at minus the investment and adds each year's benefit discounted back to today, so the year it first turns positive is your payback. BREAKEVEN is zero on every row on purpose: it is the line the cumulative has to cross. Rows past the horizon you set in 'Years to model' are blank rather than zero, so the chart stops there instead of diving to the floor.</t>
        </is>
      </c>
    </row>
    <row r="21" ht="26" customHeight="1" s="38">
      <c r="A21" s="91" t="inlineStr">
        <is>
          <t>Year</t>
        </is>
      </c>
      <c r="B21" s="93" t="inlineStr">
        <is>
          <t>Cumulative</t>
        </is>
      </c>
      <c r="C21" s="93" t="inlineStr">
        <is>
          <t>Breakeven</t>
        </is>
      </c>
      <c r="D21" s="87" t="n"/>
    </row>
    <row r="22" ht="26" customHeight="1" s="38">
      <c r="A22" s="37" t="inlineStr">
        <is>
          <t>Year 0</t>
        </is>
      </c>
      <c r="B22" s="85">
        <f>-B5</f>
        <v/>
      </c>
      <c r="C22" s="85" t="n">
        <v>0</v>
      </c>
      <c r="D22" s="87" t="inlineStr">
        <is>
          <t>The hole you start in — everything spent before any benefit lands. The line climbs from here and crosses zero at payback.</t>
        </is>
      </c>
    </row>
    <row r="23">
      <c r="A23" s="37" t="inlineStr">
        <is>
          <t>Year 1</t>
        </is>
      </c>
      <c r="B23" s="85">
        <f>IF(1&gt;$B$7,NA(),B22+IFERROR($B$6/(1+$B$8)^1,0))</f>
        <v/>
      </c>
      <c r="C23" s="85">
        <f>IF(1&gt;$B$7,NA(),0)</f>
        <v/>
      </c>
    </row>
    <row r="24" ht="66" customHeight="1" s="38">
      <c r="A24" s="37" t="inlineStr">
        <is>
          <t>Year 2</t>
        </is>
      </c>
      <c r="B24" s="85">
        <f>IF(2&gt;$B$7,NA(),B23+IFERROR($B$6/(1+$B$8)^2,0))</f>
        <v/>
      </c>
      <c r="C24" s="85">
        <f>IF(2&gt;$B$7,NA(),0)</f>
        <v/>
      </c>
      <c r="E24" s="97" t="inlineStr">
        <is>
          <t>HOW TO READ IT.  Starts negative by the whole investment and climbs by each year's discounted benefit. Where it crosses zero is payback. A line that never crosses inside the years you modelled is the answer, not a broken chart — and under 18 months is generally an easy sell.
SO:  If the line crosses inside 18 months, take it. If it never crosses inside the years you modelled, that is the answer — say so rather than extending the horizon until it does.</t>
        </is>
      </c>
    </row>
    <row r="25">
      <c r="A25" s="37" t="inlineStr">
        <is>
          <t>Year 3</t>
        </is>
      </c>
      <c r="B25" s="85">
        <f>IF(3&gt;$B$7,NA(),B24+IFERROR($B$6/(1+$B$8)^3,0))</f>
        <v/>
      </c>
      <c r="C25" s="85">
        <f>IF(3&gt;$B$7,NA(),0)</f>
        <v/>
      </c>
    </row>
    <row r="26">
      <c r="A26" s="37" t="inlineStr">
        <is>
          <t>Year 4</t>
        </is>
      </c>
      <c r="B26" s="85">
        <f>IF(4&gt;$B$7,NA(),B25+IFERROR($B$6/(1+$B$8)^4,0))</f>
        <v/>
      </c>
      <c r="C26" s="85">
        <f>IF(4&gt;$B$7,NA(),0)</f>
        <v/>
      </c>
    </row>
    <row r="27">
      <c r="A27" s="37" t="inlineStr">
        <is>
          <t>Year 5</t>
        </is>
      </c>
      <c r="B27" s="85">
        <f>IF(5&gt;$B$7,NA(),B26+IFERROR($B$6/(1+$B$8)^5,0))</f>
        <v/>
      </c>
      <c r="C27" s="85">
        <f>IF(5&gt;$B$7,NA(),0)</f>
        <v/>
      </c>
    </row>
    <row r="28">
      <c r="A28" s="37" t="inlineStr">
        <is>
          <t>Year 6</t>
        </is>
      </c>
      <c r="B28" s="85">
        <f>IF(6&gt;$B$7,NA(),B27+IFERROR($B$6/(1+$B$8)^6,0))</f>
        <v/>
      </c>
      <c r="C28" s="85">
        <f>IF(6&gt;$B$7,NA(),0)</f>
        <v/>
      </c>
    </row>
    <row r="29">
      <c r="A29" s="37" t="inlineStr">
        <is>
          <t>Year 7</t>
        </is>
      </c>
      <c r="B29" s="85">
        <f>IF(7&gt;$B$7,NA(),B28+IFERROR($B$6/(1+$B$8)^7,0))</f>
        <v/>
      </c>
      <c r="C29" s="85">
        <f>IF(7&gt;$B$7,NA(),0)</f>
        <v/>
      </c>
    </row>
    <row r="30">
      <c r="A30" s="37" t="inlineStr">
        <is>
          <t>Year 8</t>
        </is>
      </c>
      <c r="B30" s="85">
        <f>IF(8&gt;$B$7,NA(),B29+IFERROR($B$6/(1+$B$8)^8,0))</f>
        <v/>
      </c>
      <c r="C30" s="85">
        <f>IF(8&gt;$B$7,NA(),0)</f>
        <v/>
      </c>
    </row>
    <row r="31">
      <c r="A31" s="37" t="inlineStr">
        <is>
          <t>Year 9</t>
        </is>
      </c>
      <c r="B31" s="85">
        <f>IF(9&gt;$B$7,NA(),B30+IFERROR($B$6/(1+$B$8)^9,0))</f>
        <v/>
      </c>
      <c r="C31" s="85">
        <f>IF(9&gt;$B$7,NA(),0)</f>
        <v/>
      </c>
    </row>
    <row r="32">
      <c r="A32" s="37" t="inlineStr">
        <is>
          <t>Year 10</t>
        </is>
      </c>
      <c r="B32" s="85">
        <f>IF(10&gt;$B$7,NA(),B31+IFERROR($B$6/(1+$B$8)^10,0))</f>
        <v/>
      </c>
      <c r="C32" s="85">
        <f>IF(10&gt;$B$7,NA(),0)</f>
        <v/>
      </c>
    </row>
    <row r="33"/>
    <row r="34"/>
    <row r="35"/>
    <row r="36"/>
    <row r="37"/>
    <row r="38"/>
    <row r="39"/>
    <row r="40"/>
  </sheetData>
  <mergeCells count="6">
    <mergeCell ref="A1:D1"/>
    <mergeCell ref="A17:D17"/>
    <mergeCell ref="E24:M24"/>
    <mergeCell ref="A4:D4"/>
    <mergeCell ref="A20:D20"/>
    <mergeCell ref="A2:D2"/>
  </mergeCells>
  <dataValidations count="2">
    <dataValidation sqref="B7" showDropDown="0" showInputMessage="0" showErrorMessage="1" allowBlank="1" errorTitle="Check this number" error="Years to model must be a whole number from 1 to 10." type="whole" operator="between">
      <formula1>1</formula1>
      <formula2>10</formula2>
    </dataValidation>
    <dataValidation sqref="B8" showDropDown="0" showInputMessage="0" showErrorMessage="1" allowBlank="1" errorTitle="Check this number" error="Discount rate is a share, for example 0.10 for 10%." type="decimal" operator="between">
      <formula1>0</formula1>
      <formula2>1</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six-sigma-blackbelt-support-ops</dc:creator>
  <dc:language>en-US</dc:language>
  <dcterms:created xsi:type="dcterms:W3CDTF">2026-01-01T00:00:00Z</dcterms:created>
  <dcterms:modified xsi:type="dcterms:W3CDTF">2026-01-01T00:00:00Z</dcterms:modified>
  <cp:lastModifiedBy>six-sigma-blackbelt-support-ops</cp:lastModifiedBy>
  <cp:revision>0</cp:revision>
</cp:coreProperties>
</file>

<file path=docProps/custom.xml><?xml version="1.0" encoding="utf-8"?>
<Properties xmlns:vt="http://schemas.openxmlformats.org/officeDocument/2006/docPropsVTypes" xmlns="http://schemas.openxmlformats.org/officeDocument/2006/custom-properties">
  <property name="chartspec" fmtid="{D5CDD505-2E9C-101B-9397-08002B2CF9AE}" pid="2">
    <vt:lpwstr>b750c563eb67</vt:lpwstr>
  </property>
</Properties>
</file>