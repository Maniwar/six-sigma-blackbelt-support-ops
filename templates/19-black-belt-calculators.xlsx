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
      <i val="1"/>
      <color rgb="FF6B7280"/>
      <sz val="9"/>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xf numFmtId="0" fontId="16" fillId="0" borderId="0" applyAlignment="1" pivotButton="0" quotePrefix="0" xfId="0">
      <alignment vertical="top" wrapText="1"/>
    </xf>
    <xf numFmtId="0" fontId="16" fillId="0" borderId="0" pivotButton="0" quotePrefix="0" xfId="0"/>
    <xf numFmtId="2" fontId="15" fillId="7" borderId="0" pivotButton="0" quotePrefix="0" xfId="0"/>
    <xf numFmtId="164" fontId="15" fillId="7" borderId="0" pivotButton="0" quotePrefix="0" xfId="0"/>
    <xf numFmtId="0" fontId="15" fillId="0" borderId="0" applyAlignment="1" pivotButton="0" quotePrefix="0" xfId="0">
      <alignment horizontal="general" vertical="bottom"/>
    </xf>
    <xf numFmtId="172" fontId="15" fillId="7" borderId="0" pivotButton="0" quotePrefix="0" xfId="0"/>
    <xf numFmtId="172" fontId="15"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capability'!$A$22:$A$62</f>
            </numRef>
          </cat>
          <val>
            <numRef>
              <f>'3 SLA capability'!$B$22:$B$62</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capability'!$C$22:$C$62</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payback'!$A$22:$A$32</f>
            </numRef>
          </cat>
          <val>
            <numRef>
              <f>'9 ROI and payback'!$B$22:$B$32</f>
            </numRef>
          </val>
          <smooth val="0"/>
        </ser>
        <ser>
          <idx val="1"/>
          <order val="1"/>
          <tx>
            <v>Breakeven</v>
          </tx>
          <spPr>
            <a:ln w="16000">
              <a:solidFill>
                <a:srgbClr val="C0392B"/>
              </a:solidFill>
              <a:prstDash val="dash"/>
            </a:ln>
          </spPr>
          <marker>
            <symbol val="none"/>
            <spPr>
              <a:ln>
                <a:prstDash val="solid"/>
              </a:ln>
            </spPr>
          </marker>
          <cat>
            <numRef>
              <f>'9 ROI and payback'!$A$22:$A$32</f>
            </numRef>
          </cat>
          <val>
            <numRef>
              <f>'9 ROI and payback'!$C$22:$C$32</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6" customHeight="1" s="38">
      <c r="A9" s="51" t="inlineStr">
        <is>
          <t>Defects per unit (DPU)</t>
        </is>
      </c>
      <c r="B9" s="52">
        <f>IFERROR(B7/B5,"")</f>
        <v/>
      </c>
      <c r="D9" s="87" t="inlineStr">
        <is>
          <t>DPU = defects per unit: how many things go wrong on the average contact. Above 1.0 the typical contact is carrying more than one defect.</t>
        </is>
      </c>
    </row>
    <row r="10" ht="39" customHeight="1" s="38">
      <c r="A10" s="51" t="inlineStr">
        <is>
          <t>Total opportunities</t>
        </is>
      </c>
      <c r="B10" s="53">
        <f>B5*B6</f>
        <v/>
      </c>
      <c r="D10" s="87" t="inlineStr">
        <is>
          <t>The denominator everything below is measured against. Change the opportunities-per-unit figure and every rate on this tab moves with it, which is why you fix it once and leave it.</t>
        </is>
      </c>
    </row>
    <row r="11" ht="39" customHeight="1" s="38">
      <c r="A11" s="51" t="inlineStr">
        <is>
          <t>Defects per opportunity (DPO)</t>
        </is>
      </c>
      <c r="B11" s="54">
        <f>IFERROR(B7/(B5*B6),"")</f>
        <v/>
      </c>
      <c r="D11" s="87" t="inlineStr">
        <is>
          <t>DPO = defects per opportunity: of all the chances to get something wrong, the share that actually went wrong. This is what the sigma scale is built on.</t>
        </is>
      </c>
    </row>
    <row r="12" ht="39" customHeight="1" s="38">
      <c r="A12" s="51" t="inlineStr">
        <is>
          <t>DPMO</t>
        </is>
      </c>
      <c r="B12" s="53">
        <f>IFERROR(B7/(B5*B6)*1000000,"")</f>
        <v/>
      </c>
      <c r="D12" s="87" t="inlineStr">
        <is>
          <t>DPMO = defects per million opportunities, the same figure scaled up so it stays readable. This is the one to quote — published benchmarks are all in DPMO.</t>
        </is>
      </c>
    </row>
    <row r="13" ht="39" customHeight="1" s="38">
      <c r="A13" s="51" t="inlineStr">
        <is>
          <t>Throughput yield</t>
        </is>
      </c>
      <c r="B13" s="55">
        <f>IFERROR(EXP(-B7/B5),"")</f>
        <v/>
      </c>
      <c r="D13" s="87" t="inlineStr">
        <is>
          <t>The share of contacts that get through with no defect at all — a customer's chance of a clean experience, which is usually a more sobering number than the sigma level.</t>
        </is>
      </c>
    </row>
    <row r="14" ht="26" customHeight="1" s="38">
      <c r="A14" s="51" t="inlineStr">
        <is>
          <t>Z from your data (long-term)</t>
        </is>
      </c>
      <c r="B14" s="56">
        <f>IFERROR(NORMSINV(1-B7/(B5*B6)),"")</f>
        <v/>
      </c>
      <c r="D14" s="87" t="inlineStr">
        <is>
          <t>Your process restated in standard deviations, with no shift added. Use this one when you compare yourself against your own history.</t>
        </is>
      </c>
    </row>
    <row r="15" ht="39" customHeight="1" s="38">
      <c r="A15" s="41" t="inlineStr">
        <is>
          <t>SIGMA LEVEL (with the 1.5 shift)</t>
        </is>
      </c>
      <c r="B15" s="57">
        <f>IFERROR(NORMSINV(1-B7/(B5*B6))+1.5,"")</f>
        <v/>
      </c>
      <c r="D15" s="87" t="inlineStr">
        <is>
          <t>The headline number, on the convention the industry quotes. It is 1.5 higher than the Z above by construction, so say which of the two you are reporting and never mix them.</t>
        </is>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ht="26" customHeight="1" s="38">
      <c r="A25" s="78" t="inlineStr">
        <is>
          <t>YOU</t>
        </is>
      </c>
      <c r="B25" s="79">
        <f>IFERROR(B12,"")</f>
        <v/>
      </c>
      <c r="D25" s="87" t="inlineStr">
        <is>
          <t>Where you land on the published ladder. Read the band you are actually in, not the one the rounded sigma level lets you claim.</t>
        </is>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6" customHeight="1" s="38">
      <c r="A10" s="51" t="inlineStr">
        <is>
          <t>Total items scored</t>
        </is>
      </c>
      <c r="B10" s="53">
        <f>SUM(B5:B8)</f>
        <v/>
      </c>
      <c r="D10" s="87" t="inlineStr">
        <is>
          <t>The size of the study. Below about 50 items kappa bounces around too much to act on, and below 30 it is not worth calculating.</t>
        </is>
      </c>
    </row>
    <row r="11" ht="39" customHeight="1" s="38">
      <c r="A11" s="51" t="inlineStr">
        <is>
          <t>They agreed on</t>
        </is>
      </c>
      <c r="B11" s="59">
        <f>IFERROR((B5+B8)/SUM(B5:B8),"")</f>
        <v/>
      </c>
      <c r="D11" s="87" t="inlineStr">
        <is>
          <t>Raw agreement — the share of items the two scored the same way. It flatters you badly: two analysts who pass everything agree 95% of the time while measuring nothing.</t>
        </is>
      </c>
    </row>
    <row r="12" ht="39" customHeight="1" s="38">
      <c r="A12" s="51" t="inlineStr">
        <is>
          <t>Agreement expected by luck alone</t>
        </is>
      </c>
      <c r="B12" s="59">
        <f>IFERROR(((B5+B6)/SUM(B5:B8))*((B5+B7)/SUM(B5:B8))+((B7+B8)/SUM(B5:B8))*((B6+B8)/SUM(B5:B8)),"")</f>
        <v/>
      </c>
      <c r="D12" s="87" t="inlineStr">
        <is>
          <t>What the two would have matched on by luck alone, given how often each says pass. The higher your pass rate the higher this is, which is exactly why raw agreement misleads.</t>
        </is>
      </c>
    </row>
    <row r="13" ht="39" customHeight="1" s="38">
      <c r="A13" s="41" t="inlineStr">
        <is>
          <t>COHEN'S KAPPA</t>
        </is>
      </c>
      <c r="B13" s="60">
        <f>IFERROR((B11-B12)/(1-B12),"")</f>
        <v/>
      </c>
      <c r="D13" s="87" t="inlineStr">
        <is>
          <t>Agreement with the luck stripped out: 0 is no better than guessing, 1 is perfect. This is the number to report, and it is always lower than the raw figure above.</t>
        </is>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ht="39" customHeight="1" s="38">
      <c r="A20" s="78" t="inlineStr">
        <is>
          <t>YOUR KAPPA</t>
        </is>
      </c>
      <c r="B20" s="81">
        <f>IFERROR(B13,"")</f>
        <v/>
      </c>
      <c r="D20" s="87" t="inlineStr">
        <is>
          <t>Your kappa against the bars everyone uses. Below 0.6 the scores are not a measurement system yet — fix the rubric and re-calibrate before anything is built on them.</t>
        </is>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39" customHeight="1" s="38">
      <c r="A9" s="51" t="inlineStr">
        <is>
          <t>Headroom to the limit</t>
        </is>
      </c>
      <c r="B9" s="56">
        <f>B5-B6</f>
        <v/>
      </c>
      <c r="D9" s="87" t="inlineStr">
        <is>
          <t>SLA = service level agreement. How far the average sits below what you promised, in hours. Negative means the average contact already breaches and no amount of tuning will save it.</t>
        </is>
      </c>
    </row>
    <row r="10" ht="39" customHeight="1" s="38">
      <c r="A10" s="51" t="inlineStr">
        <is>
          <t>Three standard deviations</t>
        </is>
      </c>
      <c r="B10" s="56">
        <f>3*B7</f>
        <v/>
      </c>
      <c r="D10" s="87" t="inlineStr">
        <is>
          <t>The width of your process, in the units of your promise. Compare it with the headroom above: if it is the larger of the two, you are manufacturing breaches.</t>
        </is>
      </c>
    </row>
    <row r="11" ht="39" customHeight="1" s="38">
      <c r="A11" s="51" t="inlineStr">
        <is>
          <t>Z-score at the limit</t>
        </is>
      </c>
      <c r="B11" s="56">
        <f>IFERROR((B5-B6)/B7,"")</f>
        <v/>
      </c>
      <c r="D11" s="87" t="inlineStr">
        <is>
          <t>Your headroom counted in standard deviations. Around 3 or more is a process that breaches rarely; around 1 is one that breaches most weeks.</t>
        </is>
      </c>
    </row>
    <row r="12" ht="39" customHeight="1" s="38">
      <c r="A12" s="51" t="inlineStr">
        <is>
          <t>Share of contacts that breach</t>
        </is>
      </c>
      <c r="B12" s="55">
        <f>IFERROR(1-NORMSDIST((B5-B6)/B7),"")</f>
        <v/>
      </c>
      <c r="D12" s="87" t="inlineStr">
        <is>
          <t>The breach rate this model expects. Treat it as a floor — support durations have a long right tail, so the real rate is normally higher than this, sometimes much higher.</t>
        </is>
      </c>
    </row>
    <row r="13" ht="39" customHeight="1" s="38">
      <c r="A13" s="41" t="inlineStr">
        <is>
          <t>CAPABILITY (Ppu)</t>
        </is>
      </c>
      <c r="B13" s="57">
        <f>IFERROR((B5-B6)/(3*B7),"")</f>
        <v/>
      </c>
      <c r="D13" s="87" t="inlineStr">
        <is>
          <t>Ppu = one-sided process performance: headroom divided by spread. 1.33 is the usual bar for 'capable'; below 1.0 customers notice. It says nothing about whether the promise was sane.</t>
        </is>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ht="52" customHeight="1" s="38">
      <c r="A20" s="87" t="inlineStr">
        <is>
          <t>Everything below is drawn by formula from the three numbers you typed above — there is nothing here to fill in. HOURS runs from four standard deviations below your average to four above. HOW OFTEN is the height of the curve at that point: a relative frequency, not a count of contacts. SLA LIMIT MARKER is deliberately blank on every row but the one your limit falls on — that single point is what draws the red line, and it moves when you change the limit.</t>
        </is>
      </c>
    </row>
    <row r="21">
      <c r="A21" s="89" t="inlineStr">
        <is>
          <t>Hours</t>
        </is>
      </c>
      <c r="B21" s="90" t="inlineStr">
        <is>
          <t>How often</t>
        </is>
      </c>
      <c r="C21" s="90" t="inlineStr">
        <is>
          <t>SLA limit marker</t>
        </is>
      </c>
    </row>
    <row r="22">
      <c r="A22" s="81">
        <f>MAX(0,$B$6-4*$B$7)+(0/40)*(8*$B$7)</f>
        <v/>
      </c>
      <c r="B22" s="82">
        <f>IFERROR(NORMDIST(A22,$B$6,$B$7,FALSE),"")</f>
        <v/>
      </c>
      <c r="C22" s="82">
        <f>IF(ABS(A22-$B$5)&lt;=(8*$B$7)/80,MAX($B$22:$B$62),NA())</f>
        <v/>
      </c>
    </row>
    <row r="23">
      <c r="A23" s="81">
        <f>MAX(0,$B$6-4*$B$7)+(1/40)*(8*$B$7)</f>
        <v/>
      </c>
      <c r="B23" s="82">
        <f>IFERROR(NORMDIST(A23,$B$6,$B$7,FALSE),"")</f>
        <v/>
      </c>
      <c r="C23" s="82">
        <f>IF(ABS(A23-$B$5)&lt;=(8*$B$7)/80,MAX($B$22:$B$62),NA())</f>
        <v/>
      </c>
    </row>
    <row r="24">
      <c r="A24" s="81">
        <f>MAX(0,$B$6-4*$B$7)+(2/40)*(8*$B$7)</f>
        <v/>
      </c>
      <c r="B24" s="82">
        <f>IFERROR(NORMDIST(A24,$B$6,$B$7,FALSE),"")</f>
        <v/>
      </c>
      <c r="C24" s="82">
        <f>IF(ABS(A24-$B$5)&lt;=(8*$B$7)/80,MAX($B$22:$B$62),NA())</f>
        <v/>
      </c>
    </row>
    <row r="25">
      <c r="A25" s="81">
        <f>MAX(0,$B$6-4*$B$7)+(3/40)*(8*$B$7)</f>
        <v/>
      </c>
      <c r="B25" s="82">
        <f>IFERROR(NORMDIST(A25,$B$6,$B$7,FALSE),"")</f>
        <v/>
      </c>
      <c r="C25" s="82">
        <f>IF(ABS(A25-$B$5)&lt;=(8*$B$7)/80,MAX($B$22:$B$62),NA())</f>
        <v/>
      </c>
    </row>
    <row r="26">
      <c r="A26" s="81">
        <f>MAX(0,$B$6-4*$B$7)+(4/40)*(8*$B$7)</f>
        <v/>
      </c>
      <c r="B26" s="82">
        <f>IFERROR(NORMDIST(A26,$B$6,$B$7,FALSE),"")</f>
        <v/>
      </c>
      <c r="C26" s="82">
        <f>IF(ABS(A26-$B$5)&lt;=(8*$B$7)/80,MAX($B$22:$B$62),NA())</f>
        <v/>
      </c>
    </row>
    <row r="27">
      <c r="A27" s="81">
        <f>MAX(0,$B$6-4*$B$7)+(5/40)*(8*$B$7)</f>
        <v/>
      </c>
      <c r="B27" s="82">
        <f>IFERROR(NORMDIST(A27,$B$6,$B$7,FALSE),"")</f>
        <v/>
      </c>
      <c r="C27" s="82">
        <f>IF(ABS(A27-$B$5)&lt;=(8*$B$7)/80,MAX($B$22:$B$62),NA())</f>
        <v/>
      </c>
    </row>
    <row r="28">
      <c r="A28" s="81">
        <f>MAX(0,$B$6-4*$B$7)+(6/40)*(8*$B$7)</f>
        <v/>
      </c>
      <c r="B28" s="82">
        <f>IFERROR(NORMDIST(A28,$B$6,$B$7,FALSE),"")</f>
        <v/>
      </c>
      <c r="C28" s="82">
        <f>IF(ABS(A28-$B$5)&lt;=(8*$B$7)/80,MAX($B$22:$B$62),NA())</f>
        <v/>
      </c>
    </row>
    <row r="29">
      <c r="A29" s="81">
        <f>MAX(0,$B$6-4*$B$7)+(7/40)*(8*$B$7)</f>
        <v/>
      </c>
      <c r="B29" s="82">
        <f>IFERROR(NORMDIST(A29,$B$6,$B$7,FALSE),"")</f>
        <v/>
      </c>
      <c r="C29" s="82">
        <f>IF(ABS(A29-$B$5)&lt;=(8*$B$7)/80,MAX($B$22:$B$62),NA())</f>
        <v/>
      </c>
    </row>
    <row r="30">
      <c r="A30" s="81">
        <f>MAX(0,$B$6-4*$B$7)+(8/40)*(8*$B$7)</f>
        <v/>
      </c>
      <c r="B30" s="82">
        <f>IFERROR(NORMDIST(A30,$B$6,$B$7,FALSE),"")</f>
        <v/>
      </c>
      <c r="C30" s="82">
        <f>IF(ABS(A30-$B$5)&lt;=(8*$B$7)/80,MAX($B$22:$B$62),NA())</f>
        <v/>
      </c>
    </row>
    <row r="31">
      <c r="A31" s="81">
        <f>MAX(0,$B$6-4*$B$7)+(9/40)*(8*$B$7)</f>
        <v/>
      </c>
      <c r="B31" s="82">
        <f>IFERROR(NORMDIST(A31,$B$6,$B$7,FALSE),"")</f>
        <v/>
      </c>
      <c r="C31" s="82">
        <f>IF(ABS(A31-$B$5)&lt;=(8*$B$7)/80,MAX($B$22:$B$62),NA())</f>
        <v/>
      </c>
    </row>
    <row r="32">
      <c r="A32" s="81">
        <f>MAX(0,$B$6-4*$B$7)+(10/40)*(8*$B$7)</f>
        <v/>
      </c>
      <c r="B32" s="82">
        <f>IFERROR(NORMDIST(A32,$B$6,$B$7,FALSE),"")</f>
        <v/>
      </c>
      <c r="C32" s="82">
        <f>IF(ABS(A32-$B$5)&lt;=(8*$B$7)/80,MAX($B$22:$B$62),NA())</f>
        <v/>
      </c>
    </row>
    <row r="33">
      <c r="A33" s="81">
        <f>MAX(0,$B$6-4*$B$7)+(11/40)*(8*$B$7)</f>
        <v/>
      </c>
      <c r="B33" s="82">
        <f>IFERROR(NORMDIST(A33,$B$6,$B$7,FALSE),"")</f>
        <v/>
      </c>
      <c r="C33" s="82">
        <f>IF(ABS(A33-$B$5)&lt;=(8*$B$7)/80,MAX($B$22:$B$62),NA())</f>
        <v/>
      </c>
    </row>
    <row r="34">
      <c r="A34" s="81">
        <f>MAX(0,$B$6-4*$B$7)+(12/40)*(8*$B$7)</f>
        <v/>
      </c>
      <c r="B34" s="82">
        <f>IFERROR(NORMDIST(A34,$B$6,$B$7,FALSE),"")</f>
        <v/>
      </c>
      <c r="C34" s="82">
        <f>IF(ABS(A34-$B$5)&lt;=(8*$B$7)/80,MAX($B$22:$B$62),NA())</f>
        <v/>
      </c>
    </row>
    <row r="35">
      <c r="A35" s="81">
        <f>MAX(0,$B$6-4*$B$7)+(13/40)*(8*$B$7)</f>
        <v/>
      </c>
      <c r="B35" s="82">
        <f>IFERROR(NORMDIST(A35,$B$6,$B$7,FALSE),"")</f>
        <v/>
      </c>
      <c r="C35" s="82">
        <f>IF(ABS(A35-$B$5)&lt;=(8*$B$7)/80,MAX($B$22:$B$62),NA())</f>
        <v/>
      </c>
    </row>
    <row r="36">
      <c r="A36" s="81">
        <f>MAX(0,$B$6-4*$B$7)+(14/40)*(8*$B$7)</f>
        <v/>
      </c>
      <c r="B36" s="82">
        <f>IFERROR(NORMDIST(A36,$B$6,$B$7,FALSE),"")</f>
        <v/>
      </c>
      <c r="C36" s="82">
        <f>IF(ABS(A36-$B$5)&lt;=(8*$B$7)/80,MAX($B$22:$B$62),NA())</f>
        <v/>
      </c>
    </row>
    <row r="37">
      <c r="A37" s="81">
        <f>MAX(0,$B$6-4*$B$7)+(15/40)*(8*$B$7)</f>
        <v/>
      </c>
      <c r="B37" s="82">
        <f>IFERROR(NORMDIST(A37,$B$6,$B$7,FALSE),"")</f>
        <v/>
      </c>
      <c r="C37" s="82">
        <f>IF(ABS(A37-$B$5)&lt;=(8*$B$7)/80,MAX($B$22:$B$62),NA())</f>
        <v/>
      </c>
    </row>
    <row r="38">
      <c r="A38" s="81">
        <f>MAX(0,$B$6-4*$B$7)+(16/40)*(8*$B$7)</f>
        <v/>
      </c>
      <c r="B38" s="82">
        <f>IFERROR(NORMDIST(A38,$B$6,$B$7,FALSE),"")</f>
        <v/>
      </c>
      <c r="C38" s="82">
        <f>IF(ABS(A38-$B$5)&lt;=(8*$B$7)/80,MAX($B$22:$B$62),NA())</f>
        <v/>
      </c>
    </row>
    <row r="39">
      <c r="A39" s="81">
        <f>MAX(0,$B$6-4*$B$7)+(17/40)*(8*$B$7)</f>
        <v/>
      </c>
      <c r="B39" s="82">
        <f>IFERROR(NORMDIST(A39,$B$6,$B$7,FALSE),"")</f>
        <v/>
      </c>
      <c r="C39" s="82">
        <f>IF(ABS(A39-$B$5)&lt;=(8*$B$7)/80,MAX($B$22:$B$62),NA())</f>
        <v/>
      </c>
    </row>
    <row r="40">
      <c r="A40" s="81">
        <f>MAX(0,$B$6-4*$B$7)+(18/40)*(8*$B$7)</f>
        <v/>
      </c>
      <c r="B40" s="82">
        <f>IFERROR(NORMDIST(A40,$B$6,$B$7,FALSE),"")</f>
        <v/>
      </c>
      <c r="C40" s="82">
        <f>IF(ABS(A40-$B$5)&lt;=(8*$B$7)/80,MAX($B$22:$B$62),NA())</f>
        <v/>
      </c>
    </row>
    <row r="41">
      <c r="A41" s="81">
        <f>MAX(0,$B$6-4*$B$7)+(19/40)*(8*$B$7)</f>
        <v/>
      </c>
      <c r="B41" s="82">
        <f>IFERROR(NORMDIST(A41,$B$6,$B$7,FALSE),"")</f>
        <v/>
      </c>
      <c r="C41" s="82">
        <f>IF(ABS(A41-$B$5)&lt;=(8*$B$7)/80,MAX($B$22:$B$62),NA())</f>
        <v/>
      </c>
    </row>
    <row r="42">
      <c r="A42" s="81">
        <f>MAX(0,$B$6-4*$B$7)+(20/40)*(8*$B$7)</f>
        <v/>
      </c>
      <c r="B42" s="82">
        <f>IFERROR(NORMDIST(A42,$B$6,$B$7,FALSE),"")</f>
        <v/>
      </c>
      <c r="C42" s="82">
        <f>IF(ABS(A42-$B$5)&lt;=(8*$B$7)/80,MAX($B$22:$B$62),NA())</f>
        <v/>
      </c>
    </row>
    <row r="43">
      <c r="A43" s="81">
        <f>MAX(0,$B$6-4*$B$7)+(21/40)*(8*$B$7)</f>
        <v/>
      </c>
      <c r="B43" s="82">
        <f>IFERROR(NORMDIST(A43,$B$6,$B$7,FALSE),"")</f>
        <v/>
      </c>
      <c r="C43" s="82">
        <f>IF(ABS(A43-$B$5)&lt;=(8*$B$7)/80,MAX($B$22:$B$62),NA())</f>
        <v/>
      </c>
    </row>
    <row r="44">
      <c r="A44" s="81">
        <f>MAX(0,$B$6-4*$B$7)+(22/40)*(8*$B$7)</f>
        <v/>
      </c>
      <c r="B44" s="82">
        <f>IFERROR(NORMDIST(A44,$B$6,$B$7,FALSE),"")</f>
        <v/>
      </c>
      <c r="C44" s="82">
        <f>IF(ABS(A44-$B$5)&lt;=(8*$B$7)/80,MAX($B$22:$B$62),NA())</f>
        <v/>
      </c>
    </row>
    <row r="45">
      <c r="A45" s="81">
        <f>MAX(0,$B$6-4*$B$7)+(23/40)*(8*$B$7)</f>
        <v/>
      </c>
      <c r="B45" s="82">
        <f>IFERROR(NORMDIST(A45,$B$6,$B$7,FALSE),"")</f>
        <v/>
      </c>
      <c r="C45" s="82">
        <f>IF(ABS(A45-$B$5)&lt;=(8*$B$7)/80,MAX($B$22:$B$62),NA())</f>
        <v/>
      </c>
    </row>
    <row r="46">
      <c r="A46" s="81">
        <f>MAX(0,$B$6-4*$B$7)+(24/40)*(8*$B$7)</f>
        <v/>
      </c>
      <c r="B46" s="82">
        <f>IFERROR(NORMDIST(A46,$B$6,$B$7,FALSE),"")</f>
        <v/>
      </c>
      <c r="C46" s="82">
        <f>IF(ABS(A46-$B$5)&lt;=(8*$B$7)/80,MAX($B$22:$B$62),NA())</f>
        <v/>
      </c>
    </row>
    <row r="47">
      <c r="A47" s="81">
        <f>MAX(0,$B$6-4*$B$7)+(25/40)*(8*$B$7)</f>
        <v/>
      </c>
      <c r="B47" s="82">
        <f>IFERROR(NORMDIST(A47,$B$6,$B$7,FALSE),"")</f>
        <v/>
      </c>
      <c r="C47" s="82">
        <f>IF(ABS(A47-$B$5)&lt;=(8*$B$7)/80,MAX($B$22:$B$62),NA())</f>
        <v/>
      </c>
    </row>
    <row r="48">
      <c r="A48" s="81">
        <f>MAX(0,$B$6-4*$B$7)+(26/40)*(8*$B$7)</f>
        <v/>
      </c>
      <c r="B48" s="82">
        <f>IFERROR(NORMDIST(A48,$B$6,$B$7,FALSE),"")</f>
        <v/>
      </c>
      <c r="C48" s="82">
        <f>IF(ABS(A48-$B$5)&lt;=(8*$B$7)/80,MAX($B$22:$B$62),NA())</f>
        <v/>
      </c>
    </row>
    <row r="49">
      <c r="A49" s="81">
        <f>MAX(0,$B$6-4*$B$7)+(27/40)*(8*$B$7)</f>
        <v/>
      </c>
      <c r="B49" s="82">
        <f>IFERROR(NORMDIST(A49,$B$6,$B$7,FALSE),"")</f>
        <v/>
      </c>
      <c r="C49" s="82">
        <f>IF(ABS(A49-$B$5)&lt;=(8*$B$7)/80,MAX($B$22:$B$62),NA())</f>
        <v/>
      </c>
    </row>
    <row r="50">
      <c r="A50" s="81">
        <f>MAX(0,$B$6-4*$B$7)+(28/40)*(8*$B$7)</f>
        <v/>
      </c>
      <c r="B50" s="82">
        <f>IFERROR(NORMDIST(A50,$B$6,$B$7,FALSE),"")</f>
        <v/>
      </c>
      <c r="C50" s="82">
        <f>IF(ABS(A50-$B$5)&lt;=(8*$B$7)/80,MAX($B$22:$B$62),NA())</f>
        <v/>
      </c>
    </row>
    <row r="51">
      <c r="A51" s="81">
        <f>MAX(0,$B$6-4*$B$7)+(29/40)*(8*$B$7)</f>
        <v/>
      </c>
      <c r="B51" s="82">
        <f>IFERROR(NORMDIST(A51,$B$6,$B$7,FALSE),"")</f>
        <v/>
      </c>
      <c r="C51" s="82">
        <f>IF(ABS(A51-$B$5)&lt;=(8*$B$7)/80,MAX($B$22:$B$62),NA())</f>
        <v/>
      </c>
    </row>
    <row r="52">
      <c r="A52" s="81">
        <f>MAX(0,$B$6-4*$B$7)+(30/40)*(8*$B$7)</f>
        <v/>
      </c>
      <c r="B52" s="82">
        <f>IFERROR(NORMDIST(A52,$B$6,$B$7,FALSE),"")</f>
        <v/>
      </c>
      <c r="C52" s="82">
        <f>IF(ABS(A52-$B$5)&lt;=(8*$B$7)/80,MAX($B$22:$B$62),NA())</f>
        <v/>
      </c>
    </row>
    <row r="53">
      <c r="A53" s="81">
        <f>MAX(0,$B$6-4*$B$7)+(31/40)*(8*$B$7)</f>
        <v/>
      </c>
      <c r="B53" s="82">
        <f>IFERROR(NORMDIST(A53,$B$6,$B$7,FALSE),"")</f>
        <v/>
      </c>
      <c r="C53" s="82">
        <f>IF(ABS(A53-$B$5)&lt;=(8*$B$7)/80,MAX($B$22:$B$62),NA())</f>
        <v/>
      </c>
    </row>
    <row r="54">
      <c r="A54" s="81">
        <f>MAX(0,$B$6-4*$B$7)+(32/40)*(8*$B$7)</f>
        <v/>
      </c>
      <c r="B54" s="82">
        <f>IFERROR(NORMDIST(A54,$B$6,$B$7,FALSE),"")</f>
        <v/>
      </c>
      <c r="C54" s="82">
        <f>IF(ABS(A54-$B$5)&lt;=(8*$B$7)/80,MAX($B$22:$B$62),NA())</f>
        <v/>
      </c>
    </row>
    <row r="55">
      <c r="A55" s="81">
        <f>MAX(0,$B$6-4*$B$7)+(33/40)*(8*$B$7)</f>
        <v/>
      </c>
      <c r="B55" s="82">
        <f>IFERROR(NORMDIST(A55,$B$6,$B$7,FALSE),"")</f>
        <v/>
      </c>
      <c r="C55" s="82">
        <f>IF(ABS(A55-$B$5)&lt;=(8*$B$7)/80,MAX($B$22:$B$62),NA())</f>
        <v/>
      </c>
    </row>
    <row r="56">
      <c r="A56" s="81">
        <f>MAX(0,$B$6-4*$B$7)+(34/40)*(8*$B$7)</f>
        <v/>
      </c>
      <c r="B56" s="82">
        <f>IFERROR(NORMDIST(A56,$B$6,$B$7,FALSE),"")</f>
        <v/>
      </c>
      <c r="C56" s="82">
        <f>IF(ABS(A56-$B$5)&lt;=(8*$B$7)/80,MAX($B$22:$B$62),NA())</f>
        <v/>
      </c>
    </row>
    <row r="57">
      <c r="A57" s="81">
        <f>MAX(0,$B$6-4*$B$7)+(35/40)*(8*$B$7)</f>
        <v/>
      </c>
      <c r="B57" s="82">
        <f>IFERROR(NORMDIST(A57,$B$6,$B$7,FALSE),"")</f>
        <v/>
      </c>
      <c r="C57" s="82">
        <f>IF(ABS(A57-$B$5)&lt;=(8*$B$7)/80,MAX($B$22:$B$62),NA())</f>
        <v/>
      </c>
    </row>
    <row r="58">
      <c r="A58" s="81">
        <f>MAX(0,$B$6-4*$B$7)+(36/40)*(8*$B$7)</f>
        <v/>
      </c>
      <c r="B58" s="82">
        <f>IFERROR(NORMDIST(A58,$B$6,$B$7,FALSE),"")</f>
        <v/>
      </c>
      <c r="C58" s="82">
        <f>IF(ABS(A58-$B$5)&lt;=(8*$B$7)/80,MAX($B$22:$B$62),NA())</f>
        <v/>
      </c>
    </row>
    <row r="59">
      <c r="A59" s="81">
        <f>MAX(0,$B$6-4*$B$7)+(37/40)*(8*$B$7)</f>
        <v/>
      </c>
      <c r="B59" s="82">
        <f>IFERROR(NORMDIST(A59,$B$6,$B$7,FALSE),"")</f>
        <v/>
      </c>
      <c r="C59" s="82">
        <f>IF(ABS(A59-$B$5)&lt;=(8*$B$7)/80,MAX($B$22:$B$62),NA())</f>
        <v/>
      </c>
    </row>
    <row r="60">
      <c r="A60" s="81">
        <f>MAX(0,$B$6-4*$B$7)+(38/40)*(8*$B$7)</f>
        <v/>
      </c>
      <c r="B60" s="82">
        <f>IFERROR(NORMDIST(A60,$B$6,$B$7,FALSE),"")</f>
        <v/>
      </c>
      <c r="C60" s="82">
        <f>IF(ABS(A60-$B$5)&lt;=(8*$B$7)/80,MAX($B$22:$B$62),NA())</f>
        <v/>
      </c>
    </row>
    <row r="61">
      <c r="A61" s="81">
        <f>MAX(0,$B$6-4*$B$7)+(39/40)*(8*$B$7)</f>
        <v/>
      </c>
      <c r="B61" s="82">
        <f>IFERROR(NORMDIST(A61,$B$6,$B$7,FALSE),"")</f>
        <v/>
      </c>
      <c r="C61" s="82">
        <f>IF(ABS(A61-$B$5)&lt;=(8*$B$7)/80,MAX($B$22:$B$62),NA())</f>
        <v/>
      </c>
    </row>
    <row r="62">
      <c r="A62" s="81">
        <f>MAX(0,$B$6-4*$B$7)+(40/40)*(8*$B$7)</f>
        <v/>
      </c>
      <c r="B62" s="82">
        <f>IFERROR(NORMDIST(A62,$B$6,$B$7,FALSE),"")</f>
        <v/>
      </c>
      <c r="C62" s="82">
        <f>IF(ABS(A62-$B$5)&lt;=(8*$B$7)/80,MAX($B$22:$B$62),NA())</f>
        <v/>
      </c>
    </row>
  </sheetData>
  <mergeCells count="6">
    <mergeCell ref="A1:D1"/>
    <mergeCell ref="A4:D4"/>
    <mergeCell ref="A20:D20"/>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39" customHeight="1" s="38">
      <c r="A9" s="51" t="inlineStr">
        <is>
          <t>Average lead time today (days)</t>
        </is>
      </c>
      <c r="B9" s="56">
        <f>IFERROR(B5/B6,"")</f>
        <v/>
      </c>
      <c r="D9" s="87" t="inlineStr">
        <is>
          <t>How long the average customer waits, given the backlog you hold and the rate you close at. Headcount and effort are not in this calculation, and cannot be argued into it.</t>
        </is>
      </c>
    </row>
    <row r="10" ht="26" customHeight="1" s="38">
      <c r="A10" s="51" t="inlineStr">
        <is>
          <t>In hours</t>
        </is>
      </c>
      <c r="B10" s="65">
        <f>IFERROR(B5/B6*24,"")</f>
        <v/>
      </c>
      <c r="D10" s="87" t="inlineStr">
        <is>
          <t>The same wait in hours, which is usually the unit your SLA and your customers speak in.</t>
        </is>
      </c>
    </row>
    <row r="11" ht="39" customHeight="1" s="38">
      <c r="A11" s="51" t="inlineStr">
        <is>
          <t>Backlog cap needed to hit your target</t>
        </is>
      </c>
      <c r="B11" s="53">
        <f>B6*B7</f>
        <v/>
      </c>
      <c r="D11" s="87" t="inlineStr">
        <is>
          <t>The most open work you can hold and still deliver the target wait. This is your work-in-progress limit — enforce it in the tool, because a limit in a document is a suggestion.</t>
        </is>
      </c>
    </row>
    <row r="12" ht="39" customHeight="1" s="38">
      <c r="A12" s="41" t="inlineStr">
        <is>
          <t>Backlog you must remove</t>
        </is>
      </c>
      <c r="B12" s="66">
        <f>MAX(0,B5-B6*B7)</f>
        <v/>
      </c>
      <c r="D12" s="87" t="inlineStr">
        <is>
          <t>The one-off clear-down that has to happen before the cap can hold. Plan it as a separate push with a start and an end date, or the limit gets abandoned in week one.</t>
        </is>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ht="13" customHeight="1" s="38">
      <c r="A17" s="37" t="inlineStr">
        <is>
          <t>Today</t>
        </is>
      </c>
      <c r="B17" s="83">
        <f>IFERROR(B9,"")</f>
        <v/>
      </c>
      <c r="D17" s="87" t="inlineStr">
        <is>
          <t>What customers experience today, drawn against the promise below.</t>
        </is>
      </c>
    </row>
    <row r="18" ht="26" customHeight="1" s="38">
      <c r="A18" s="37" t="inlineStr">
        <is>
          <t>Target</t>
        </is>
      </c>
      <c r="B18" s="83">
        <f>B7</f>
        <v/>
      </c>
      <c r="D18" s="87" t="inlineStr">
        <is>
          <t>The wait you want to commit to. The distance between the two bars is backlog, not effort.</t>
        </is>
      </c>
    </row>
    <row r="19"/>
    <row r="20">
      <c r="A20" s="76" t="inlineStr">
        <is>
          <t>Backlog: now against the cap that delivers your target</t>
        </is>
      </c>
    </row>
    <row r="21" ht="39" customHeight="1" s="38">
      <c r="A21" s="37" t="inlineStr">
        <is>
          <t>Open now</t>
        </is>
      </c>
      <c r="B21" s="79">
        <f>B5</f>
        <v/>
      </c>
      <c r="D21" s="87" t="inlineStr">
        <is>
          <t>Today's open work against the ceiling below. Everything above the ceiling is wait the customer feels and the team cannot work off by trying harder.</t>
        </is>
      </c>
    </row>
    <row r="22" ht="26" customHeight="1" s="38">
      <c r="A22" s="37" t="inlineStr">
        <is>
          <t>Cap needed</t>
        </is>
      </c>
      <c r="B22" s="79">
        <f>IFERROR(B11,"")</f>
        <v/>
      </c>
      <c r="D22" s="87" t="inlineStr">
        <is>
          <t>The ceiling that delivers your target. Hold more than this and the promise fails as arithmetic, whatever the team does.</t>
        </is>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39" customHeight="1" s="38">
      <c r="A8" s="51" t="inlineStr">
        <is>
          <t>Elapsed time in minutes</t>
        </is>
      </c>
      <c r="B8" s="53">
        <f>B6*60</f>
        <v/>
      </c>
      <c r="D8" s="87" t="inlineStr">
        <is>
          <t>The customer's entire wait, restated in the same unit as the work so the two can be compared honestly. Everything here that is not touch time is queue.</t>
        </is>
      </c>
    </row>
    <row r="9" ht="39" customHeight="1" s="38">
      <c r="A9" s="51" t="inlineStr">
        <is>
          <t>Time spent waiting (minutes)</t>
        </is>
      </c>
      <c r="B9" s="53">
        <f>IFERROR(B6*60-B5,"")</f>
        <v/>
      </c>
      <c r="D9" s="87" t="inlineStr">
        <is>
          <t>Queue time: the part of the wait when nobody was working on the issue. In support this is nearly all of it, and it is where the improvement lives.</t>
        </is>
      </c>
    </row>
    <row r="10" ht="39" customHeight="1" s="38">
      <c r="A10" s="41" t="inlineStr">
        <is>
          <t>PROCESS CYCLE EFFICIENCY</t>
        </is>
      </c>
      <c r="B10" s="67">
        <f>IFERROR(B5/(B6*60),"")</f>
        <v/>
      </c>
      <c r="D10" s="87" t="inlineStr">
        <is>
          <t>PCE = process cycle efficiency, the share of the customer's wait that was actual work. 1-8% is normal in support. Below about 5%, making agents faster cannot move it — you have to remove a waiting state.</t>
        </is>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ht="26" customHeight="1" s="38">
      <c r="A15" s="37" t="inlineStr">
        <is>
          <t>Actual work</t>
        </is>
      </c>
      <c r="B15" s="79">
        <f>B5</f>
        <v/>
      </c>
      <c r="D15" s="87" t="inlineStr">
        <is>
          <t>The touch time, drawn to scale against the wait. It is usually a sliver, and the sliver is the argument.</t>
        </is>
      </c>
    </row>
    <row r="16" ht="26" customHeight="1" s="38">
      <c r="A16" s="37" t="inlineStr">
        <is>
          <t>Waiting</t>
        </is>
      </c>
      <c r="B16" s="79">
        <f>IFERROR(B9,"")</f>
        <v/>
      </c>
      <c r="D16" s="87" t="inlineStr">
        <is>
          <t>The queue time. Every hour of it is a handoff, an approval or a reply being waited on — and each one is a candidate for removal.</t>
        </is>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39" customHeight="1" s="38">
      <c r="A10" s="51" t="inlineStr">
        <is>
          <t>Offered load (Erlangs)</t>
        </is>
      </c>
      <c r="B10" s="65">
        <f>B5*B6/3600</f>
        <v/>
      </c>
      <c r="D10" s="87" t="inlineStr">
        <is>
          <t>One Erlang is one agent busy for the whole hour. This is the work that arrives, before any allowance for queueing, breaks or occupancy. It is the floor, never the answer.</t>
        </is>
      </c>
    </row>
    <row r="11" ht="26" customHeight="1" s="38">
      <c r="A11" s="51" t="inlineStr">
        <is>
          <t>Agents needed on the phone</t>
        </is>
      </c>
      <c r="B11" s="65">
        <f>IFERROR(B5*B6/3600/B7,"")</f>
        <v/>
      </c>
      <c r="D11" s="87" t="inlineStr">
        <is>
          <t>Bodies logged in and taking contacts, once you accept that nobody handles contacts every minute they are available.</t>
        </is>
      </c>
    </row>
    <row r="12" ht="39" customHeight="1" s="38">
      <c r="A12" s="51" t="inlineStr">
        <is>
          <t>Extra people shrinkage costs you</t>
        </is>
      </c>
      <c r="B12" s="65">
        <f>IFERROR(B5*B6/3600/B7/(1-B8)-B5*B6/3600/B7,"")</f>
        <v/>
      </c>
      <c r="D12" s="87" t="inlineStr">
        <is>
          <t>Headcount that exists purely to cover breaks, meetings, training and absence. Show it separately — it is the line Finance always challenges, and it is defensible when named.</t>
        </is>
      </c>
    </row>
    <row r="13" ht="39" customHeight="1" s="38">
      <c r="A13" s="41" t="inlineStr">
        <is>
          <t>PAID FTE REQUIRED</t>
        </is>
      </c>
      <c r="B13" s="69">
        <f>IFERROR(B5*B6/3600/B7/(1-B8),"")</f>
        <v/>
      </c>
      <c r="D13" s="87" t="inlineStr">
        <is>
          <t>FTE = full-time equivalent: what actually goes on the payroll. This model has no queueing in it, so if you are staffing to a service-level promise use 28-erlang-staffing.xlsx instead.</t>
        </is>
      </c>
    </row>
    <row r="14"/>
    <row r="15">
      <c r="A15" s="76" t="inlineStr">
        <is>
          <t>What the headcount is actually made of</t>
        </is>
      </c>
    </row>
    <row r="16" ht="26" customHeight="1" s="38">
      <c r="A16" s="37" t="inlineStr">
        <is>
          <t>Offered load</t>
        </is>
      </c>
      <c r="B16" s="84">
        <f>IFERROR(B10,"")</f>
        <v/>
      </c>
      <c r="D16" s="87" t="inlineStr">
        <is>
          <t>The work itself. Everything stacked above this is overhead you should be able to name.</t>
        </is>
      </c>
    </row>
    <row r="17" ht="26" customHeight="1" s="38">
      <c r="A17" s="37" t="inlineStr">
        <is>
          <t>+ occupancy gap</t>
        </is>
      </c>
      <c r="B17" s="84">
        <f>IFERROR(B11-B10,"")</f>
        <v/>
      </c>
      <c r="D17" s="87" t="inlineStr">
        <is>
          <t>The gap between the work arriving and the people needed to absorb it without running agents flat out all day.</t>
        </is>
      </c>
    </row>
    <row r="18" ht="26" customHeight="1" s="38">
      <c r="A18" s="37" t="inlineStr">
        <is>
          <t>+ shrinkage</t>
        </is>
      </c>
      <c r="B18" s="84">
        <f>IFERROR(B12,"")</f>
        <v/>
      </c>
      <c r="D18" s="87" t="inlineStr">
        <is>
          <t>Paid time that is never on a contact. Usually the largest single block, and the one most often left out of a business case.</t>
        </is>
      </c>
    </row>
    <row r="19" ht="26" customHeight="1" s="38">
      <c r="A19" s="78" t="inlineStr">
        <is>
          <t>PAID FTE</t>
        </is>
      </c>
      <c r="B19" s="84">
        <f>IFERROR(B13,"")</f>
        <v/>
      </c>
      <c r="D19" s="87" t="inlineStr">
        <is>
          <t>The total you are asking for. Presenting it as three named parts is how the request survives a budget conversation.</t>
        </is>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6" customHeight="1" s="38">
      <c r="A11" s="51" t="inlineStr">
        <is>
          <t>Handle-hours saved</t>
        </is>
      </c>
      <c r="B11" s="53">
        <f>B5*B6/3600</f>
        <v/>
      </c>
      <c r="D11" s="87" t="inlineStr">
        <is>
          <t>AHT = average handle time. The raw hours of talk, hold and after-call work your change removes across a year.</t>
        </is>
      </c>
    </row>
    <row r="12" ht="39" customHeight="1" s="38">
      <c r="A12" s="51" t="inlineStr">
        <is>
          <t>Paid hours freed</t>
        </is>
      </c>
      <c r="B12" s="53">
        <f>IFERROR(B5*B6/3600/B8,"")</f>
        <v/>
      </c>
      <c r="D12" s="87" t="inlineStr">
        <is>
          <t>More than the handle-hours above, because agents are never occupied every minute — freeing an hour of handle time frees rather more than an hour of payroll.</t>
        </is>
      </c>
    </row>
    <row r="13" ht="26" customHeight="1" s="38">
      <c r="A13" s="51" t="inlineStr">
        <is>
          <t>People-equivalent (FTE)</t>
        </is>
      </c>
      <c r="B13" s="65">
        <f>IFERROR(B5*B6/3600/B8/1760,"")</f>
        <v/>
      </c>
      <c r="D13" s="87" t="inlineStr">
        <is>
          <t>The same saving expressed as whole people, at 1,760 productive hours a year. This is the unit an executive actually hears.</t>
        </is>
      </c>
    </row>
    <row r="14" ht="26" customHeight="1" s="38">
      <c r="A14" s="51" t="inlineStr">
        <is>
          <t>Gross annual value</t>
        </is>
      </c>
      <c r="B14" s="71">
        <f>IFERROR(B5*B6/3600/B8*B7,"")</f>
        <v/>
      </c>
      <c r="D14" s="87" t="inlineStr">
        <is>
          <t>The value before anything is discounted for what decays at rollout. Never quote this figure on its own.</t>
        </is>
      </c>
    </row>
    <row r="15" ht="30" customHeight="1" s="38">
      <c r="A15" s="41" t="inlineStr">
        <is>
          <t>REALISED ANNUAL BENEFIT</t>
        </is>
      </c>
      <c r="B15" s="72">
        <f>IFERROR(B5*B6/3600/B8*B7*B9,"")</f>
        <v/>
      </c>
      <c r="D15" s="87" t="inlineStr">
        <is>
          <t>The number to take to Finance — and still only real if the freed capacity is harvested. Read the trap below before you claim it.</t>
        </is>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ht="13" customHeight="1" s="38">
      <c r="A20" s="37" t="inlineStr">
        <is>
          <t>Gross annual value</t>
        </is>
      </c>
      <c r="B20" s="85">
        <f>IFERROR(B14,"")</f>
        <v/>
      </c>
      <c r="D20" s="87" t="inlineStr">
        <is>
          <t>The claim before realisation is applied.</t>
        </is>
      </c>
    </row>
    <row r="21" ht="39" customHeight="1" s="38">
      <c r="A21" s="37" t="inlineStr">
        <is>
          <t>Realised benefit</t>
        </is>
      </c>
      <c r="B21" s="85">
        <f>IFERROR(B15,"")</f>
        <v/>
      </c>
      <c r="D21" s="87" t="inlineStr">
        <is>
          <t>What belongs in the business case. Showing the discount rather than burying it is what stops the conversation happening later, in front of the steering committee.</t>
        </is>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39" customHeight="1" s="38">
      <c r="A11" s="51" t="inlineStr">
        <is>
          <t>Improvement (percentage points)</t>
        </is>
      </c>
      <c r="B11" s="59">
        <f>B6-B7</f>
        <v/>
      </c>
      <c r="D11" s="87" t="inlineStr">
        <is>
          <t>The gap you are closing, in percentage POINTS, not as a percentage change. 14.2% down to 8% is 6.2 points — describing it as a 44% reduction is how these numbers lose credibility.</t>
        </is>
      </c>
    </row>
    <row r="12" ht="39" customHeight="1" s="38">
      <c r="A12" s="51" t="inlineStr">
        <is>
          <t>Contacts avoided per year</t>
        </is>
      </c>
      <c r="B12" s="53">
        <f>B5*(B6-B7)</f>
        <v/>
      </c>
      <c r="D12" s="87" t="inlineStr">
        <is>
          <t>Contacts that simply never happen. Unlike a handle-time saving this needs no harvesting argument, because the work is not there to be redeployed.</t>
        </is>
      </c>
    </row>
    <row r="13" ht="26" customHeight="1" s="38">
      <c r="A13" s="51" t="inlineStr">
        <is>
          <t>Gross annual value</t>
        </is>
      </c>
      <c r="B13" s="71">
        <f>B5*(B6-B7)*B8</f>
        <v/>
      </c>
      <c r="D13" s="87" t="inlineStr">
        <is>
          <t>Avoided contacts at your fully-loaded cost per contact, before realisation is applied.</t>
        </is>
      </c>
    </row>
    <row r="14" ht="30" customHeight="1" s="38">
      <c r="A14" s="41" t="inlineStr">
        <is>
          <t>REALISED ANNUAL BENEFIT</t>
        </is>
      </c>
      <c r="B14" s="72">
        <f>B5*(B6-B7)*B8*B9</f>
        <v/>
      </c>
      <c r="D14" s="87" t="inlineStr">
        <is>
          <t>The defensible number. Realisation is higher here than on handle-time work because an avoided contact is unambiguously avoided.</t>
        </is>
      </c>
    </row>
    <row r="15"/>
    <row r="16"/>
    <row r="17"/>
    <row r="18"/>
    <row r="19">
      <c r="A19" s="76" t="inlineStr">
        <is>
          <t>Gross against realised</t>
        </is>
      </c>
    </row>
    <row r="20" ht="13" customHeight="1" s="38">
      <c r="A20" s="37" t="inlineStr">
        <is>
          <t>Gross annual value</t>
        </is>
      </c>
      <c r="B20" s="85">
        <f>IFERROR(B13,"")</f>
        <v/>
      </c>
      <c r="D20" s="87" t="inlineStr">
        <is>
          <t>The claim before realisation is applied.</t>
        </is>
      </c>
    </row>
    <row r="21" ht="39" customHeight="1" s="38">
      <c r="A21" s="37" t="inlineStr">
        <is>
          <t>Realised benefit</t>
        </is>
      </c>
      <c r="B21" s="85">
        <f>IFERROR(B14,"")</f>
        <v/>
      </c>
      <c r="D21" s="87" t="inlineStr">
        <is>
          <t>What belongs in the business case. A wide gap between the two bars means your target is running ahead of the causes you have actually verified.</t>
        </is>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6" customHeight="1" s="38">
      <c r="A10" s="51" t="inlineStr">
        <is>
          <t>Year 1 in today's money</t>
        </is>
      </c>
      <c r="B10" s="71">
        <f>IF($B$7&gt;=1,B6/(1+B8)^1,0)</f>
        <v/>
      </c>
      <c r="D10" s="87" t="inlineStr">
        <is>
          <t>Benefit arriving a year from now is worth less than cash today, so it is discounted. This is year one in today's money.</t>
        </is>
      </c>
    </row>
    <row r="11" ht="26" customHeight="1" s="38">
      <c r="A11" s="51" t="inlineStr">
        <is>
          <t>Year 2 in today's money</t>
        </is>
      </c>
      <c r="B11" s="71">
        <f>IF($B$7&gt;=2,B6/(1+B8)^2,0)</f>
        <v/>
      </c>
      <c r="D11" s="87" t="inlineStr">
        <is>
          <t>Year two, discounted twice. It shows zero if you modelled fewer years than this.</t>
        </is>
      </c>
    </row>
    <row r="12" ht="26" customHeight="1" s="38">
      <c r="A12" s="51" t="inlineStr">
        <is>
          <t>Year 3 in today's money</t>
        </is>
      </c>
      <c r="B12" s="71">
        <f>IF($B$7&gt;=3,B6/(1+B8)^3,0)</f>
        <v/>
      </c>
      <c r="D12" s="87" t="inlineStr">
        <is>
          <t>Year three, discounted three times. It shows zero if you modelled fewer years than this.</t>
        </is>
      </c>
    </row>
    <row r="13" ht="39" customHeight="1" s="38">
      <c r="A13" s="51" t="inlineStr">
        <is>
          <t>Payback period (months)</t>
        </is>
      </c>
      <c r="B13" s="65">
        <f>IFERROR(B5/B6*12,"")</f>
        <v/>
      </c>
      <c r="D13" s="87" t="inlineStr">
        <is>
          <t>How long before the benefit has repaid what you spent. Under 18 months is generally an easy sell; past three years the assumptions matter more than the answer.</t>
        </is>
      </c>
    </row>
    <row r="14" ht="52" customHeight="1" s="38">
      <c r="A14" s="51" t="inlineStr">
        <is>
          <t>Simple ROI over the period</t>
        </is>
      </c>
      <c r="B14" s="75">
        <f>IFERROR((B6*B7-B5)/B5,"")</f>
        <v/>
      </c>
      <c r="D14" s="87" t="inlineStr">
        <is>
          <t>ROI = return on investment: what you got back less what you spent, as a share of what you spent. It ignores the time value of money, so it always flatters — quote it beside the net present value below, never instead of it.</t>
        </is>
      </c>
    </row>
    <row r="15" ht="39" customHeight="1" s="38">
      <c r="A15" s="41" t="inlineStr">
        <is>
          <t>NET PRESENT VALUE</t>
        </is>
      </c>
      <c r="B15" s="72">
        <f>IFERROR(-B5+IF(B8=0,B6*B7,B6*(1-(1+B8)^-B7)/B8),"")</f>
        <v/>
      </c>
      <c r="D15" s="87" t="inlineStr">
        <is>
          <t>NPV = net present value: every year's benefit brought back to today's money, minus the investment. Above zero the project beat the cost of the money. This is the one Finance trusts.</t>
        </is>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ht="52" customHeight="1" s="38">
      <c r="A20" s="87" t="inlineStr">
        <is>
          <t>Chart data, calculated from your numbers above — nothing here is for you to fill in. CUMULATIVE starts at minus the investment and adds each year's benefit discounted back to today, so the year it first turns positive is your payback. BREAKEVEN is zero on every row on purpose: it is the line the cumulative has to cross. Rows past the horizon you set in 'Years to model' are blank rather than zero, so the chart stops there instead of diving to the floor.</t>
        </is>
      </c>
    </row>
    <row r="21" ht="26" customHeight="1" s="38">
      <c r="A21" s="91" t="inlineStr">
        <is>
          <t>Year</t>
        </is>
      </c>
      <c r="B21" s="92" t="inlineStr">
        <is>
          <t>Cumulative</t>
        </is>
      </c>
      <c r="C21" s="93" t="inlineStr">
        <is>
          <t>Breakeven</t>
        </is>
      </c>
      <c r="D21" s="87" t="n"/>
    </row>
    <row r="22" ht="26" customHeight="1" s="38">
      <c r="A22" s="37" t="inlineStr">
        <is>
          <t>Year 0</t>
        </is>
      </c>
      <c r="B22" s="85">
        <f>-B5</f>
        <v/>
      </c>
      <c r="C22" s="85" t="n">
        <v>0</v>
      </c>
      <c r="D22" s="87" t="inlineStr">
        <is>
          <t>The hole you start in — everything spent before any benefit lands. The line climbs from here and crosses zero at payback.</t>
        </is>
      </c>
    </row>
    <row r="23">
      <c r="A23" s="37" t="inlineStr">
        <is>
          <t>Year 1</t>
        </is>
      </c>
      <c r="B23" s="85">
        <f>IF(1&gt;$B$7,NA(),B22+IFERROR($B$6/(1+$B$8)^1,0))</f>
        <v/>
      </c>
      <c r="C23" s="85">
        <f>IF(1&gt;$B$7,NA(),0)</f>
        <v/>
      </c>
    </row>
    <row r="24">
      <c r="A24" s="37" t="inlineStr">
        <is>
          <t>Year 2</t>
        </is>
      </c>
      <c r="B24" s="85">
        <f>IF(2&gt;$B$7,NA(),B23+IFERROR($B$6/(1+$B$8)^2,0))</f>
        <v/>
      </c>
      <c r="C24" s="85">
        <f>IF(2&gt;$B$7,NA(),0)</f>
        <v/>
      </c>
    </row>
    <row r="25">
      <c r="A25" s="37" t="inlineStr">
        <is>
          <t>Year 3</t>
        </is>
      </c>
      <c r="B25" s="85">
        <f>IF(3&gt;$B$7,NA(),B24+IFERROR($B$6/(1+$B$8)^3,0))</f>
        <v/>
      </c>
      <c r="C25" s="85">
        <f>IF(3&gt;$B$7,NA(),0)</f>
        <v/>
      </c>
    </row>
    <row r="26">
      <c r="A26" s="37" t="inlineStr">
        <is>
          <t>Year 4</t>
        </is>
      </c>
      <c r="B26" s="85">
        <f>IF(4&gt;$B$7,NA(),B25+IFERROR($B$6/(1+$B$8)^4,0))</f>
        <v/>
      </c>
      <c r="C26" s="85">
        <f>IF(4&gt;$B$7,NA(),0)</f>
        <v/>
      </c>
    </row>
    <row r="27">
      <c r="A27" s="37" t="inlineStr">
        <is>
          <t>Year 5</t>
        </is>
      </c>
      <c r="B27" s="85">
        <f>IF(5&gt;$B$7,NA(),B26+IFERROR($B$6/(1+$B$8)^5,0))</f>
        <v/>
      </c>
      <c r="C27" s="85">
        <f>IF(5&gt;$B$7,NA(),0)</f>
        <v/>
      </c>
    </row>
    <row r="28">
      <c r="A28" s="37" t="inlineStr">
        <is>
          <t>Year 6</t>
        </is>
      </c>
      <c r="B28" s="85">
        <f>IF(6&gt;$B$7,NA(),B27+IFERROR($B$6/(1+$B$8)^6,0))</f>
        <v/>
      </c>
      <c r="C28" s="85">
        <f>IF(6&gt;$B$7,NA(),0)</f>
        <v/>
      </c>
    </row>
    <row r="29">
      <c r="A29" s="37" t="inlineStr">
        <is>
          <t>Year 7</t>
        </is>
      </c>
      <c r="B29" s="85">
        <f>IF(7&gt;$B$7,NA(),B28+IFERROR($B$6/(1+$B$8)^7,0))</f>
        <v/>
      </c>
      <c r="C29" s="85">
        <f>IF(7&gt;$B$7,NA(),0)</f>
        <v/>
      </c>
    </row>
    <row r="30">
      <c r="A30" s="37" t="inlineStr">
        <is>
          <t>Year 8</t>
        </is>
      </c>
      <c r="B30" s="85">
        <f>IF(8&gt;$B$7,NA(),B29+IFERROR($B$6/(1+$B$8)^8,0))</f>
        <v/>
      </c>
      <c r="C30" s="85">
        <f>IF(8&gt;$B$7,NA(),0)</f>
        <v/>
      </c>
    </row>
    <row r="31">
      <c r="A31" s="37" t="inlineStr">
        <is>
          <t>Year 9</t>
        </is>
      </c>
      <c r="B31" s="85">
        <f>IF(9&gt;$B$7,NA(),B30+IFERROR($B$6/(1+$B$8)^9,0))</f>
        <v/>
      </c>
      <c r="C31" s="85">
        <f>IF(9&gt;$B$7,NA(),0)</f>
        <v/>
      </c>
    </row>
    <row r="32">
      <c r="A32" s="37" t="inlineStr">
        <is>
          <t>Year 10</t>
        </is>
      </c>
      <c r="B32" s="85">
        <f>IF(10&gt;$B$7,NA(),B31+IFERROR($B$6/(1+$B$8)^10,0))</f>
        <v/>
      </c>
      <c r="C32" s="85">
        <f>IF(10&gt;$B$7,NA(),0)</f>
        <v/>
      </c>
    </row>
    <row r="33"/>
    <row r="34"/>
    <row r="35"/>
    <row r="36"/>
    <row r="37"/>
    <row r="38"/>
    <row r="39"/>
    <row r="40"/>
  </sheetData>
  <mergeCells count="5">
    <mergeCell ref="A1:D1"/>
    <mergeCell ref="A17:D17"/>
    <mergeCell ref="A4:D4"/>
    <mergeCell ref="A20:D20"/>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6247489da702</vt:lpwstr>
  </property>
</Properties>
</file>