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Val val="1"/>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Val val="1"/>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ser>
          <idx val="1"/>
          <order val="1"/>
          <tx>
            <v>SLA limit</v>
          </tx>
          <spPr>
            <a:ln w="28000">
              <a:solidFill>
                <a:srgbClr val="C0392B"/>
              </a:solidFill>
              <a:prstDash val="solid"/>
            </a:ln>
          </spPr>
          <marker>
            <symbol val="none"/>
            <spPr>
              <a:ln>
                <a:prstDash val="solid"/>
              </a:ln>
            </spPr>
          </marker>
          <cat>
            <numRef>
              <f>'3 SLA capability'!$A$21:$A$61</f>
            </numRef>
          </cat>
          <val>
            <numRef>
              <f>'3 SLA capability'!$C$21:$C$61</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Val val="1"/>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Val val="1"/>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Val val="1"/>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a:t>
            </a:r>
          </a:p>
        </rich>
      </tx>
    </title>
    <plotArea>
      <barChart>
        <barDir val="col"/>
        <grouping val="clustered"/>
        <ser>
          <idx val="0"/>
          <order val="0"/>
          <spPr>
            <a:ln>
              <a:prstDash val="solid"/>
            </a:ln>
          </spPr>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Val val="1"/>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Val val="1"/>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Val val="1"/>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payback'!$A$21:$A$24</f>
            </numRef>
          </cat>
          <val>
            <numRef>
              <f>'9 ROI and payback'!$B$21:$B$24</f>
            </numRef>
          </val>
          <smooth val="0"/>
        </ser>
        <ser>
          <idx val="1"/>
          <order val="1"/>
          <tx>
            <v>Breakeven</v>
          </tx>
          <spPr>
            <a:ln w="16000">
              <a:solidFill>
                <a:srgbClr val="C0392B"/>
              </a:solidFill>
              <a:prstDash val="dash"/>
            </a:ln>
          </spPr>
          <marker>
            <symbol val="none"/>
            <spPr>
              <a:ln>
                <a:prstDash val="solid"/>
              </a:ln>
            </spPr>
          </marker>
          <cat>
            <numRef>
              <f>'9 ROI and payback'!$A$21:$A$24</f>
            </numRef>
          </cat>
          <val>
            <numRef>
              <f>'9 ROI and payback'!$C$21:$C$24</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IF(ABS(A21-$B$5)&lt;=(8*$B$7)/80,MAX($B$21:$B$61),0)</f>
        <v/>
      </c>
    </row>
    <row r="22">
      <c r="A22" s="81">
        <f>MAX(0,$B$6-4*$B$7)+(1/40)*(8*$B$7)</f>
        <v/>
      </c>
      <c r="B22" s="82">
        <f>IFERROR(NORMDIST(A22,$B$6,$B$7,FALSE),"")</f>
        <v/>
      </c>
      <c r="C22" s="82">
        <f>IF(ABS(A22-$B$5)&lt;=(8*$B$7)/80,MAX($B$21:$B$61),0)</f>
        <v/>
      </c>
    </row>
    <row r="23">
      <c r="A23" s="81">
        <f>MAX(0,$B$6-4*$B$7)+(2/40)*(8*$B$7)</f>
        <v/>
      </c>
      <c r="B23" s="82">
        <f>IFERROR(NORMDIST(A23,$B$6,$B$7,FALSE),"")</f>
        <v/>
      </c>
      <c r="C23" s="82">
        <f>IF(ABS(A23-$B$5)&lt;=(8*$B$7)/80,MAX($B$21:$B$61),0)</f>
        <v/>
      </c>
    </row>
    <row r="24">
      <c r="A24" s="81">
        <f>MAX(0,$B$6-4*$B$7)+(3/40)*(8*$B$7)</f>
        <v/>
      </c>
      <c r="B24" s="82">
        <f>IFERROR(NORMDIST(A24,$B$6,$B$7,FALSE),"")</f>
        <v/>
      </c>
      <c r="C24" s="82">
        <f>IF(ABS(A24-$B$5)&lt;=(8*$B$7)/80,MAX($B$21:$B$61),0)</f>
        <v/>
      </c>
    </row>
    <row r="25">
      <c r="A25" s="81">
        <f>MAX(0,$B$6-4*$B$7)+(4/40)*(8*$B$7)</f>
        <v/>
      </c>
      <c r="B25" s="82">
        <f>IFERROR(NORMDIST(A25,$B$6,$B$7,FALSE),"")</f>
        <v/>
      </c>
      <c r="C25" s="82">
        <f>IF(ABS(A25-$B$5)&lt;=(8*$B$7)/80,MAX($B$21:$B$61),0)</f>
        <v/>
      </c>
    </row>
    <row r="26">
      <c r="A26" s="81">
        <f>MAX(0,$B$6-4*$B$7)+(5/40)*(8*$B$7)</f>
        <v/>
      </c>
      <c r="B26" s="82">
        <f>IFERROR(NORMDIST(A26,$B$6,$B$7,FALSE),"")</f>
        <v/>
      </c>
      <c r="C26" s="82">
        <f>IF(ABS(A26-$B$5)&lt;=(8*$B$7)/80,MAX($B$21:$B$61),0)</f>
        <v/>
      </c>
    </row>
    <row r="27">
      <c r="A27" s="81">
        <f>MAX(0,$B$6-4*$B$7)+(6/40)*(8*$B$7)</f>
        <v/>
      </c>
      <c r="B27" s="82">
        <f>IFERROR(NORMDIST(A27,$B$6,$B$7,FALSE),"")</f>
        <v/>
      </c>
      <c r="C27" s="82">
        <f>IF(ABS(A27-$B$5)&lt;=(8*$B$7)/80,MAX($B$21:$B$61),0)</f>
        <v/>
      </c>
    </row>
    <row r="28">
      <c r="A28" s="81">
        <f>MAX(0,$B$6-4*$B$7)+(7/40)*(8*$B$7)</f>
        <v/>
      </c>
      <c r="B28" s="82">
        <f>IFERROR(NORMDIST(A28,$B$6,$B$7,FALSE),"")</f>
        <v/>
      </c>
      <c r="C28" s="82">
        <f>IF(ABS(A28-$B$5)&lt;=(8*$B$7)/80,MAX($B$21:$B$61),0)</f>
        <v/>
      </c>
    </row>
    <row r="29">
      <c r="A29" s="81">
        <f>MAX(0,$B$6-4*$B$7)+(8/40)*(8*$B$7)</f>
        <v/>
      </c>
      <c r="B29" s="82">
        <f>IFERROR(NORMDIST(A29,$B$6,$B$7,FALSE),"")</f>
        <v/>
      </c>
      <c r="C29" s="82">
        <f>IF(ABS(A29-$B$5)&lt;=(8*$B$7)/80,MAX($B$21:$B$61),0)</f>
        <v/>
      </c>
    </row>
    <row r="30">
      <c r="A30" s="81">
        <f>MAX(0,$B$6-4*$B$7)+(9/40)*(8*$B$7)</f>
        <v/>
      </c>
      <c r="B30" s="82">
        <f>IFERROR(NORMDIST(A30,$B$6,$B$7,FALSE),"")</f>
        <v/>
      </c>
      <c r="C30" s="82">
        <f>IF(ABS(A30-$B$5)&lt;=(8*$B$7)/80,MAX($B$21:$B$61),0)</f>
        <v/>
      </c>
    </row>
    <row r="31">
      <c r="A31" s="81">
        <f>MAX(0,$B$6-4*$B$7)+(10/40)*(8*$B$7)</f>
        <v/>
      </c>
      <c r="B31" s="82">
        <f>IFERROR(NORMDIST(A31,$B$6,$B$7,FALSE),"")</f>
        <v/>
      </c>
      <c r="C31" s="82">
        <f>IF(ABS(A31-$B$5)&lt;=(8*$B$7)/80,MAX($B$21:$B$61),0)</f>
        <v/>
      </c>
    </row>
    <row r="32">
      <c r="A32" s="81">
        <f>MAX(0,$B$6-4*$B$7)+(11/40)*(8*$B$7)</f>
        <v/>
      </c>
      <c r="B32" s="82">
        <f>IFERROR(NORMDIST(A32,$B$6,$B$7,FALSE),"")</f>
        <v/>
      </c>
      <c r="C32" s="82">
        <f>IF(ABS(A32-$B$5)&lt;=(8*$B$7)/80,MAX($B$21:$B$61),0)</f>
        <v/>
      </c>
    </row>
    <row r="33">
      <c r="A33" s="81">
        <f>MAX(0,$B$6-4*$B$7)+(12/40)*(8*$B$7)</f>
        <v/>
      </c>
      <c r="B33" s="82">
        <f>IFERROR(NORMDIST(A33,$B$6,$B$7,FALSE),"")</f>
        <v/>
      </c>
      <c r="C33" s="82">
        <f>IF(ABS(A33-$B$5)&lt;=(8*$B$7)/80,MAX($B$21:$B$61),0)</f>
        <v/>
      </c>
    </row>
    <row r="34">
      <c r="A34" s="81">
        <f>MAX(0,$B$6-4*$B$7)+(13/40)*(8*$B$7)</f>
        <v/>
      </c>
      <c r="B34" s="82">
        <f>IFERROR(NORMDIST(A34,$B$6,$B$7,FALSE),"")</f>
        <v/>
      </c>
      <c r="C34" s="82">
        <f>IF(ABS(A34-$B$5)&lt;=(8*$B$7)/80,MAX($B$21:$B$61),0)</f>
        <v/>
      </c>
    </row>
    <row r="35">
      <c r="A35" s="81">
        <f>MAX(0,$B$6-4*$B$7)+(14/40)*(8*$B$7)</f>
        <v/>
      </c>
      <c r="B35" s="82">
        <f>IFERROR(NORMDIST(A35,$B$6,$B$7,FALSE),"")</f>
        <v/>
      </c>
      <c r="C35" s="82">
        <f>IF(ABS(A35-$B$5)&lt;=(8*$B$7)/80,MAX($B$21:$B$61),0)</f>
        <v/>
      </c>
    </row>
    <row r="36">
      <c r="A36" s="81">
        <f>MAX(0,$B$6-4*$B$7)+(15/40)*(8*$B$7)</f>
        <v/>
      </c>
      <c r="B36" s="82">
        <f>IFERROR(NORMDIST(A36,$B$6,$B$7,FALSE),"")</f>
        <v/>
      </c>
      <c r="C36" s="82">
        <f>IF(ABS(A36-$B$5)&lt;=(8*$B$7)/80,MAX($B$21:$B$61),0)</f>
        <v/>
      </c>
    </row>
    <row r="37">
      <c r="A37" s="81">
        <f>MAX(0,$B$6-4*$B$7)+(16/40)*(8*$B$7)</f>
        <v/>
      </c>
      <c r="B37" s="82">
        <f>IFERROR(NORMDIST(A37,$B$6,$B$7,FALSE),"")</f>
        <v/>
      </c>
      <c r="C37" s="82">
        <f>IF(ABS(A37-$B$5)&lt;=(8*$B$7)/80,MAX($B$21:$B$61),0)</f>
        <v/>
      </c>
    </row>
    <row r="38">
      <c r="A38" s="81">
        <f>MAX(0,$B$6-4*$B$7)+(17/40)*(8*$B$7)</f>
        <v/>
      </c>
      <c r="B38" s="82">
        <f>IFERROR(NORMDIST(A38,$B$6,$B$7,FALSE),"")</f>
        <v/>
      </c>
      <c r="C38" s="82">
        <f>IF(ABS(A38-$B$5)&lt;=(8*$B$7)/80,MAX($B$21:$B$61),0)</f>
        <v/>
      </c>
    </row>
    <row r="39">
      <c r="A39" s="81">
        <f>MAX(0,$B$6-4*$B$7)+(18/40)*(8*$B$7)</f>
        <v/>
      </c>
      <c r="B39" s="82">
        <f>IFERROR(NORMDIST(A39,$B$6,$B$7,FALSE),"")</f>
        <v/>
      </c>
      <c r="C39" s="82">
        <f>IF(ABS(A39-$B$5)&lt;=(8*$B$7)/80,MAX($B$21:$B$61),0)</f>
        <v/>
      </c>
    </row>
    <row r="40">
      <c r="A40" s="81">
        <f>MAX(0,$B$6-4*$B$7)+(19/40)*(8*$B$7)</f>
        <v/>
      </c>
      <c r="B40" s="82">
        <f>IFERROR(NORMDIST(A40,$B$6,$B$7,FALSE),"")</f>
        <v/>
      </c>
      <c r="C40" s="82">
        <f>IF(ABS(A40-$B$5)&lt;=(8*$B$7)/80,MAX($B$21:$B$61),0)</f>
        <v/>
      </c>
    </row>
    <row r="41">
      <c r="A41" s="81">
        <f>MAX(0,$B$6-4*$B$7)+(20/40)*(8*$B$7)</f>
        <v/>
      </c>
      <c r="B41" s="82">
        <f>IFERROR(NORMDIST(A41,$B$6,$B$7,FALSE),"")</f>
        <v/>
      </c>
      <c r="C41" s="82">
        <f>IF(ABS(A41-$B$5)&lt;=(8*$B$7)/80,MAX($B$21:$B$61),0)</f>
        <v/>
      </c>
    </row>
    <row r="42">
      <c r="A42" s="81">
        <f>MAX(0,$B$6-4*$B$7)+(21/40)*(8*$B$7)</f>
        <v/>
      </c>
      <c r="B42" s="82">
        <f>IFERROR(NORMDIST(A42,$B$6,$B$7,FALSE),"")</f>
        <v/>
      </c>
      <c r="C42" s="82">
        <f>IF(ABS(A42-$B$5)&lt;=(8*$B$7)/80,MAX($B$21:$B$61),0)</f>
        <v/>
      </c>
    </row>
    <row r="43">
      <c r="A43" s="81">
        <f>MAX(0,$B$6-4*$B$7)+(22/40)*(8*$B$7)</f>
        <v/>
      </c>
      <c r="B43" s="82">
        <f>IFERROR(NORMDIST(A43,$B$6,$B$7,FALSE),"")</f>
        <v/>
      </c>
      <c r="C43" s="82">
        <f>IF(ABS(A43-$B$5)&lt;=(8*$B$7)/80,MAX($B$21:$B$61),0)</f>
        <v/>
      </c>
    </row>
    <row r="44">
      <c r="A44" s="81">
        <f>MAX(0,$B$6-4*$B$7)+(23/40)*(8*$B$7)</f>
        <v/>
      </c>
      <c r="B44" s="82">
        <f>IFERROR(NORMDIST(A44,$B$6,$B$7,FALSE),"")</f>
        <v/>
      </c>
      <c r="C44" s="82">
        <f>IF(ABS(A44-$B$5)&lt;=(8*$B$7)/80,MAX($B$21:$B$61),0)</f>
        <v/>
      </c>
    </row>
    <row r="45">
      <c r="A45" s="81">
        <f>MAX(0,$B$6-4*$B$7)+(24/40)*(8*$B$7)</f>
        <v/>
      </c>
      <c r="B45" s="82">
        <f>IFERROR(NORMDIST(A45,$B$6,$B$7,FALSE),"")</f>
        <v/>
      </c>
      <c r="C45" s="82">
        <f>IF(ABS(A45-$B$5)&lt;=(8*$B$7)/80,MAX($B$21:$B$61),0)</f>
        <v/>
      </c>
    </row>
    <row r="46">
      <c r="A46" s="81">
        <f>MAX(0,$B$6-4*$B$7)+(25/40)*(8*$B$7)</f>
        <v/>
      </c>
      <c r="B46" s="82">
        <f>IFERROR(NORMDIST(A46,$B$6,$B$7,FALSE),"")</f>
        <v/>
      </c>
      <c r="C46" s="82">
        <f>IF(ABS(A46-$B$5)&lt;=(8*$B$7)/80,MAX($B$21:$B$61),0)</f>
        <v/>
      </c>
    </row>
    <row r="47">
      <c r="A47" s="81">
        <f>MAX(0,$B$6-4*$B$7)+(26/40)*(8*$B$7)</f>
        <v/>
      </c>
      <c r="B47" s="82">
        <f>IFERROR(NORMDIST(A47,$B$6,$B$7,FALSE),"")</f>
        <v/>
      </c>
      <c r="C47" s="82">
        <f>IF(ABS(A47-$B$5)&lt;=(8*$B$7)/80,MAX($B$21:$B$61),0)</f>
        <v/>
      </c>
    </row>
    <row r="48">
      <c r="A48" s="81">
        <f>MAX(0,$B$6-4*$B$7)+(27/40)*(8*$B$7)</f>
        <v/>
      </c>
      <c r="B48" s="82">
        <f>IFERROR(NORMDIST(A48,$B$6,$B$7,FALSE),"")</f>
        <v/>
      </c>
      <c r="C48" s="82">
        <f>IF(ABS(A48-$B$5)&lt;=(8*$B$7)/80,MAX($B$21:$B$61),0)</f>
        <v/>
      </c>
    </row>
    <row r="49">
      <c r="A49" s="81">
        <f>MAX(0,$B$6-4*$B$7)+(28/40)*(8*$B$7)</f>
        <v/>
      </c>
      <c r="B49" s="82">
        <f>IFERROR(NORMDIST(A49,$B$6,$B$7,FALSE),"")</f>
        <v/>
      </c>
      <c r="C49" s="82">
        <f>IF(ABS(A49-$B$5)&lt;=(8*$B$7)/80,MAX($B$21:$B$61),0)</f>
        <v/>
      </c>
    </row>
    <row r="50">
      <c r="A50" s="81">
        <f>MAX(0,$B$6-4*$B$7)+(29/40)*(8*$B$7)</f>
        <v/>
      </c>
      <c r="B50" s="82">
        <f>IFERROR(NORMDIST(A50,$B$6,$B$7,FALSE),"")</f>
        <v/>
      </c>
      <c r="C50" s="82">
        <f>IF(ABS(A50-$B$5)&lt;=(8*$B$7)/80,MAX($B$21:$B$61),0)</f>
        <v/>
      </c>
    </row>
    <row r="51">
      <c r="A51" s="81">
        <f>MAX(0,$B$6-4*$B$7)+(30/40)*(8*$B$7)</f>
        <v/>
      </c>
      <c r="B51" s="82">
        <f>IFERROR(NORMDIST(A51,$B$6,$B$7,FALSE),"")</f>
        <v/>
      </c>
      <c r="C51" s="82">
        <f>IF(ABS(A51-$B$5)&lt;=(8*$B$7)/80,MAX($B$21:$B$61),0)</f>
        <v/>
      </c>
    </row>
    <row r="52">
      <c r="A52" s="81">
        <f>MAX(0,$B$6-4*$B$7)+(31/40)*(8*$B$7)</f>
        <v/>
      </c>
      <c r="B52" s="82">
        <f>IFERROR(NORMDIST(A52,$B$6,$B$7,FALSE),"")</f>
        <v/>
      </c>
      <c r="C52" s="82">
        <f>IF(ABS(A52-$B$5)&lt;=(8*$B$7)/80,MAX($B$21:$B$61),0)</f>
        <v/>
      </c>
    </row>
    <row r="53">
      <c r="A53" s="81">
        <f>MAX(0,$B$6-4*$B$7)+(32/40)*(8*$B$7)</f>
        <v/>
      </c>
      <c r="B53" s="82">
        <f>IFERROR(NORMDIST(A53,$B$6,$B$7,FALSE),"")</f>
        <v/>
      </c>
      <c r="C53" s="82">
        <f>IF(ABS(A53-$B$5)&lt;=(8*$B$7)/80,MAX($B$21:$B$61),0)</f>
        <v/>
      </c>
    </row>
    <row r="54">
      <c r="A54" s="81">
        <f>MAX(0,$B$6-4*$B$7)+(33/40)*(8*$B$7)</f>
        <v/>
      </c>
      <c r="B54" s="82">
        <f>IFERROR(NORMDIST(A54,$B$6,$B$7,FALSE),"")</f>
        <v/>
      </c>
      <c r="C54" s="82">
        <f>IF(ABS(A54-$B$5)&lt;=(8*$B$7)/80,MAX($B$21:$B$61),0)</f>
        <v/>
      </c>
    </row>
    <row r="55">
      <c r="A55" s="81">
        <f>MAX(0,$B$6-4*$B$7)+(34/40)*(8*$B$7)</f>
        <v/>
      </c>
      <c r="B55" s="82">
        <f>IFERROR(NORMDIST(A55,$B$6,$B$7,FALSE),"")</f>
        <v/>
      </c>
      <c r="C55" s="82">
        <f>IF(ABS(A55-$B$5)&lt;=(8*$B$7)/80,MAX($B$21:$B$61),0)</f>
        <v/>
      </c>
    </row>
    <row r="56">
      <c r="A56" s="81">
        <f>MAX(0,$B$6-4*$B$7)+(35/40)*(8*$B$7)</f>
        <v/>
      </c>
      <c r="B56" s="82">
        <f>IFERROR(NORMDIST(A56,$B$6,$B$7,FALSE),"")</f>
        <v/>
      </c>
      <c r="C56" s="82">
        <f>IF(ABS(A56-$B$5)&lt;=(8*$B$7)/80,MAX($B$21:$B$61),0)</f>
        <v/>
      </c>
    </row>
    <row r="57">
      <c r="A57" s="81">
        <f>MAX(0,$B$6-4*$B$7)+(36/40)*(8*$B$7)</f>
        <v/>
      </c>
      <c r="B57" s="82">
        <f>IFERROR(NORMDIST(A57,$B$6,$B$7,FALSE),"")</f>
        <v/>
      </c>
      <c r="C57" s="82">
        <f>IF(ABS(A57-$B$5)&lt;=(8*$B$7)/80,MAX($B$21:$B$61),0)</f>
        <v/>
      </c>
    </row>
    <row r="58">
      <c r="A58" s="81">
        <f>MAX(0,$B$6-4*$B$7)+(37/40)*(8*$B$7)</f>
        <v/>
      </c>
      <c r="B58" s="82">
        <f>IFERROR(NORMDIST(A58,$B$6,$B$7,FALSE),"")</f>
        <v/>
      </c>
      <c r="C58" s="82">
        <f>IF(ABS(A58-$B$5)&lt;=(8*$B$7)/80,MAX($B$21:$B$61),0)</f>
        <v/>
      </c>
    </row>
    <row r="59">
      <c r="A59" s="81">
        <f>MAX(0,$B$6-4*$B$7)+(38/40)*(8*$B$7)</f>
        <v/>
      </c>
      <c r="B59" s="82">
        <f>IFERROR(NORMDIST(A59,$B$6,$B$7,FALSE),"")</f>
        <v/>
      </c>
      <c r="C59" s="82">
        <f>IF(ABS(A59-$B$5)&lt;=(8*$B$7)/80,MAX($B$21:$B$61),0)</f>
        <v/>
      </c>
    </row>
    <row r="60">
      <c r="A60" s="81">
        <f>MAX(0,$B$6-4*$B$7)+(39/40)*(8*$B$7)</f>
        <v/>
      </c>
      <c r="B60" s="82">
        <f>IFERROR(NORMDIST(A60,$B$6,$B$7,FALSE),"")</f>
        <v/>
      </c>
      <c r="C60" s="82">
        <f>IF(ABS(A60-$B$5)&lt;=(8*$B$7)/80,MAX($B$21:$B$61),0)</f>
        <v/>
      </c>
    </row>
    <row r="61">
      <c r="A61" s="81">
        <f>MAX(0,$B$6-4*$B$7)+(40/40)*(8*$B$7)</f>
        <v/>
      </c>
      <c r="B61" s="82">
        <f>IFERROR(NORMDIST(A61,$B$6,$B$7,FALSE),"")</f>
        <v/>
      </c>
      <c r="C61" s="82">
        <f>IF(ABS(A61-$B$5)&lt;=(8*$B$7)/80,MAX($B$21:$B$61),0)</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B21+B10</f>
        <v/>
      </c>
      <c r="C22" s="86" t="n">
        <v>0</v>
      </c>
    </row>
    <row r="23">
      <c r="A23" s="37" t="inlineStr">
        <is>
          <t>Year 2</t>
        </is>
      </c>
      <c r="B23" s="85">
        <f>B22+B11</f>
        <v/>
      </c>
      <c r="C23" s="86" t="n">
        <v>0</v>
      </c>
    </row>
    <row r="24">
      <c r="A24" s="37" t="inlineStr">
        <is>
          <t>Year 3</t>
        </is>
      </c>
      <c r="B24" s="85">
        <f>B23+B12</f>
        <v/>
      </c>
      <c r="C24" s="86" t="n">
        <v>0</v>
      </c>
    </row>
    <row r="25"/>
    <row r="26"/>
    <row r="27"/>
    <row r="28"/>
    <row r="29"/>
    <row r="30"/>
    <row r="31"/>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2026-07-31T22:38:25Z</dcterms:modified>
  <cp:revision>0</cp:revision>
</cp:coreProperties>
</file>