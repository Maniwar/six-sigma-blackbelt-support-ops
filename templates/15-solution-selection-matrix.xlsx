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Solution selection" sheetId="2" state="visible" r:id="rId2"/>
    <sheet name="Countermeasure hierarchy"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0"/>
  <fonts count="21">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i val="1"/>
      <color rgb="FFB91C1C"/>
      <sz val="9"/>
    </font>
    <font>
      <name val="Arial"/>
      <charset val="1"/>
      <family val="0"/>
      <b val="1"/>
      <color rgb="FFFFFFFF"/>
      <sz val="9"/>
    </font>
    <font>
      <name val="Arial"/>
      <charset val="1"/>
      <family val="0"/>
      <color rgb="FF006100"/>
      <sz val="10"/>
    </font>
    <font>
      <name val="Arial"/>
      <charset val="1"/>
      <family val="0"/>
      <color rgb="FF0000FF"/>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ECFAEF"/>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9">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2" fillId="0" borderId="0" applyAlignment="1" pivotButton="0" quotePrefix="0" xfId="0">
      <alignment horizontal="general" vertical="bottom"/>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0" borderId="0" applyAlignment="1" pivotButton="0" quotePrefix="0" xfId="0">
      <alignment horizontal="general" vertical="bottom"/>
    </xf>
    <xf numFmtId="9" fontId="13" fillId="5" borderId="1" applyAlignment="1" pivotButton="0" quotePrefix="0" xfId="0">
      <alignment horizontal="center" vertical="bottom"/>
    </xf>
    <xf numFmtId="9" fontId="14" fillId="6" borderId="1" applyAlignment="1" pivotButton="0" quotePrefix="0" xfId="0">
      <alignment horizontal="general" vertical="bottom"/>
    </xf>
    <xf numFmtId="0" fontId="15" fillId="0" borderId="0" applyAlignment="1" pivotButton="0" quotePrefix="0" xfId="0">
      <alignment horizontal="general" vertical="bottom"/>
    </xf>
    <xf numFmtId="0" fontId="16" fillId="8" borderId="1" applyAlignment="1" pivotButton="0" quotePrefix="0" xfId="0">
      <alignment horizontal="general" vertical="bottom" wrapText="1"/>
    </xf>
    <xf numFmtId="0" fontId="17" fillId="7" borderId="1" applyAlignment="1" pivotButton="0" quotePrefix="0" xfId="0">
      <alignment horizontal="general" vertical="top" wrapText="1"/>
    </xf>
    <xf numFmtId="2" fontId="14" fillId="6" borderId="1" applyAlignment="1" pivotButton="0" quotePrefix="0" xfId="0">
      <alignment horizontal="general" vertical="bottom"/>
    </xf>
    <xf numFmtId="0" fontId="14" fillId="6" borderId="1" applyAlignment="1" pivotButton="0" quotePrefix="0" xfId="0">
      <alignment horizontal="center" vertical="bottom"/>
    </xf>
    <xf numFmtId="0" fontId="18" fillId="5" borderId="1" applyAlignment="1" pivotButton="0" quotePrefix="0" xfId="0">
      <alignment horizontal="center" vertical="bottom"/>
    </xf>
    <xf numFmtId="0" fontId="18" fillId="5" borderId="1" applyAlignment="1" pivotButton="0" quotePrefix="0" xfId="0">
      <alignment horizontal="general" vertical="top" wrapText="1"/>
    </xf>
    <xf numFmtId="0" fontId="14" fillId="6" borderId="1" applyAlignment="1" pivotButton="0" quotePrefix="0" xfId="0">
      <alignment horizontal="general" vertical="bottom"/>
    </xf>
    <xf numFmtId="0" fontId="9" fillId="0" borderId="0" applyAlignment="1" pivotButton="0" quotePrefix="0" xfId="0">
      <alignment horizontal="general" vertical="top" wrapText="1" indent="1"/>
    </xf>
    <xf numFmtId="0" fontId="14" fillId="7" borderId="1" applyAlignment="1" pivotButton="0" quotePrefix="0" xfId="0">
      <alignment horizontal="general" vertical="center" wrapText="1"/>
    </xf>
    <xf numFmtId="0" fontId="12" fillId="7" borderId="1" applyAlignment="1" pivotButton="0" quotePrefix="0" xfId="0">
      <alignment horizontal="general" vertical="center" wrapText="1"/>
    </xf>
    <xf numFmtId="0" fontId="5" fillId="7" borderId="1" applyAlignment="1" pivotButton="0" quotePrefix="0" xfId="0">
      <alignment horizontal="general" vertical="center" wrapText="1"/>
    </xf>
    <xf numFmtId="0" fontId="14" fillId="5" borderId="1" applyAlignment="1" pivotButton="0" quotePrefix="0" xfId="0">
      <alignment horizontal="general" vertical="center" wrapText="1"/>
    </xf>
    <xf numFmtId="0" fontId="12" fillId="5" borderId="1" applyAlignment="1" pivotButton="0" quotePrefix="0" xfId="0">
      <alignment horizontal="general" vertical="center" wrapText="1"/>
    </xf>
    <xf numFmtId="0" fontId="5" fillId="5" borderId="1" applyAlignment="1" pivotButton="0" quotePrefix="0" xfId="0">
      <alignment horizontal="general" vertical="center" wrapText="1"/>
    </xf>
    <xf numFmtId="0" fontId="14" fillId="2" borderId="1" applyAlignment="1" pivotButton="0" quotePrefix="0" xfId="0">
      <alignment horizontal="general" vertical="center" wrapText="1"/>
    </xf>
    <xf numFmtId="0" fontId="12" fillId="2" borderId="1" applyAlignment="1" pivotButton="0" quotePrefix="0" xfId="0">
      <alignment horizontal="general" vertical="center" wrapText="1"/>
    </xf>
    <xf numFmtId="0" fontId="5" fillId="2" borderId="1" applyAlignment="1" pivotButton="0" quotePrefix="0" xfId="0">
      <alignment horizontal="general" vertical="center" wrapText="1"/>
    </xf>
    <xf numFmtId="0" fontId="17" fillId="9" borderId="1" applyAlignment="1" pivotButton="0" quotePrefix="0" xfId="0">
      <alignment horizontal="general" vertical="top" wrapText="1"/>
    </xf>
    <xf numFmtId="0" fontId="18" fillId="9" borderId="1" applyAlignment="1" pivotButton="0" quotePrefix="0" xfId="0">
      <alignment horizontal="center" vertical="bottom"/>
    </xf>
    <xf numFmtId="0" fontId="18" fillId="9" borderId="1" applyAlignment="1" pivotButton="0" quotePrefix="0" xfId="0">
      <alignment horizontal="general" vertical="top" wrapText="1"/>
    </xf>
    <xf numFmtId="0" fontId="19" fillId="0" borderId="0" pivotButton="0" quotePrefix="0" xfId="0"/>
    <xf numFmtId="3" fontId="0" fillId="10" borderId="0" pivotButton="0" quotePrefix="0" xfId="0"/>
    <xf numFmtId="0" fontId="20" fillId="0" borderId="0" pivotButton="0" quotePrefix="0" xfId="0"/>
    <xf numFmtId="1" fontId="20" fillId="10" borderId="0" pivotButton="0" quotePrefix="0" xfId="0"/>
    <xf numFmtId="1" fontId="0" fillId="0" borderId="0" pivotButton="0" quotePrefix="0" xfId="0"/>
    <xf numFmtId="0" fontId="0" fillId="1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Weighted score by solution — the top three are the shortlist</a:t>
            </a:r>
          </a:p>
        </rich>
      </tx>
    </title>
    <plotArea>
      <barChart>
        <barDir val="bar"/>
        <grouping val="clustered"/>
        <ser>
          <idx val="0"/>
          <order val="0"/>
          <tx>
            <v>Weighted score</v>
          </tx>
          <spPr>
            <a:ln>
              <a:prstDash val="solid"/>
            </a:ln>
          </spPr>
          <invertIfNegative val="0"/>
          <dPt>
            <idx val="0"/>
            <spPr>
              <a:solidFill>
                <a:srgbClr val="B45309"/>
              </a:solidFill>
              <a:ln>
                <a:prstDash val="solid"/>
              </a:ln>
            </spPr>
          </dPt>
          <dPt>
            <idx val="1"/>
            <spPr>
              <a:solidFill>
                <a:srgbClr val="B45309"/>
              </a:solidFill>
              <a:ln>
                <a:prstDash val="solid"/>
              </a:ln>
            </spPr>
          </dPt>
          <dPt>
            <idx val="2"/>
            <spPr>
              <a:solidFill>
                <a:srgbClr val="B45309"/>
              </a:solidFill>
              <a:ln>
                <a:prstDash val="solid"/>
              </a:ln>
            </spPr>
          </dPt>
          <dPt>
            <idx val="3"/>
            <spPr>
              <a:solidFill>
                <a:srgbClr val="1F4E79"/>
              </a:solidFill>
              <a:ln>
                <a:prstDash val="solid"/>
              </a:ln>
            </spPr>
          </dPt>
          <dPt>
            <idx val="4"/>
            <spPr>
              <a:solidFill>
                <a:srgbClr val="1F4E79"/>
              </a:solidFill>
              <a:ln>
                <a:prstDash val="solid"/>
              </a:ln>
            </spPr>
          </dPt>
          <dPt>
            <idx val="5"/>
            <spPr>
              <a:solidFill>
                <a:srgbClr val="1F4E79"/>
              </a:solidFill>
              <a:ln>
                <a:prstDash val="solid"/>
              </a:ln>
            </spPr>
          </dPt>
          <dPt>
            <idx val="6"/>
            <spPr>
              <a:solidFill>
                <a:srgbClr val="1F4E79"/>
              </a:solidFill>
              <a:ln>
                <a:prstDash val="solid"/>
              </a:ln>
            </spPr>
          </dPt>
          <dPt>
            <idx val="7"/>
            <spPr>
              <a:solidFill>
                <a:srgbClr val="1F4E79"/>
              </a:solidFill>
              <a:ln>
                <a:prstDash val="solid"/>
              </a:ln>
            </spPr>
          </dPt>
          <dPt>
            <idx val="8"/>
            <spPr>
              <a:solidFill>
                <a:srgbClr val="1F4E79"/>
              </a:solidFill>
              <a:ln>
                <a:prstDash val="solid"/>
              </a:ln>
            </spPr>
          </dPt>
          <dPt>
            <idx val="9"/>
            <spPr>
              <a:solidFill>
                <a:srgbClr val="1F4E79"/>
              </a:solidFill>
              <a:ln>
                <a:prstDash val="solid"/>
              </a:ln>
            </spPr>
          </dPt>
          <cat>
            <numRef>
              <f>'Solution selection'!$Q$14:$Q$23</f>
            </numRef>
          </cat>
          <val>
            <numRef>
              <f>'Solution selection'!$R$14:$R$23</f>
            </numRef>
          </val>
        </ser>
        <gapWidth val="60"/>
        <axId val="10"/>
        <axId val="100"/>
      </barChart>
      <catAx>
        <axId val="10"/>
        <scaling>
          <orientation val="maxMin"/>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20</col>
      <colOff>0</colOff>
      <row>12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35" min="1" max="1"/>
    <col width="108" customWidth="1" style="35" min="2" max="2"/>
  </cols>
  <sheetData>
    <row r="1"/>
    <row r="2" ht="30" customHeight="1" s="36">
      <c r="B2" s="37" t="inlineStr">
        <is>
          <t>Solution Selection</t>
        </is>
      </c>
    </row>
    <row r="3" ht="25.5" customHeight="1" s="36">
      <c r="B3" s="38" t="inlineStr">
        <is>
          <t>Most teams pick the solution someone was already advocating. This sheet makes the choice explicit, so you can defend it and so the durable option does not lose to the exciting one.</t>
        </is>
      </c>
    </row>
    <row r="4"/>
    <row r="5" ht="24" customHeight="1" s="36">
      <c r="B5" s="39" t="inlineStr">
        <is>
          <t>What to do</t>
        </is>
      </c>
    </row>
    <row r="6" ht="25.5" customHeight="1" s="36">
      <c r="B6" s="40" t="inlineStr">
        <is>
          <t>1.  Agree the criteria weights with your Champion BEFORE you score anything. They must add to 100%.</t>
        </is>
      </c>
    </row>
    <row r="7" ht="25.5" customHeight="1" s="36">
      <c r="B7" s="40" t="inlineStr">
        <is>
          <t>2.  Generate at least three options for every root cause. If you have one option, you have not finished generating.</t>
        </is>
      </c>
    </row>
    <row r="8" ht="15" customHeight="1" s="36">
      <c r="B8" s="40" t="inlineStr">
        <is>
          <t>3.  Score each option 1 to 5 on each criterion, using the dropdowns.</t>
        </is>
      </c>
    </row>
    <row r="9" ht="15" customHeight="1" s="36">
      <c r="B9" s="40" t="inlineStr">
        <is>
          <t>4.  Rate each option on the countermeasure hierarchy — see the second tab.</t>
        </is>
      </c>
    </row>
    <row r="10" ht="15" customHeight="1" s="36">
      <c r="B10" s="40" t="inlineStr">
        <is>
          <t>5.  The weighted score and rank calculate themselves.</t>
        </is>
      </c>
    </row>
    <row r="11"/>
    <row r="12" ht="39" customHeight="1" s="36">
      <c r="B12" s="41" t="inlineStr">
        <is>
          <t>The gate rule: at least one solution at hierarchy level 1 to 3 per root cause. If everything you selected is training and reminders, your improvement will be gone in two months and you will not know why.</t>
        </is>
      </c>
    </row>
    <row r="13"/>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S40"/>
  <sheetViews>
    <sheetView showFormulas="0" showGridLines="1" showRowColHeaders="1" showZeros="1" rightToLeft="0" tabSelected="0" showOutlineSymbols="1" defaultGridColor="1"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baseColWidth="8" defaultColWidth="8.6796875" defaultRowHeight="15" zeroHeight="0" outlineLevelRow="0"/>
  <cols>
    <col width="28" customWidth="1" style="35" min="1" max="1"/>
    <col width="34" customWidth="1" style="35" min="2" max="2"/>
    <col width="15" customWidth="1" style="35" min="3" max="9"/>
    <col width="14" customWidth="1" style="35" min="10" max="10"/>
    <col width="7" customWidth="1" style="35" min="11" max="11"/>
    <col width="17" customWidth="1" style="35" min="12" max="12"/>
    <col width="11" customWidth="1" style="35" min="13" max="13"/>
  </cols>
  <sheetData>
    <row r="1" ht="25.5" customHeight="1" s="36">
      <c r="A1" s="42" t="inlineStr">
        <is>
          <t>Solution Selection  —  choose deliberately, not by enthusiasm</t>
        </is>
      </c>
    </row>
    <row r="2" ht="27.75" customHeight="1" s="36">
      <c r="A2" s="43" t="inlineStr">
        <is>
          <t>Score every option against weighted criteria. The score, rank and durability warning calculate themselves.</t>
        </is>
      </c>
    </row>
    <row r="4" ht="19.5" customHeight="1" s="36">
      <c r="A4" s="44" t="inlineStr">
        <is>
          <t>HOW TO USE THIS SHEET</t>
        </is>
      </c>
    </row>
    <row r="5" ht="15" customHeight="1" s="36">
      <c r="A5" s="45" t="inlineStr">
        <is>
          <t>Yellow cells</t>
        </is>
      </c>
      <c r="B5" s="46" t="inlineStr">
        <is>
          <t>You fill these in. Blue text = a number you typed.</t>
        </is>
      </c>
    </row>
    <row r="6" ht="15" customHeight="1" s="36">
      <c r="A6" s="47" t="inlineStr">
        <is>
          <t>Blue cells</t>
        </is>
      </c>
      <c r="B6" s="46" t="inlineStr">
        <is>
          <t>Calculated for you. Do not type over these — they contain formulas.</t>
        </is>
      </c>
    </row>
    <row r="7" ht="15" customHeight="1" s="36">
      <c r="A7" s="48" t="inlineStr">
        <is>
          <t>Row 1 example</t>
        </is>
      </c>
      <c r="B7" s="46" t="inlineStr">
        <is>
          <t>A realistic worked example, so you can see the expected format. Delete or overwrite it.</t>
        </is>
      </c>
    </row>
    <row r="9" ht="19.5" customHeight="1" s="36">
      <c r="A9" s="44" t="inlineStr">
        <is>
          <t>CRITERIA WEIGHTS  —  adjust these with your Champion before you score anything. They must sum to 100%.</t>
        </is>
      </c>
    </row>
    <row r="10" ht="15" customHeight="1" s="36">
      <c r="B10" s="49" t="inlineStr">
        <is>
          <t>Weight →</t>
        </is>
      </c>
      <c r="C10" s="50" t="n">
        <v>0.25</v>
      </c>
      <c r="D10" s="50" t="n">
        <v>0.2</v>
      </c>
      <c r="E10" s="50" t="n">
        <v>0.15</v>
      </c>
      <c r="F10" s="50" t="n">
        <v>0.1</v>
      </c>
      <c r="G10" s="50" t="n">
        <v>0.1</v>
      </c>
      <c r="H10" s="50" t="n">
        <v>0.1</v>
      </c>
      <c r="I10" s="50" t="n">
        <v>0.1</v>
      </c>
      <c r="J10" s="51">
        <f>SUM(C10:I10)</f>
        <v/>
      </c>
      <c r="K10" s="52" t="inlineStr">
        <is>
          <t>← must be 100%</t>
        </is>
      </c>
    </row>
    <row r="12" ht="19.5" customHeight="1" s="36">
      <c r="A12" s="44" t="inlineStr">
        <is>
          <t>SCORE EACH OPTION 1–5 ON EVERY CRITERION.  Generate at least three options per root cause before you score.</t>
        </is>
      </c>
    </row>
    <row r="13" ht="31.5" customHeight="1" s="36">
      <c r="A13" s="53" t="inlineStr">
        <is>
          <t>Root cause it addresses</t>
        </is>
      </c>
      <c r="B13" s="53" t="inlineStr">
        <is>
          <t>Solution option</t>
        </is>
      </c>
      <c r="C13" s="53" t="inlineStr">
        <is>
          <t>Impact on the metric</t>
        </is>
      </c>
      <c r="D13" s="53" t="inlineStr">
        <is>
          <t>Durability under attrition</t>
        </is>
      </c>
      <c r="E13" s="53" t="inlineStr">
        <is>
          <t>Speed to implement</t>
        </is>
      </c>
      <c r="F13" s="53" t="inlineStr">
        <is>
          <t>Low cost</t>
        </is>
      </c>
      <c r="G13" s="53" t="inlineStr">
        <is>
          <t>Low effort</t>
        </is>
      </c>
      <c r="H13" s="53" t="inlineStr">
        <is>
          <t>Low risk of side-effects</t>
        </is>
      </c>
      <c r="I13" s="53" t="inlineStr">
        <is>
          <t>Replication potential</t>
        </is>
      </c>
      <c r="J13" s="53" t="inlineStr">
        <is>
          <t>Weighted score</t>
        </is>
      </c>
      <c r="K13" s="53" t="inlineStr">
        <is>
          <t>Rank</t>
        </is>
      </c>
      <c r="L13" s="53" t="inlineStr">
        <is>
          <t>Hierarchy level (1–6)</t>
        </is>
      </c>
      <c r="M13" s="53" t="inlineStr">
        <is>
          <t>Selected?</t>
        </is>
      </c>
      <c r="O13" s="75" t="inlineStr">
        <is>
          <t>rank</t>
        </is>
      </c>
      <c r="P13" s="73" t="inlineStr">
        <is>
          <t>#</t>
        </is>
      </c>
      <c r="Q13" s="73" t="inlineStr">
        <is>
          <t>Solution</t>
        </is>
      </c>
      <c r="R13" s="73" t="inlineStr">
        <is>
          <t>Weighted score</t>
        </is>
      </c>
      <c r="S13" s="73" t="n"/>
    </row>
    <row r="14" ht="23.85" customHeight="1" s="36">
      <c r="A14" s="70" t="inlineStr">
        <is>
          <t>Ticket closed before adjustment posts</t>
        </is>
      </c>
      <c r="B14" s="70" t="inlineStr">
        <is>
          <t>Block Resolved until the webhook confirms</t>
        </is>
      </c>
      <c r="C14" s="70" t="n">
        <v>5</v>
      </c>
      <c r="D14" s="70" t="n">
        <v>5</v>
      </c>
      <c r="E14" s="70" t="n">
        <v>3</v>
      </c>
      <c r="F14" s="70" t="n">
        <v>4</v>
      </c>
      <c r="G14" s="70" t="n">
        <v>3</v>
      </c>
      <c r="H14" s="70" t="n">
        <v>4</v>
      </c>
      <c r="I14" s="70" t="n">
        <v>5</v>
      </c>
      <c r="J14" s="55">
        <f>IF(COUNT(C14:I14)=0,"",SUMPRODUCT(C14:I14,$C$10:$I$10))</f>
        <v/>
      </c>
      <c r="K14" s="56">
        <f>IF(J14="","",RANK(J14,$J$14:$J$32))</f>
        <v/>
      </c>
      <c r="L14" s="71" t="inlineStr">
        <is>
          <t>2 Design it out</t>
        </is>
      </c>
      <c r="M14" s="71" t="inlineStr">
        <is>
          <t>Yes</t>
        </is>
      </c>
      <c r="O14" s="76">
        <f>IF(J14="","",RANK(J14,$J$14:$J$33,0)+COUNTIF($J$14:J14,J14)-1)</f>
        <v/>
      </c>
      <c r="P14" s="77" t="n">
        <v>1</v>
      </c>
      <c r="Q14" s="78">
        <f>IFERROR(INDEX($B$14:$B$33,MATCH(P14,$O$14:$O$33,0)),"")</f>
        <v/>
      </c>
      <c r="R14" s="74">
        <f>IFERROR(INDEX($J$14:$J$33,MATCH(P14,$O$14:$O$33,0)),"")</f>
        <v/>
      </c>
      <c r="S14" s="74" t="n"/>
    </row>
    <row r="15" ht="30" customHeight="1" s="36">
      <c r="A15" s="72" t="inlineStr">
        <is>
          <t>Contact reason mis-tagged</t>
        </is>
      </c>
      <c r="B15" s="72" t="inlineStr">
        <is>
          <t>Cut to 12 codes and predict from first message</t>
        </is>
      </c>
      <c r="C15" s="72" t="n">
        <v>4</v>
      </c>
      <c r="D15" s="72" t="n">
        <v>5</v>
      </c>
      <c r="E15" s="72" t="n">
        <v>2</v>
      </c>
      <c r="F15" s="72" t="n">
        <v>3</v>
      </c>
      <c r="G15" s="72" t="n">
        <v>2</v>
      </c>
      <c r="H15" s="72" t="n">
        <v>3</v>
      </c>
      <c r="I15" s="72" t="n">
        <v>5</v>
      </c>
      <c r="J15" s="55">
        <f>IF(COUNT(C15:I15)=0,"",SUMPRODUCT(C15:I15,$C$10:$I$10))</f>
        <v/>
      </c>
      <c r="K15" s="56">
        <f>IF(J15="","",RANK(J15,$J$14:$J$32))</f>
        <v/>
      </c>
      <c r="L15" s="71" t="inlineStr">
        <is>
          <t>2 Design it out</t>
        </is>
      </c>
      <c r="M15" s="71" t="inlineStr">
        <is>
          <t>Yes</t>
        </is>
      </c>
      <c r="O15" s="76">
        <f>IF(J15="","",RANK(J15,$J$14:$J$33,0)+COUNTIF($J$14:J15,J15)-1)</f>
        <v/>
      </c>
      <c r="P15" s="77" t="n">
        <v>2</v>
      </c>
      <c r="Q15" s="78">
        <f>IFERROR(INDEX($B$14:$B$33,MATCH(P15,$O$14:$O$33,0)),"")</f>
        <v/>
      </c>
      <c r="R15" s="74">
        <f>IFERROR(INDEX($J$14:$J$33,MATCH(P15,$O$14:$O$33,0)),"")</f>
        <v/>
      </c>
      <c r="S15" s="74" t="n"/>
    </row>
    <row r="16" ht="30" customHeight="1" s="36">
      <c r="A16" s="72" t="inlineStr">
        <is>
          <t>Billing sweep runs once a day</t>
        </is>
      </c>
      <c r="B16" s="72" t="inlineStr">
        <is>
          <t>Move to continuous pull with a WIP cap</t>
        </is>
      </c>
      <c r="C16" s="72" t="n">
        <v>5</v>
      </c>
      <c r="D16" s="72" t="n">
        <v>4</v>
      </c>
      <c r="E16" s="72" t="n">
        <v>2</v>
      </c>
      <c r="F16" s="72" t="n">
        <v>3</v>
      </c>
      <c r="G16" s="72" t="n">
        <v>2</v>
      </c>
      <c r="H16" s="72" t="n">
        <v>2</v>
      </c>
      <c r="I16" s="72" t="n">
        <v>4</v>
      </c>
      <c r="J16" s="55">
        <f>IF(COUNT(C16:I16)=0,"",SUMPRODUCT(C16:I16,$C$10:$I$10))</f>
        <v/>
      </c>
      <c r="K16" s="56">
        <f>IF(J16="","",RANK(J16,$J$14:$J$32))</f>
        <v/>
      </c>
      <c r="L16" s="71" t="inlineStr">
        <is>
          <t>3 Mistake-proof it</t>
        </is>
      </c>
      <c r="M16" s="71" t="inlineStr">
        <is>
          <t>Yes</t>
        </is>
      </c>
      <c r="O16" s="76">
        <f>IF(J16="","",RANK(J16,$J$14:$J$33,0)+COUNTIF($J$14:J16,J16)-1)</f>
        <v/>
      </c>
      <c r="P16" s="77" t="n">
        <v>3</v>
      </c>
      <c r="Q16" s="78">
        <f>IFERROR(INDEX($B$14:$B$33,MATCH(P16,$O$14:$O$33,0)),"")</f>
        <v/>
      </c>
      <c r="R16" s="74">
        <f>IFERROR(INDEX($J$14:$J$33,MATCH(P16,$O$14:$O$33,0)),"")</f>
        <v/>
      </c>
      <c r="S16" s="74" t="n"/>
    </row>
    <row r="17" ht="30" customHeight="1" s="36">
      <c r="A17" s="72" t="inlineStr">
        <is>
          <t>Batch fails silently</t>
        </is>
      </c>
      <c r="B17" s="72" t="inlineStr">
        <is>
          <t>Alert on non-zero exit to on-call</t>
        </is>
      </c>
      <c r="C17" s="72" t="n">
        <v>3</v>
      </c>
      <c r="D17" s="72" t="n">
        <v>5</v>
      </c>
      <c r="E17" s="72" t="n">
        <v>5</v>
      </c>
      <c r="F17" s="72" t="n">
        <v>5</v>
      </c>
      <c r="G17" s="72" t="n">
        <v>5</v>
      </c>
      <c r="H17" s="72" t="n">
        <v>5</v>
      </c>
      <c r="I17" s="72" t="n">
        <v>5</v>
      </c>
      <c r="J17" s="55">
        <f>IF(COUNT(C17:I17)=0,"",SUMPRODUCT(C17:I17,$C$10:$I$10))</f>
        <v/>
      </c>
      <c r="K17" s="56">
        <f>IF(J17="","",RANK(J17,$J$14:$J$32))</f>
        <v/>
      </c>
      <c r="L17" s="71" t="inlineStr">
        <is>
          <t>4 Automatic detection</t>
        </is>
      </c>
      <c r="M17" s="71" t="inlineStr">
        <is>
          <t>Yes</t>
        </is>
      </c>
      <c r="O17" s="76">
        <f>IF(J17="","",RANK(J17,$J$14:$J$33,0)+COUNTIF($J$14:J17,J17)-1)</f>
        <v/>
      </c>
      <c r="P17" s="77" t="n">
        <v>4</v>
      </c>
      <c r="Q17" s="78">
        <f>IFERROR(INDEX($B$14:$B$33,MATCH(P17,$O$14:$O$33,0)),"")</f>
        <v/>
      </c>
      <c r="R17" s="74">
        <f>IFERROR(INDEX($J$14:$J$33,MATCH(P17,$O$14:$O$33,0)),"")</f>
        <v/>
      </c>
      <c r="S17" s="74" t="n"/>
    </row>
    <row r="18" ht="30" customHeight="1" s="36">
      <c r="A18" s="72" t="inlineStr">
        <is>
          <t>Evidence missing at hand-off</t>
        </is>
      </c>
      <c r="B18" s="72" t="inlineStr">
        <is>
          <t>Required-fields form before hand-off</t>
        </is>
      </c>
      <c r="C18" s="72" t="n">
        <v>3</v>
      </c>
      <c r="D18" s="72" t="n">
        <v>4</v>
      </c>
      <c r="E18" s="72" t="n">
        <v>4</v>
      </c>
      <c r="F18" s="72" t="n">
        <v>5</v>
      </c>
      <c r="G18" s="72" t="n">
        <v>4</v>
      </c>
      <c r="H18" s="72" t="n">
        <v>4</v>
      </c>
      <c r="I18" s="72" t="n">
        <v>4</v>
      </c>
      <c r="J18" s="55">
        <f>IF(COUNT(C18:I18)=0,"",SUMPRODUCT(C18:I18,$C$10:$I$10))</f>
        <v/>
      </c>
      <c r="K18" s="56">
        <f>IF(J18="","",RANK(J18,$J$14:$J$32))</f>
        <v/>
      </c>
      <c r="L18" s="71" t="inlineStr">
        <is>
          <t>3 Mistake-proof it</t>
        </is>
      </c>
      <c r="M18" s="71" t="inlineStr">
        <is>
          <t>Yes</t>
        </is>
      </c>
      <c r="O18" s="76">
        <f>IF(J18="","",RANK(J18,$J$14:$J$33,0)+COUNTIF($J$14:J18,J18)-1)</f>
        <v/>
      </c>
      <c r="P18" s="77" t="n">
        <v>5</v>
      </c>
      <c r="Q18" s="78">
        <f>IFERROR(INDEX($B$14:$B$33,MATCH(P18,$O$14:$O$33,0)),"")</f>
        <v/>
      </c>
      <c r="R18" s="74">
        <f>IFERROR(INDEX($J$14:$J$33,MATCH(P18,$O$14:$O$33,0)),"")</f>
        <v/>
      </c>
      <c r="S18" s="74" t="n"/>
    </row>
    <row r="19" ht="30" customHeight="1" s="36">
      <c r="A19" s="72" t="inlineStr">
        <is>
          <t>Contact reason mis-tagged</t>
        </is>
      </c>
      <c r="B19" s="72" t="inlineStr">
        <is>
          <t>Retrain agents on the existing code list</t>
        </is>
      </c>
      <c r="C19" s="72" t="n">
        <v>2</v>
      </c>
      <c r="D19" s="72" t="n">
        <v>1</v>
      </c>
      <c r="E19" s="72" t="n">
        <v>5</v>
      </c>
      <c r="F19" s="72" t="n">
        <v>5</v>
      </c>
      <c r="G19" s="72" t="n">
        <v>4</v>
      </c>
      <c r="H19" s="72" t="n">
        <v>5</v>
      </c>
      <c r="I19" s="72" t="n">
        <v>2</v>
      </c>
      <c r="J19" s="55">
        <f>IF(COUNT(C19:I19)=0,"",SUMPRODUCT(C19:I19,$C$10:$I$10))</f>
        <v/>
      </c>
      <c r="K19" s="56">
        <f>IF(J19="","",RANK(J19,$J$14:$J$32))</f>
        <v/>
      </c>
      <c r="L19" s="71" t="inlineStr">
        <is>
          <t>5 Standard work + training</t>
        </is>
      </c>
      <c r="M19" s="71" t="inlineStr">
        <is>
          <t>No</t>
        </is>
      </c>
      <c r="O19" s="76">
        <f>IF(J19="","",RANK(J19,$J$14:$J$33,0)+COUNTIF($J$14:J19,J19)-1)</f>
        <v/>
      </c>
      <c r="P19" s="77" t="n">
        <v>6</v>
      </c>
      <c r="Q19" s="78">
        <f>IFERROR(INDEX($B$14:$B$33,MATCH(P19,$O$14:$O$33,0)),"")</f>
        <v/>
      </c>
      <c r="R19" s="74">
        <f>IFERROR(INDEX($J$14:$J$33,MATCH(P19,$O$14:$O$33,0)),"")</f>
        <v/>
      </c>
      <c r="S19" s="74" t="n"/>
    </row>
    <row r="20" ht="30" customHeight="1" s="36">
      <c r="A20" s="58" t="n"/>
      <c r="B20" s="58" t="n"/>
      <c r="C20" s="58" t="n"/>
      <c r="D20" s="58" t="n"/>
      <c r="E20" s="58" t="n"/>
      <c r="F20" s="58" t="n"/>
      <c r="G20" s="58" t="n"/>
      <c r="H20" s="58" t="n"/>
      <c r="I20" s="58" t="n"/>
      <c r="J20" s="55">
        <f>IF(COUNT(C20:I20)=0,"",SUMPRODUCT(C20:I20,$C$10:$I$10))</f>
        <v/>
      </c>
      <c r="K20" s="56">
        <f>IF(J20="","",RANK(J20,$J$14:$J$32))</f>
        <v/>
      </c>
      <c r="L20" s="57" t="n"/>
      <c r="M20" s="57" t="n"/>
      <c r="O20" s="76">
        <f>IF(J20="","",RANK(J20,$J$14:$J$33,0)+COUNTIF($J$14:J20,J20)-1)</f>
        <v/>
      </c>
      <c r="P20" s="77" t="n">
        <v>7</v>
      </c>
      <c r="Q20" s="78">
        <f>IFERROR(INDEX($B$14:$B$33,MATCH(P20,$O$14:$O$33,0)),"")</f>
        <v/>
      </c>
      <c r="R20" s="74">
        <f>IFERROR(INDEX($J$14:$J$33,MATCH(P20,$O$14:$O$33,0)),"")</f>
        <v/>
      </c>
      <c r="S20" s="74" t="n"/>
    </row>
    <row r="21" ht="30" customHeight="1" s="36">
      <c r="A21" s="58" t="n"/>
      <c r="B21" s="58" t="n"/>
      <c r="C21" s="58" t="n"/>
      <c r="D21" s="58" t="n"/>
      <c r="E21" s="58" t="n"/>
      <c r="F21" s="58" t="n"/>
      <c r="G21" s="58" t="n"/>
      <c r="H21" s="58" t="n"/>
      <c r="I21" s="58" t="n"/>
      <c r="J21" s="55">
        <f>IF(COUNT(C21:I21)=0,"",SUMPRODUCT(C21:I21,$C$10:$I$10))</f>
        <v/>
      </c>
      <c r="K21" s="56">
        <f>IF(J21="","",RANK(J21,$J$14:$J$32))</f>
        <v/>
      </c>
      <c r="L21" s="57" t="n"/>
      <c r="M21" s="57" t="n"/>
      <c r="O21" s="76">
        <f>IF(J21="","",RANK(J21,$J$14:$J$33,0)+COUNTIF($J$14:J21,J21)-1)</f>
        <v/>
      </c>
      <c r="P21" s="77" t="n">
        <v>8</v>
      </c>
      <c r="Q21" s="78">
        <f>IFERROR(INDEX($B$14:$B$33,MATCH(P21,$O$14:$O$33,0)),"")</f>
        <v/>
      </c>
      <c r="R21" s="74">
        <f>IFERROR(INDEX($J$14:$J$33,MATCH(P21,$O$14:$O$33,0)),"")</f>
        <v/>
      </c>
      <c r="S21" s="74" t="n"/>
    </row>
    <row r="22" ht="30" customHeight="1" s="36">
      <c r="A22" s="58" t="n"/>
      <c r="B22" s="58" t="n"/>
      <c r="C22" s="58" t="n"/>
      <c r="D22" s="58" t="n"/>
      <c r="E22" s="58" t="n"/>
      <c r="F22" s="58" t="n"/>
      <c r="G22" s="58" t="n"/>
      <c r="H22" s="58" t="n"/>
      <c r="I22" s="58" t="n"/>
      <c r="J22" s="55">
        <f>IF(COUNT(C22:I22)=0,"",SUMPRODUCT(C22:I22,$C$10:$I$10))</f>
        <v/>
      </c>
      <c r="K22" s="56">
        <f>IF(J22="","",RANK(J22,$J$14:$J$32))</f>
        <v/>
      </c>
      <c r="L22" s="57" t="n"/>
      <c r="M22" s="57" t="n"/>
      <c r="O22" s="76">
        <f>IF(J22="","",RANK(J22,$J$14:$J$33,0)+COUNTIF($J$14:J22,J22)-1)</f>
        <v/>
      </c>
      <c r="P22" s="77" t="n">
        <v>9</v>
      </c>
      <c r="Q22" s="78">
        <f>IFERROR(INDEX($B$14:$B$33,MATCH(P22,$O$14:$O$33,0)),"")</f>
        <v/>
      </c>
      <c r="R22" s="74">
        <f>IFERROR(INDEX($J$14:$J$33,MATCH(P22,$O$14:$O$33,0)),"")</f>
        <v/>
      </c>
      <c r="S22" s="74" t="n"/>
    </row>
    <row r="23" ht="30" customHeight="1" s="36">
      <c r="A23" s="58" t="n"/>
      <c r="B23" s="58" t="n"/>
      <c r="C23" s="58" t="n"/>
      <c r="D23" s="58" t="n"/>
      <c r="E23" s="58" t="n"/>
      <c r="F23" s="58" t="n"/>
      <c r="G23" s="58" t="n"/>
      <c r="H23" s="58" t="n"/>
      <c r="I23" s="58" t="n"/>
      <c r="J23" s="55">
        <f>IF(COUNT(C23:I23)=0,"",SUMPRODUCT(C23:I23,$C$10:$I$10))</f>
        <v/>
      </c>
      <c r="K23" s="56">
        <f>IF(J23="","",RANK(J23,$J$14:$J$32))</f>
        <v/>
      </c>
      <c r="L23" s="57" t="n"/>
      <c r="M23" s="57" t="n"/>
      <c r="O23" s="76">
        <f>IF(J23="","",RANK(J23,$J$14:$J$33,0)+COUNTIF($J$14:J23,J23)-1)</f>
        <v/>
      </c>
      <c r="P23" s="77" t="n">
        <v>10</v>
      </c>
      <c r="Q23" s="78">
        <f>IFERROR(INDEX($B$14:$B$33,MATCH(P23,$O$14:$O$33,0)),"")</f>
        <v/>
      </c>
      <c r="R23" s="74">
        <f>IFERROR(INDEX($J$14:$J$33,MATCH(P23,$O$14:$O$33,0)),"")</f>
        <v/>
      </c>
      <c r="S23" s="74" t="n"/>
    </row>
    <row r="24" ht="30" customHeight="1" s="36">
      <c r="A24" s="58" t="n"/>
      <c r="B24" s="58" t="n"/>
      <c r="C24" s="58" t="n"/>
      <c r="D24" s="58" t="n"/>
      <c r="E24" s="58" t="n"/>
      <c r="F24" s="58" t="n"/>
      <c r="G24" s="58" t="n"/>
      <c r="H24" s="58" t="n"/>
      <c r="I24" s="58" t="n"/>
      <c r="J24" s="55">
        <f>IF(COUNT(C24:I24)=0,"",SUMPRODUCT(C24:I24,$C$10:$I$10))</f>
        <v/>
      </c>
      <c r="K24" s="56">
        <f>IF(J24="","",RANK(J24,$J$14:$J$32))</f>
        <v/>
      </c>
      <c r="L24" s="57" t="n"/>
      <c r="M24" s="57" t="n"/>
      <c r="O24" s="76">
        <f>IF(J24="","",RANK(J24,$J$14:$J$33,0)+COUNTIF($J$14:J24,J24)-1)</f>
        <v/>
      </c>
      <c r="P24" s="77" t="n">
        <v>11</v>
      </c>
      <c r="Q24" s="78">
        <f>IFERROR(INDEX($B$14:$B$33,MATCH(P24,$O$14:$O$33,0)),"")</f>
        <v/>
      </c>
      <c r="R24" s="74">
        <f>IFERROR(INDEX($J$14:$J$33,MATCH(P24,$O$14:$O$33,0)),"")</f>
        <v/>
      </c>
      <c r="S24" s="74" t="n"/>
    </row>
    <row r="25" ht="30" customHeight="1" s="36">
      <c r="A25" s="58" t="n"/>
      <c r="B25" s="58" t="n"/>
      <c r="C25" s="58" t="n"/>
      <c r="D25" s="58" t="n"/>
      <c r="E25" s="58" t="n"/>
      <c r="F25" s="58" t="n"/>
      <c r="G25" s="58" t="n"/>
      <c r="H25" s="58" t="n"/>
      <c r="I25" s="58" t="n"/>
      <c r="J25" s="55">
        <f>IF(COUNT(C25:I25)=0,"",SUMPRODUCT(C25:I25,$C$10:$I$10))</f>
        <v/>
      </c>
      <c r="K25" s="56">
        <f>IF(J25="","",RANK(J25,$J$14:$J$32))</f>
        <v/>
      </c>
      <c r="L25" s="57" t="n"/>
      <c r="M25" s="57" t="n"/>
      <c r="O25" s="76">
        <f>IF(J25="","",RANK(J25,$J$14:$J$33,0)+COUNTIF($J$14:J25,J25)-1)</f>
        <v/>
      </c>
      <c r="P25" s="77" t="n">
        <v>12</v>
      </c>
      <c r="Q25" s="78">
        <f>IFERROR(INDEX($B$14:$B$33,MATCH(P25,$O$14:$O$33,0)),"")</f>
        <v/>
      </c>
      <c r="R25" s="74">
        <f>IFERROR(INDEX($J$14:$J$33,MATCH(P25,$O$14:$O$33,0)),"")</f>
        <v/>
      </c>
      <c r="S25" s="74" t="n"/>
    </row>
    <row r="26" ht="30" customHeight="1" s="36">
      <c r="A26" s="58" t="n"/>
      <c r="B26" s="58" t="n"/>
      <c r="C26" s="58" t="n"/>
      <c r="D26" s="58" t="n"/>
      <c r="E26" s="58" t="n"/>
      <c r="F26" s="58" t="n"/>
      <c r="G26" s="58" t="n"/>
      <c r="H26" s="58" t="n"/>
      <c r="I26" s="58" t="n"/>
      <c r="J26" s="55">
        <f>IF(COUNT(C26:I26)=0,"",SUMPRODUCT(C26:I26,$C$10:$I$10))</f>
        <v/>
      </c>
      <c r="K26" s="56">
        <f>IF(J26="","",RANK(J26,$J$14:$J$32))</f>
        <v/>
      </c>
      <c r="L26" s="57" t="n"/>
      <c r="M26" s="57" t="n"/>
      <c r="O26" s="76">
        <f>IF(J26="","",RANK(J26,$J$14:$J$33,0)+COUNTIF($J$14:J26,J26)-1)</f>
        <v/>
      </c>
      <c r="P26" s="77" t="n">
        <v>13</v>
      </c>
      <c r="Q26" s="78">
        <f>IFERROR(INDEX($B$14:$B$33,MATCH(P26,$O$14:$O$33,0)),"")</f>
        <v/>
      </c>
      <c r="R26" s="74">
        <f>IFERROR(INDEX($J$14:$J$33,MATCH(P26,$O$14:$O$33,0)),"")</f>
        <v/>
      </c>
      <c r="S26" s="74" t="n"/>
    </row>
    <row r="27" ht="30" customHeight="1" s="36">
      <c r="A27" s="58" t="n"/>
      <c r="B27" s="58" t="n"/>
      <c r="C27" s="58" t="n"/>
      <c r="D27" s="58" t="n"/>
      <c r="E27" s="58" t="n"/>
      <c r="F27" s="58" t="n"/>
      <c r="G27" s="58" t="n"/>
      <c r="H27" s="58" t="n"/>
      <c r="I27" s="58" t="n"/>
      <c r="J27" s="55">
        <f>IF(COUNT(C27:I27)=0,"",SUMPRODUCT(C27:I27,$C$10:$I$10))</f>
        <v/>
      </c>
      <c r="K27" s="56">
        <f>IF(J27="","",RANK(J27,$J$14:$J$32))</f>
        <v/>
      </c>
      <c r="L27" s="57" t="n"/>
      <c r="M27" s="57" t="n"/>
      <c r="O27" s="76">
        <f>IF(J27="","",RANK(J27,$J$14:$J$33,0)+COUNTIF($J$14:J27,J27)-1)</f>
        <v/>
      </c>
      <c r="P27" s="77" t="n">
        <v>14</v>
      </c>
      <c r="Q27" s="78">
        <f>IFERROR(INDEX($B$14:$B$33,MATCH(P27,$O$14:$O$33,0)),"")</f>
        <v/>
      </c>
      <c r="R27" s="74">
        <f>IFERROR(INDEX($J$14:$J$33,MATCH(P27,$O$14:$O$33,0)),"")</f>
        <v/>
      </c>
      <c r="S27" s="74" t="n"/>
    </row>
    <row r="28" ht="30" customHeight="1" s="36">
      <c r="A28" s="58" t="n"/>
      <c r="B28" s="58" t="n"/>
      <c r="C28" s="58" t="n"/>
      <c r="D28" s="58" t="n"/>
      <c r="E28" s="58" t="n"/>
      <c r="F28" s="58" t="n"/>
      <c r="G28" s="58" t="n"/>
      <c r="H28" s="58" t="n"/>
      <c r="I28" s="58" t="n"/>
      <c r="J28" s="55">
        <f>IF(COUNT(C28:I28)=0,"",SUMPRODUCT(C28:I28,$C$10:$I$10))</f>
        <v/>
      </c>
      <c r="K28" s="56">
        <f>IF(J28="","",RANK(J28,$J$14:$J$32))</f>
        <v/>
      </c>
      <c r="L28" s="57" t="n"/>
      <c r="M28" s="57" t="n"/>
      <c r="O28" s="76">
        <f>IF(J28="","",RANK(J28,$J$14:$J$33,0)+COUNTIF($J$14:J28,J28)-1)</f>
        <v/>
      </c>
      <c r="P28" s="77" t="n">
        <v>15</v>
      </c>
      <c r="Q28" s="78">
        <f>IFERROR(INDEX($B$14:$B$33,MATCH(P28,$O$14:$O$33,0)),"")</f>
        <v/>
      </c>
      <c r="R28" s="74">
        <f>IFERROR(INDEX($J$14:$J$33,MATCH(P28,$O$14:$O$33,0)),"")</f>
        <v/>
      </c>
      <c r="S28" s="74" t="n"/>
    </row>
    <row r="29" ht="30" customHeight="1" s="36">
      <c r="A29" s="58" t="n"/>
      <c r="B29" s="58" t="n"/>
      <c r="C29" s="58" t="n"/>
      <c r="D29" s="58" t="n"/>
      <c r="E29" s="58" t="n"/>
      <c r="F29" s="58" t="n"/>
      <c r="G29" s="58" t="n"/>
      <c r="H29" s="58" t="n"/>
      <c r="I29" s="58" t="n"/>
      <c r="J29" s="55">
        <f>IF(COUNT(C29:I29)=0,"",SUMPRODUCT(C29:I29,$C$10:$I$10))</f>
        <v/>
      </c>
      <c r="K29" s="56">
        <f>IF(J29="","",RANK(J29,$J$14:$J$32))</f>
        <v/>
      </c>
      <c r="L29" s="57" t="n"/>
      <c r="M29" s="57" t="n"/>
      <c r="O29" s="76">
        <f>IF(J29="","",RANK(J29,$J$14:$J$33,0)+COUNTIF($J$14:J29,J29)-1)</f>
        <v/>
      </c>
      <c r="P29" s="77" t="n">
        <v>16</v>
      </c>
      <c r="Q29" s="78">
        <f>IFERROR(INDEX($B$14:$B$33,MATCH(P29,$O$14:$O$33,0)),"")</f>
        <v/>
      </c>
      <c r="R29" s="74">
        <f>IFERROR(INDEX($J$14:$J$33,MATCH(P29,$O$14:$O$33,0)),"")</f>
        <v/>
      </c>
      <c r="S29" s="74" t="n"/>
    </row>
    <row r="30" ht="30" customHeight="1" s="36">
      <c r="A30" s="58" t="n"/>
      <c r="B30" s="58" t="n"/>
      <c r="C30" s="58" t="n"/>
      <c r="D30" s="58" t="n"/>
      <c r="E30" s="58" t="n"/>
      <c r="F30" s="58" t="n"/>
      <c r="G30" s="58" t="n"/>
      <c r="H30" s="58" t="n"/>
      <c r="I30" s="58" t="n"/>
      <c r="J30" s="55">
        <f>IF(COUNT(C30:I30)=0,"",SUMPRODUCT(C30:I30,$C$10:$I$10))</f>
        <v/>
      </c>
      <c r="K30" s="56">
        <f>IF(J30="","",RANK(J30,$J$14:$J$32))</f>
        <v/>
      </c>
      <c r="L30" s="57" t="n"/>
      <c r="M30" s="57" t="n"/>
      <c r="O30" s="76">
        <f>IF(J30="","",RANK(J30,$J$14:$J$33,0)+COUNTIF($J$14:J30,J30)-1)</f>
        <v/>
      </c>
      <c r="P30" s="77" t="n">
        <v>17</v>
      </c>
      <c r="Q30" s="78">
        <f>IFERROR(INDEX($B$14:$B$33,MATCH(P30,$O$14:$O$33,0)),"")</f>
        <v/>
      </c>
      <c r="R30" s="74">
        <f>IFERROR(INDEX($J$14:$J$33,MATCH(P30,$O$14:$O$33,0)),"")</f>
        <v/>
      </c>
      <c r="S30" s="74" t="n"/>
    </row>
    <row r="31" ht="30" customHeight="1" s="36">
      <c r="A31" s="58" t="n"/>
      <c r="B31" s="58" t="n"/>
      <c r="C31" s="58" t="n"/>
      <c r="D31" s="58" t="n"/>
      <c r="E31" s="58" t="n"/>
      <c r="F31" s="58" t="n"/>
      <c r="G31" s="58" t="n"/>
      <c r="H31" s="58" t="n"/>
      <c r="I31" s="58" t="n"/>
      <c r="J31" s="55">
        <f>IF(COUNT(C31:I31)=0,"",SUMPRODUCT(C31:I31,$C$10:$I$10))</f>
        <v/>
      </c>
      <c r="K31" s="56">
        <f>IF(J31="","",RANK(J31,$J$14:$J$32))</f>
        <v/>
      </c>
      <c r="L31" s="57" t="n"/>
      <c r="M31" s="57" t="n"/>
      <c r="O31" s="76">
        <f>IF(J31="","",RANK(J31,$J$14:$J$33,0)+COUNTIF($J$14:J31,J31)-1)</f>
        <v/>
      </c>
      <c r="P31" s="77" t="n">
        <v>18</v>
      </c>
      <c r="Q31" s="78">
        <f>IFERROR(INDEX($B$14:$B$33,MATCH(P31,$O$14:$O$33,0)),"")</f>
        <v/>
      </c>
      <c r="R31" s="74">
        <f>IFERROR(INDEX($J$14:$J$33,MATCH(P31,$O$14:$O$33,0)),"")</f>
        <v/>
      </c>
      <c r="S31" s="74" t="n"/>
    </row>
    <row r="32" ht="30" customHeight="1" s="36">
      <c r="A32" s="58" t="n"/>
      <c r="B32" s="58" t="n"/>
      <c r="C32" s="58" t="n"/>
      <c r="D32" s="58" t="n"/>
      <c r="E32" s="58" t="n"/>
      <c r="F32" s="58" t="n"/>
      <c r="G32" s="58" t="n"/>
      <c r="H32" s="58" t="n"/>
      <c r="I32" s="58" t="n"/>
      <c r="J32" s="55">
        <f>IF(COUNT(C32:I32)=0,"",SUMPRODUCT(C32:I32,$C$10:$I$10))</f>
        <v/>
      </c>
      <c r="K32" s="56">
        <f>IF(J32="","",RANK(J32,$J$14:$J$32))</f>
        <v/>
      </c>
      <c r="L32" s="57" t="n"/>
      <c r="M32" s="57" t="n"/>
      <c r="O32" s="76">
        <f>IF(J32="","",RANK(J32,$J$14:$J$33,0)+COUNTIF($J$14:J32,J32)-1)</f>
        <v/>
      </c>
      <c r="P32" s="77" t="n">
        <v>19</v>
      </c>
      <c r="Q32" s="78">
        <f>IFERROR(INDEX($B$14:$B$33,MATCH(P32,$O$14:$O$33,0)),"")</f>
        <v/>
      </c>
      <c r="R32" s="74">
        <f>IFERROR(INDEX($J$14:$J$33,MATCH(P32,$O$14:$O$33,0)),"")</f>
        <v/>
      </c>
      <c r="S32" s="74" t="n"/>
    </row>
    <row r="33">
      <c r="O33" s="76">
        <f>IF(J33="","",RANK(J33,$J$14:$J$33,0)+COUNTIF($J$14:J33,J33)-1)</f>
        <v/>
      </c>
      <c r="P33" s="77" t="n">
        <v>20</v>
      </c>
      <c r="Q33" s="78">
        <f>IFERROR(INDEX($B$14:$B$33,MATCH(P33,$O$14:$O$33,0)),"")</f>
        <v/>
      </c>
      <c r="R33" s="74">
        <f>IFERROR(INDEX($J$14:$J$33,MATCH(P33,$O$14:$O$33,0)),"")</f>
        <v/>
      </c>
      <c r="S33" s="74" t="n"/>
    </row>
    <row r="34" ht="19.5" customHeight="1" s="36">
      <c r="A34" s="44" t="inlineStr">
        <is>
          <t>DURABILITY CHECK</t>
        </is>
      </c>
    </row>
    <row r="35" ht="15" customHeight="1" s="36">
      <c r="A35" s="49" t="inlineStr">
        <is>
          <t>Options scored</t>
        </is>
      </c>
      <c r="E35" s="59">
        <f>COUNTA(B14:B32)</f>
        <v/>
      </c>
    </row>
    <row r="36" ht="15" customHeight="1" s="36">
      <c r="A36" s="49" t="inlineStr">
        <is>
          <t>Selected</t>
        </is>
      </c>
      <c r="E36" s="59">
        <f>COUNTIF(M14:M32,"Yes")</f>
        <v/>
      </c>
    </row>
    <row r="37" ht="15" customHeight="1" s="36">
      <c r="A37" s="49" t="inlineStr">
        <is>
          <t>Selected at hierarchy level 1–3 (durable)</t>
        </is>
      </c>
      <c r="E37" s="59">
        <f>SUMPRODUCT((M14:M32="Yes")*((LEFT(L14:L32&amp;" ",1)="1")+(LEFT(L14:L32&amp;" ",1)="2")+(LEFT(L14:L32&amp;" ",1)="3")))</f>
        <v/>
      </c>
    </row>
    <row r="38" ht="15" customHeight="1" s="36">
      <c r="A38" s="49" t="inlineStr">
        <is>
          <t>Selected at level 5–6 only (will decay)</t>
        </is>
      </c>
      <c r="E38" s="59">
        <f>SUMPRODUCT((M14:M32="Yes")*((LEFT(L14:L32&amp;" ",1)="5")+(LEFT(L14:L32&amp;" ",1)="6")))</f>
        <v/>
      </c>
    </row>
    <row r="40" ht="39" customHeight="1" s="36">
      <c r="A40" s="60" t="inlineStr">
        <is>
          <t>GATE RULE: you need at least one solution at hierarchy level 1–3 for every root cause. A solution set made only of levels 5 and 6 — standardise, train and remind — has a half-life of six to ten weeks, because attrition and new hires wash it away.</t>
        </is>
      </c>
    </row>
  </sheetData>
  <mergeCells count="14">
    <mergeCell ref="A37:D37"/>
    <mergeCell ref="B7:F7"/>
    <mergeCell ref="A1:M1"/>
    <mergeCell ref="B6:F6"/>
    <mergeCell ref="A35:D35"/>
    <mergeCell ref="A34:M34"/>
    <mergeCell ref="B5:F5"/>
    <mergeCell ref="A9:M9"/>
    <mergeCell ref="A12:M12"/>
    <mergeCell ref="A38:D38"/>
    <mergeCell ref="A40:M40"/>
    <mergeCell ref="A4:F4"/>
    <mergeCell ref="A2:M2"/>
    <mergeCell ref="A36:D36"/>
  </mergeCells>
  <dataValidations count="3">
    <dataValidation sqref="C14:I32" showDropDown="0" showInputMessage="0" showErrorMessage="0" allowBlank="1" type="list" errorStyle="stop" operator="between">
      <formula1>"1,2,3,4,5"</formula1>
      <formula2>0</formula2>
    </dataValidation>
    <dataValidation sqref="L14:L32" showDropDown="0" showInputMessage="0" showErrorMessage="0" allowBlank="1" type="list" errorStyle="stop" operator="between">
      <formula1>"1 Eliminate demand,2 Design it out,3 Guide it,4 Detect it,5 Standardise it,6 Train and remind"</formula1>
      <formula2>0</formula2>
    </dataValidation>
    <dataValidation sqref="M14:M32" showDropDown="0" showInputMessage="0" showErrorMessage="0" allowBlank="1" type="list" errorStyle="stop" operator="between">
      <formula1>"Yes,No"</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D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8" customWidth="1" style="35" min="1" max="1"/>
    <col width="26" customWidth="1" style="35" min="2" max="2"/>
    <col width="68" customWidth="1" style="35" min="3" max="3"/>
    <col width="26" customWidth="1" style="35" min="4" max="4"/>
  </cols>
  <sheetData>
    <row r="1" ht="25.5" customHeight="1" s="36">
      <c r="A1" s="42" t="inlineStr">
        <is>
          <t>The countermeasure hierarchy</t>
        </is>
      </c>
    </row>
    <row r="2" ht="27.75" customHeight="1" s="36">
      <c r="A2" s="43" t="inlineStr">
        <is>
          <t>Best to worst. Rate every solution you select.</t>
        </is>
      </c>
    </row>
    <row r="4" ht="31.5" customHeight="1" s="36">
      <c r="A4" s="53" t="inlineStr">
        <is>
          <t>Level</t>
        </is>
      </c>
      <c r="B4" s="53" t="inlineStr">
        <is>
          <t>Type</t>
        </is>
      </c>
      <c r="C4" s="53" t="inlineStr">
        <is>
          <t>What it means</t>
        </is>
      </c>
      <c r="D4" s="53" t="inlineStr">
        <is>
          <t>How long it lasts</t>
        </is>
      </c>
    </row>
    <row r="5" ht="25.5" customHeight="1" s="36">
      <c r="A5" s="61" t="n">
        <v>1</v>
      </c>
      <c r="B5" s="62" t="inlineStr">
        <is>
          <t>Eliminate the demand</t>
        </is>
      </c>
      <c r="C5" s="63" t="inlineStr">
        <is>
          <t>Fix the upstream cause so the contact never happens at all.</t>
        </is>
      </c>
      <c r="D5" s="62" t="inlineStr">
        <is>
          <t>Permanent</t>
        </is>
      </c>
    </row>
    <row r="6" ht="25.5" customHeight="1" s="36">
      <c r="A6" s="61" t="n">
        <v>2</v>
      </c>
      <c r="B6" s="62" t="inlineStr">
        <is>
          <t>Design it out</t>
        </is>
      </c>
      <c r="C6" s="63" t="inlineStr">
        <is>
          <t>Change the system so the error is impossible.</t>
        </is>
      </c>
      <c r="D6" s="62" t="inlineStr">
        <is>
          <t>Permanent</t>
        </is>
      </c>
    </row>
    <row r="7" ht="25.5" customHeight="1" s="36">
      <c r="A7" s="61" t="n">
        <v>3</v>
      </c>
      <c r="B7" s="62" t="inlineStr">
        <is>
          <t>Guide it</t>
        </is>
      </c>
      <c r="C7" s="63" t="inlineStr">
        <is>
          <t>The workflow forces the right path; doing it wrong needs a deliberate override.</t>
        </is>
      </c>
      <c r="D7" s="62" t="inlineStr">
        <is>
          <t>Very durable</t>
        </is>
      </c>
    </row>
    <row r="8" ht="25.5" customHeight="1" s="36">
      <c r="A8" s="64" t="n">
        <v>4</v>
      </c>
      <c r="B8" s="65" t="inlineStr">
        <is>
          <t>Detect it</t>
        </is>
      </c>
      <c r="C8" s="66" t="inlineStr">
        <is>
          <t>The system flags the error the moment it happens.</t>
        </is>
      </c>
      <c r="D8" s="65" t="inlineStr">
        <is>
          <t>Moderate</t>
        </is>
      </c>
    </row>
    <row r="9" ht="25.5" customHeight="1" s="36">
      <c r="A9" s="67" t="n">
        <v>5</v>
      </c>
      <c r="B9" s="68" t="inlineStr">
        <is>
          <t>Standardise it</t>
        </is>
      </c>
      <c r="C9" s="69" t="inlineStr">
        <is>
          <t>Documented standard work with a visible reference.</t>
        </is>
      </c>
      <c r="D9" s="68" t="inlineStr">
        <is>
          <t>Weak</t>
        </is>
      </c>
    </row>
    <row r="10" ht="25.5" customHeight="1" s="36">
      <c r="A10" s="67" t="n">
        <v>6</v>
      </c>
      <c r="B10" s="68" t="inlineStr">
        <is>
          <t>Train and remind</t>
        </is>
      </c>
      <c r="C10" s="69" t="inlineStr">
        <is>
          <t>Coaching, comms, reminders, posters.</t>
        </is>
      </c>
      <c r="D10" s="68" t="inlineStr">
        <is>
          <t>Six to ten weeks</t>
        </is>
      </c>
    </row>
  </sheetData>
  <mergeCells count="2">
    <mergeCell ref="A1:D1"/>
    <mergeCell ref="A2:D2"/>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2026-08-01T01:58:50Z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740bda92e265</vt:lpwstr>
  </property>
</Properties>
</file>