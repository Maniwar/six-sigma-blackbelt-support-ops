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ow to use this" sheetId="1" state="visible" r:id="rId1"/>
    <sheet name="Solution selection" sheetId="2" state="visible" r:id="rId2"/>
    <sheet name="Countermeasure hierarch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1F2937"/>
      <sz val="18"/>
    </font>
    <font>
      <name val="Arial"/>
      <charset val="1"/>
      <family val="0"/>
      <color rgb="FF1F2937"/>
      <sz val="10"/>
    </font>
    <font>
      <name val="Arial"/>
      <charset val="1"/>
      <family val="0"/>
      <b val="1"/>
      <color rgb="FFB45309"/>
      <sz val="12"/>
    </font>
    <font>
      <name val="Arial"/>
      <charset val="1"/>
      <family val="0"/>
      <b val="1"/>
      <color rgb="FFB91C1C"/>
      <sz val="10"/>
    </font>
    <font>
      <name val="Arial"/>
      <charset val="1"/>
      <family val="0"/>
      <b val="1"/>
      <color rgb="FFFFFFFF"/>
      <sz val="14"/>
    </font>
    <font>
      <name val="Arial"/>
      <charset val="1"/>
      <family val="0"/>
      <i val="1"/>
      <color rgb="FF657085"/>
      <sz val="9"/>
    </font>
    <font>
      <name val="Arial"/>
      <charset val="1"/>
      <family val="0"/>
      <b val="1"/>
      <color rgb="FFB45309"/>
      <sz val="9"/>
    </font>
    <font>
      <name val="Arial"/>
      <charset val="1"/>
      <family val="0"/>
      <color rgb="FF1F2937"/>
      <sz val="9"/>
    </font>
    <font>
      <name val="Arial"/>
      <charset val="1"/>
      <family val="0"/>
      <b val="1"/>
      <color rgb="FF1F2937"/>
      <sz val="10"/>
    </font>
    <font>
      <name val="Arial"/>
      <charset val="1"/>
      <family val="0"/>
      <b val="1"/>
      <color rgb="FF0000FF"/>
      <sz val="11"/>
    </font>
    <font>
      <name val="Arial"/>
      <charset val="1"/>
      <family val="0"/>
      <b val="1"/>
      <color rgb="FF1F2937"/>
      <sz val="11"/>
    </font>
    <font>
      <name val="Arial"/>
      <charset val="1"/>
      <family val="0"/>
      <i val="1"/>
      <color rgb="FFB91C1C"/>
      <sz val="9"/>
    </font>
    <font>
      <name val="Arial"/>
      <charset val="1"/>
      <family val="0"/>
      <b val="1"/>
      <color rgb="FFFFFFFF"/>
      <sz val="9"/>
    </font>
    <font>
      <name val="Arial"/>
      <charset val="1"/>
      <family val="0"/>
      <color rgb="FF006100"/>
      <sz val="10"/>
    </font>
    <font>
      <name val="Arial"/>
      <charset val="1"/>
      <family val="0"/>
      <color rgb="FF0000FF"/>
      <sz val="10"/>
    </font>
    <font>
      <b val="1"/>
      <sz val="10"/>
    </font>
    <font>
      <i val="1"/>
      <color rgb="FF6B7280"/>
      <sz val="9"/>
    </font>
  </fonts>
  <fills count="11">
    <fill>
      <patternFill/>
    </fill>
    <fill>
      <patternFill patternType="gray125"/>
    </fill>
    <fill>
      <patternFill patternType="solid">
        <fgColor rgb="FFFDEEEE"/>
        <bgColor rgb="FFEEF1F6"/>
      </patternFill>
    </fill>
    <fill>
      <patternFill patternType="solid">
        <fgColor rgb="FF151B24"/>
        <bgColor rgb="FF1F2937"/>
      </patternFill>
    </fill>
    <fill>
      <patternFill patternType="solid">
        <fgColor rgb="FFEEF1F6"/>
        <bgColor rgb="FFF2F7FF"/>
      </patternFill>
    </fill>
    <fill>
      <patternFill patternType="solid">
        <fgColor rgb="FFFFF9E3"/>
        <bgColor rgb="FFFDEEEE"/>
      </patternFill>
    </fill>
    <fill>
      <patternFill patternType="solid">
        <fgColor rgb="FFF2F7FF"/>
        <bgColor rgb="FFEEF1F6"/>
      </patternFill>
    </fill>
    <fill>
      <patternFill patternType="solid">
        <fgColor rgb="FFECFAEF"/>
        <bgColor rgb="FFF2F7FF"/>
      </patternFill>
    </fill>
    <fill>
      <patternFill patternType="solid">
        <fgColor rgb="FF333C49"/>
        <bgColor rgb="FF1F2937"/>
      </patternFill>
    </fill>
    <fill>
      <patternFill patternType="solid">
        <fgColor rgb="FFECFAEF"/>
      </patternFill>
    </fill>
    <fill>
      <patternFill patternType="solid">
        <fgColor rgb="FFF2F7FF"/>
      </patternFill>
    </fill>
  </fills>
  <borders count="2">
    <border>
      <left/>
      <right/>
      <top/>
      <bottom/>
      <diagonal/>
    </border>
    <border>
      <left style="thin">
        <color rgb="FFD8DEE8"/>
      </left>
      <right style="thin">
        <color rgb="FFD8DEE8"/>
      </right>
      <top style="thin">
        <color rgb="FFD8DEE8"/>
      </top>
      <bottom style="thin">
        <color rgb="FFD8DE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0" fillId="5" borderId="1" applyAlignment="1" pivotButton="0" quotePrefix="0" xfId="0">
      <alignment horizontal="general" vertical="bottom"/>
    </xf>
    <xf numFmtId="0" fontId="11" fillId="0" borderId="0"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12" fillId="0" borderId="0" applyAlignment="1" pivotButton="0" quotePrefix="0" xfId="0">
      <alignment horizontal="general" vertical="bottom"/>
    </xf>
    <xf numFmtId="9" fontId="13" fillId="5" borderId="1" applyAlignment="1" pivotButton="0" quotePrefix="0" xfId="0">
      <alignment horizontal="center" vertical="bottom"/>
    </xf>
    <xf numFmtId="9" fontId="14" fillId="6" borderId="1" applyAlignment="1" pivotButton="0" quotePrefix="0" xfId="0">
      <alignment horizontal="general" vertical="bottom"/>
    </xf>
    <xf numFmtId="0" fontId="15" fillId="0" borderId="0" applyAlignment="1" pivotButton="0" quotePrefix="0" xfId="0">
      <alignment horizontal="general" vertical="bottom"/>
    </xf>
    <xf numFmtId="0" fontId="16" fillId="8" borderId="1" applyAlignment="1" pivotButton="0" quotePrefix="0" xfId="0">
      <alignment horizontal="general" vertical="bottom" wrapText="1"/>
    </xf>
    <xf numFmtId="0" fontId="17" fillId="7" borderId="1" applyAlignment="1" pivotButton="0" quotePrefix="0" xfId="0">
      <alignment horizontal="general" vertical="top" wrapText="1"/>
    </xf>
    <xf numFmtId="2" fontId="14" fillId="6" borderId="1" applyAlignment="1" pivotButton="0" quotePrefix="0" xfId="0">
      <alignment horizontal="general" vertical="bottom"/>
    </xf>
    <xf numFmtId="0" fontId="14" fillId="6" borderId="1" applyAlignment="1" pivotButton="0" quotePrefix="0" xfId="0">
      <alignment horizontal="center" vertical="bottom"/>
    </xf>
    <xf numFmtId="0" fontId="18" fillId="5" borderId="1" applyAlignment="1" pivotButton="0" quotePrefix="0" xfId="0">
      <alignment horizontal="center" vertical="bottom"/>
    </xf>
    <xf numFmtId="0" fontId="18" fillId="5" borderId="1" applyAlignment="1" pivotButton="0" quotePrefix="0" xfId="0">
      <alignment horizontal="general" vertical="top" wrapText="1"/>
    </xf>
    <xf numFmtId="0" fontId="12" fillId="0" borderId="0" applyAlignment="1" pivotButton="0" quotePrefix="0" xfId="0">
      <alignment horizontal="general" vertical="bottom"/>
    </xf>
    <xf numFmtId="0" fontId="14" fillId="6" borderId="1" applyAlignment="1" pivotButton="0" quotePrefix="0" xfId="0">
      <alignment horizontal="general" vertical="bottom"/>
    </xf>
    <xf numFmtId="0" fontId="9" fillId="0" borderId="0" applyAlignment="1" pivotButton="0" quotePrefix="0" xfId="0">
      <alignment horizontal="general" vertical="top" wrapText="1" indent="1"/>
    </xf>
    <xf numFmtId="0" fontId="14" fillId="7" borderId="1" applyAlignment="1" pivotButton="0" quotePrefix="0" xfId="0">
      <alignment horizontal="general" vertical="center" wrapText="1"/>
    </xf>
    <xf numFmtId="0" fontId="12" fillId="7" borderId="1" applyAlignment="1" pivotButton="0" quotePrefix="0" xfId="0">
      <alignment horizontal="general" vertical="center" wrapText="1"/>
    </xf>
    <xf numFmtId="0" fontId="5" fillId="7" borderId="1" applyAlignment="1" pivotButton="0" quotePrefix="0" xfId="0">
      <alignment horizontal="general" vertical="center" wrapText="1"/>
    </xf>
    <xf numFmtId="0" fontId="14" fillId="5" borderId="1" applyAlignment="1" pivotButton="0" quotePrefix="0" xfId="0">
      <alignment horizontal="general" vertical="center" wrapText="1"/>
    </xf>
    <xf numFmtId="0" fontId="12" fillId="5" borderId="1" applyAlignment="1" pivotButton="0" quotePrefix="0" xfId="0">
      <alignment horizontal="general" vertical="center" wrapText="1"/>
    </xf>
    <xf numFmtId="0" fontId="5" fillId="5" borderId="1" applyAlignment="1" pivotButton="0" quotePrefix="0" xfId="0">
      <alignment horizontal="general" vertical="center" wrapText="1"/>
    </xf>
    <xf numFmtId="0" fontId="14" fillId="2" borderId="1" applyAlignment="1" pivotButton="0" quotePrefix="0" xfId="0">
      <alignment horizontal="general" vertical="center" wrapText="1"/>
    </xf>
    <xf numFmtId="0" fontId="12" fillId="2" borderId="1" applyAlignment="1" pivotButton="0" quotePrefix="0" xfId="0">
      <alignment horizontal="general" vertical="center" wrapText="1"/>
    </xf>
    <xf numFmtId="0" fontId="5" fillId="2"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0" fillId="5" borderId="1" applyAlignment="1" pivotButton="0" quotePrefix="0" xfId="0">
      <alignment horizontal="general" vertical="bottom"/>
    </xf>
    <xf numFmtId="0" fontId="11" fillId="0" borderId="0"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12" fillId="0" borderId="0" applyAlignment="1" pivotButton="0" quotePrefix="0" xfId="0">
      <alignment horizontal="general" vertical="bottom"/>
    </xf>
    <xf numFmtId="9" fontId="13" fillId="5" borderId="1" applyAlignment="1" pivotButton="0" quotePrefix="0" xfId="0">
      <alignment horizontal="center" vertical="bottom"/>
    </xf>
    <xf numFmtId="9" fontId="14" fillId="6" borderId="1" applyAlignment="1" pivotButton="0" quotePrefix="0" xfId="0">
      <alignment horizontal="general" vertical="bottom"/>
    </xf>
    <xf numFmtId="0" fontId="15" fillId="0" borderId="0" applyAlignment="1" pivotButton="0" quotePrefix="0" xfId="0">
      <alignment horizontal="general" vertical="bottom"/>
    </xf>
    <xf numFmtId="0" fontId="16" fillId="8" borderId="1" applyAlignment="1" pivotButton="0" quotePrefix="0" xfId="0">
      <alignment horizontal="general" vertical="bottom" wrapText="1"/>
    </xf>
    <xf numFmtId="0" fontId="17" fillId="7" borderId="1" applyAlignment="1" pivotButton="0" quotePrefix="0" xfId="0">
      <alignment horizontal="general" vertical="top" wrapText="1"/>
    </xf>
    <xf numFmtId="2" fontId="14" fillId="6" borderId="1" applyAlignment="1" pivotButton="0" quotePrefix="0" xfId="0">
      <alignment horizontal="general" vertical="bottom"/>
    </xf>
    <xf numFmtId="0" fontId="14" fillId="6" borderId="1" applyAlignment="1" pivotButton="0" quotePrefix="0" xfId="0">
      <alignment horizontal="center" vertical="bottom"/>
    </xf>
    <xf numFmtId="0" fontId="18" fillId="5" borderId="1" applyAlignment="1" pivotButton="0" quotePrefix="0" xfId="0">
      <alignment horizontal="center" vertical="bottom"/>
    </xf>
    <xf numFmtId="0" fontId="18" fillId="5" borderId="1" applyAlignment="1" pivotButton="0" quotePrefix="0" xfId="0">
      <alignment horizontal="general" vertical="top" wrapText="1"/>
    </xf>
    <xf numFmtId="0" fontId="14" fillId="6" borderId="1" applyAlignment="1" pivotButton="0" quotePrefix="0" xfId="0">
      <alignment horizontal="general" vertical="bottom"/>
    </xf>
    <xf numFmtId="0" fontId="9" fillId="0" borderId="0" applyAlignment="1" pivotButton="0" quotePrefix="0" xfId="0">
      <alignment horizontal="general" vertical="top" wrapText="1" indent="1"/>
    </xf>
    <xf numFmtId="0" fontId="14" fillId="7" borderId="1" applyAlignment="1" pivotButton="0" quotePrefix="0" xfId="0">
      <alignment horizontal="general" vertical="center" wrapText="1"/>
    </xf>
    <xf numFmtId="0" fontId="12" fillId="7" borderId="1" applyAlignment="1" pivotButton="0" quotePrefix="0" xfId="0">
      <alignment horizontal="general" vertical="center" wrapText="1"/>
    </xf>
    <xf numFmtId="0" fontId="5" fillId="7" borderId="1" applyAlignment="1" pivotButton="0" quotePrefix="0" xfId="0">
      <alignment horizontal="general" vertical="center" wrapText="1"/>
    </xf>
    <xf numFmtId="0" fontId="14" fillId="5" borderId="1" applyAlignment="1" pivotButton="0" quotePrefix="0" xfId="0">
      <alignment horizontal="general" vertical="center" wrapText="1"/>
    </xf>
    <xf numFmtId="0" fontId="12" fillId="5" borderId="1" applyAlignment="1" pivotButton="0" quotePrefix="0" xfId="0">
      <alignment horizontal="general" vertical="center" wrapText="1"/>
    </xf>
    <xf numFmtId="0" fontId="5" fillId="5" borderId="1" applyAlignment="1" pivotButton="0" quotePrefix="0" xfId="0">
      <alignment horizontal="general" vertical="center" wrapText="1"/>
    </xf>
    <xf numFmtId="0" fontId="14" fillId="2" borderId="1" applyAlignment="1" pivotButton="0" quotePrefix="0" xfId="0">
      <alignment horizontal="general" vertical="center" wrapText="1"/>
    </xf>
    <xf numFmtId="0" fontId="12" fillId="2" borderId="1" applyAlignment="1" pivotButton="0" quotePrefix="0" xfId="0">
      <alignment horizontal="general" vertical="center" wrapText="1"/>
    </xf>
    <xf numFmtId="0" fontId="5" fillId="2" borderId="1" applyAlignment="1" pivotButton="0" quotePrefix="0" xfId="0">
      <alignment horizontal="general" vertical="center" wrapText="1"/>
    </xf>
    <xf numFmtId="0" fontId="17" fillId="9" borderId="1" applyAlignment="1" pivotButton="0" quotePrefix="0" xfId="0">
      <alignment horizontal="general" vertical="top" wrapText="1"/>
    </xf>
    <xf numFmtId="0" fontId="18" fillId="9" borderId="1" applyAlignment="1" pivotButton="0" quotePrefix="0" xfId="0">
      <alignment horizontal="center" vertical="bottom"/>
    </xf>
    <xf numFmtId="0" fontId="18" fillId="9" borderId="1" applyAlignment="1" pivotButton="0" quotePrefix="0" xfId="0">
      <alignment horizontal="general" vertical="top" wrapText="1"/>
    </xf>
    <xf numFmtId="0" fontId="19" fillId="0" borderId="0" pivotButton="0" quotePrefix="0" xfId="0"/>
    <xf numFmtId="3" fontId="0" fillId="10" borderId="0" pivotButton="0" quotePrefix="0" xfId="0"/>
    <xf numFmtId="0" fontId="20" fillId="0" borderId="0" pivotButton="0" quotePrefix="0" xfId="0"/>
    <xf numFmtId="1" fontId="20" fillId="10" borderId="0" pivotButton="0" quotePrefix="0" xfId="0"/>
    <xf numFmtId="1" fontId="0" fillId="0" borderId="0" pivotButton="0" quotePrefix="0" xfId="0"/>
    <xf numFmtId="0" fontId="0" fillId="1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B45309"/>
      <rgbColor rgb="FFFFF9E3"/>
      <rgbColor rgb="FFECFAEF"/>
      <rgbColor rgb="FF660066"/>
      <rgbColor rgb="FFFF8080"/>
      <rgbColor rgb="FF0066CC"/>
      <rgbColor rgb="FFD8DEE8"/>
      <rgbColor rgb="FF000080"/>
      <rgbColor rgb="FFFF00FF"/>
      <rgbColor rgb="FFFFFF00"/>
      <rgbColor rgb="FF00FFFF"/>
      <rgbColor rgb="FF800080"/>
      <rgbColor rgb="FF800000"/>
      <rgbColor rgb="FF008080"/>
      <rgbColor rgb="FF0000FF"/>
      <rgbColor rgb="FF00CCFF"/>
      <rgbColor rgb="FFF2F7FF"/>
      <rgbColor rgb="FFEEF1F6"/>
      <rgbColor rgb="FFFDEEEE"/>
      <rgbColor rgb="FF99CCFF"/>
      <rgbColor rgb="FFFF99CC"/>
      <rgbColor rgb="FFCC99FF"/>
      <rgbColor rgb="FFFFCC99"/>
      <rgbColor rgb="FF3366FF"/>
      <rgbColor rgb="FF33CCCC"/>
      <rgbColor rgb="FF99CC00"/>
      <rgbColor rgb="FFFFCC00"/>
      <rgbColor rgb="FFFF9900"/>
      <rgbColor rgb="FFFF6600"/>
      <rgbColor rgb="FF657085"/>
      <rgbColor rgb="FF969696"/>
      <rgbColor rgb="FF003366"/>
      <rgbColor rgb="FF339966"/>
      <rgbColor rgb="FF151B24"/>
      <rgbColor rgb="FF1F2937"/>
      <rgbColor rgb="FFB91C1C"/>
      <rgbColor rgb="FF993366"/>
      <rgbColor rgb="FF333399"/>
      <rgbColor rgb="FF333C4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roundedCorners val="0"/>
  <style val="10"/>
  <chart>
    <title>
      <tx>
        <rich>
          <a:bodyPr/>
          <a:p>
            <a:pPr>
              <a:defRPr/>
            </a:pPr>
            <a:r>
              <a:t>Weighted score by solution — the top three are the shortlist</a:t>
            </a:r>
          </a:p>
        </rich>
      </tx>
    </title>
    <plotArea>
      <barChart>
        <barDir val="bar"/>
        <grouping val="clustered"/>
        <ser>
          <idx val="0"/>
          <order val="0"/>
          <tx>
            <v>Weighted score</v>
          </tx>
          <spPr>
            <a:ln>
              <a:prstDash val="solid"/>
            </a:ln>
          </spPr>
          <invertIfNegative val="0"/>
          <dPt>
            <idx val="0"/>
            <spPr>
              <a:solidFill>
                <a:srgbClr val="B45309"/>
              </a:solidFill>
              <a:ln>
                <a:prstDash val="solid"/>
              </a:ln>
            </spPr>
          </dPt>
          <dPt>
            <idx val="1"/>
            <spPr>
              <a:solidFill>
                <a:srgbClr val="B45309"/>
              </a:solidFill>
              <a:ln>
                <a:prstDash val="solid"/>
              </a:ln>
            </spPr>
          </dPt>
          <dPt>
            <idx val="2"/>
            <spPr>
              <a:solidFill>
                <a:srgbClr val="B45309"/>
              </a:solidFill>
              <a:ln>
                <a:prstDash val="solid"/>
              </a:ln>
            </spPr>
          </dPt>
          <dPt>
            <idx val="3"/>
            <spPr>
              <a:solidFill>
                <a:srgbClr val="1F4E79"/>
              </a:solidFill>
              <a:ln>
                <a:prstDash val="solid"/>
              </a:ln>
            </spPr>
          </dPt>
          <dPt>
            <idx val="4"/>
            <spPr>
              <a:solidFill>
                <a:srgbClr val="1F4E79"/>
              </a:solidFill>
              <a:ln>
                <a:prstDash val="solid"/>
              </a:ln>
            </spPr>
          </dPt>
          <dPt>
            <idx val="5"/>
            <spPr>
              <a:solidFill>
                <a:srgbClr val="1F4E79"/>
              </a:solidFill>
              <a:ln>
                <a:prstDash val="solid"/>
              </a:ln>
            </spPr>
          </dPt>
          <dPt>
            <idx val="6"/>
            <spPr>
              <a:solidFill>
                <a:srgbClr val="1F4E79"/>
              </a:solidFill>
              <a:ln>
                <a:prstDash val="solid"/>
              </a:ln>
            </spPr>
          </dPt>
          <dPt>
            <idx val="7"/>
            <spPr>
              <a:solidFill>
                <a:srgbClr val="1F4E79"/>
              </a:solidFill>
              <a:ln>
                <a:prstDash val="solid"/>
              </a:ln>
            </spPr>
          </dPt>
          <dPt>
            <idx val="8"/>
            <spPr>
              <a:solidFill>
                <a:srgbClr val="1F4E79"/>
              </a:solidFill>
              <a:ln>
                <a:prstDash val="solid"/>
              </a:ln>
            </spPr>
          </dPt>
          <dPt>
            <idx val="9"/>
            <spPr>
              <a:solidFill>
                <a:srgbClr val="1F4E79"/>
              </a:solidFill>
              <a:ln>
                <a:prstDash val="solid"/>
              </a:ln>
            </spPr>
          </dPt>
          <cat>
            <numRef>
              <f>'Solution selection'!$Q$14:$Q$23</f>
            </numRef>
          </cat>
          <val>
            <numRef>
              <f>'Solution selection'!$R$14:$R$23</f>
            </numRef>
          </val>
        </ser>
        <gapWidth val="60"/>
        <axId val="10"/>
        <axId val="100"/>
      </barChart>
      <catAx>
        <axId val="10"/>
        <scaling>
          <orientation val="maxMin"/>
        </scaling>
        <delete val="0"/>
        <axPos val="l"/>
        <majorTickMark val="none"/>
        <minorTickMark val="none"/>
        <tickLblPos val="low"/>
        <crossAx val="100"/>
        <lblOffset val="100"/>
        <tickLblSkip val="1"/>
        <tickMarkSkip val="1"/>
      </catAx>
      <valAx>
        <axId val="100"/>
        <scaling>
          <orientation val="minMax"/>
        </scaling>
        <delete val="0"/>
        <axPos val="l"/>
        <majorGridlines/>
        <majorTickMark val="none"/>
        <minorTickMark val="none"/>
        <tickLblPos val="nextTo"/>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2</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1"/>
  </sheetPr>
  <dimension ref="A1:B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5" min="1" max="1"/>
    <col width="108" customWidth="1" style="35" min="2" max="2"/>
  </cols>
  <sheetData>
    <row r="1"/>
    <row r="2" ht="30" customHeight="1" s="36">
      <c r="B2" s="37" t="inlineStr">
        <is>
          <t>Solution Selection</t>
        </is>
      </c>
    </row>
    <row r="3" ht="25.5" customHeight="1" s="36">
      <c r="B3" s="38" t="inlineStr">
        <is>
          <t>Most teams pick the solution someone was already advocating. This sheet makes the choice explicit, so you can defend it and so the durable option does not lose to the exciting one.</t>
        </is>
      </c>
    </row>
    <row r="4"/>
    <row r="5" ht="24" customHeight="1" s="36">
      <c r="B5" s="39" t="inlineStr">
        <is>
          <t>What to do</t>
        </is>
      </c>
    </row>
    <row r="6" ht="25.5" customHeight="1" s="36">
      <c r="B6" s="40" t="inlineStr">
        <is>
          <t>1.  Agree the criteria weights with your Champion BEFORE you score anything. They must add to 100%.</t>
        </is>
      </c>
    </row>
    <row r="7" ht="25.5" customHeight="1" s="36">
      <c r="B7" s="40" t="inlineStr">
        <is>
          <t>2.  Generate at least three options for every root cause. If you have one option, you have not finished generating.</t>
        </is>
      </c>
    </row>
    <row r="8" ht="15" customHeight="1" s="36">
      <c r="B8" s="40" t="inlineStr">
        <is>
          <t>3.  Score each option 1 to 5 on each criterion, using the dropdowns.</t>
        </is>
      </c>
    </row>
    <row r="9" ht="15" customHeight="1" s="36">
      <c r="B9" s="40" t="inlineStr">
        <is>
          <t>4.  Rate each option on the countermeasure hierarchy — see the second tab.</t>
        </is>
      </c>
    </row>
    <row r="10" ht="15" customHeight="1" s="36">
      <c r="B10" s="40" t="inlineStr">
        <is>
          <t>5.  The weighted score and rank calculate themselves.</t>
        </is>
      </c>
    </row>
    <row r="11"/>
    <row r="12" ht="39" customHeight="1" s="36">
      <c r="B12" s="41" t="inlineStr">
        <is>
          <t>The gate rule: at least one solution at hierarchy level 1 to 3 per root cause. If everything you selected is training and reminders, your improvement will be gone in two months and you will not know why.</t>
        </is>
      </c>
    </row>
    <row r="13"/>
    <row r="14"/>
    <row r="15"/>
    <row r="16"/>
    <row r="17"/>
    <row r="18"/>
    <row r="19"/>
    <row r="20"/>
    <row r="21"/>
    <row r="22"/>
    <row r="23"/>
    <row r="24"/>
    <row r="25"/>
    <row r="26"/>
    <row r="27"/>
    <row r="28"/>
    <row r="29"/>
    <row r="30"/>
    <row r="31"/>
    <row r="32"/>
    <row r="33"/>
    <row r="34"/>
    <row r="35"/>
    <row r="36"/>
    <row r="37"/>
    <row r="38"/>
    <row r="39"/>
    <row r="40"/>
  </sheetData>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S40"/>
  <sheetViews>
    <sheetView showFormulas="0" showGridLines="1" showRowColHeaders="1" showZeros="1" rightToLeft="0" tabSelected="0" showOutlineSymbols="1" defaultGridColor="1"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baseColWidth="8" defaultColWidth="8.6796875" defaultRowHeight="15" zeroHeight="0" outlineLevelRow="0"/>
  <cols>
    <col width="28" customWidth="1" style="35" min="1" max="1"/>
    <col width="34" customWidth="1" style="35" min="2" max="2"/>
    <col width="15" customWidth="1" style="35" min="3" max="9"/>
    <col width="14" customWidth="1" style="35" min="10" max="10"/>
    <col width="7" customWidth="1" style="35" min="11" max="11"/>
    <col width="17" customWidth="1" style="35" min="12" max="12"/>
    <col width="11" customWidth="1" style="35" min="13" max="13"/>
  </cols>
  <sheetData>
    <row r="1" ht="25.5" customHeight="1" s="36">
      <c r="A1" s="42" t="inlineStr">
        <is>
          <t>Solution Selection  —  choose deliberately, not by enthusiasm</t>
        </is>
      </c>
    </row>
    <row r="2" ht="27.75" customHeight="1" s="36">
      <c r="A2" s="43" t="inlineStr">
        <is>
          <t>Score every option against weighted criteria. The score, rank and durability warning calculate themselves.</t>
        </is>
      </c>
    </row>
    <row r="3"/>
    <row r="4" ht="19.5" customHeight="1" s="36">
      <c r="A4" s="44" t="inlineStr">
        <is>
          <t>HOW TO USE THIS SHEET</t>
        </is>
      </c>
    </row>
    <row r="5" ht="15" customHeight="1" s="36">
      <c r="A5" s="45" t="inlineStr">
        <is>
          <t>Yellow cells</t>
        </is>
      </c>
      <c r="B5" s="46" t="inlineStr">
        <is>
          <t>You fill these in. Blue text = a number you typed.</t>
        </is>
      </c>
    </row>
    <row r="6" ht="15" customHeight="1" s="36">
      <c r="A6" s="47" t="inlineStr">
        <is>
          <t>Blue cells</t>
        </is>
      </c>
      <c r="B6" s="46" t="inlineStr">
        <is>
          <t>Calculated for you. Do not type over these — they contain formulas.</t>
        </is>
      </c>
    </row>
    <row r="7" ht="15" customHeight="1" s="36">
      <c r="A7" s="48" t="inlineStr">
        <is>
          <t>Row 1 example</t>
        </is>
      </c>
      <c r="B7" s="46" t="inlineStr">
        <is>
          <t>A realistic worked example, so you can see the expected format. Delete or overwrite it.</t>
        </is>
      </c>
    </row>
    <row r="8"/>
    <row r="9" ht="19.5" customHeight="1" s="36">
      <c r="A9" s="44" t="inlineStr">
        <is>
          <t>CRITERIA WEIGHTS  —  adjust these with your Champion before you score anything. They must sum to 100%.</t>
        </is>
      </c>
    </row>
    <row r="10" ht="15" customHeight="1" s="36">
      <c r="B10" s="49" t="inlineStr">
        <is>
          <t>Weight →</t>
        </is>
      </c>
      <c r="C10" s="50" t="n">
        <v>0.25</v>
      </c>
      <c r="D10" s="50" t="n">
        <v>0.2</v>
      </c>
      <c r="E10" s="50" t="n">
        <v>0.15</v>
      </c>
      <c r="F10" s="50" t="n">
        <v>0.1</v>
      </c>
      <c r="G10" s="50" t="n">
        <v>0.1</v>
      </c>
      <c r="H10" s="50" t="n">
        <v>0.1</v>
      </c>
      <c r="I10" s="50" t="n">
        <v>0.1</v>
      </c>
      <c r="J10" s="51">
        <f>SUM(C10:I10)</f>
        <v/>
      </c>
      <c r="K10" s="52" t="inlineStr">
        <is>
          <t>← must be 100%</t>
        </is>
      </c>
    </row>
    <row r="11"/>
    <row r="12" ht="19.5" customHeight="1" s="36">
      <c r="A12" s="44" t="inlineStr">
        <is>
          <t>SCORE EACH OPTION 1–5 ON EVERY CRITERION.  Generate at least three options per root cause before you score.</t>
        </is>
      </c>
    </row>
    <row r="13" ht="31.5" customHeight="1" s="36">
      <c r="A13" s="53" t="inlineStr">
        <is>
          <t>Root cause it addresses</t>
        </is>
      </c>
      <c r="B13" s="53" t="inlineStr">
        <is>
          <t>Solution option</t>
        </is>
      </c>
      <c r="C13" s="53" t="inlineStr">
        <is>
          <t>Impact on the metric</t>
        </is>
      </c>
      <c r="D13" s="53" t="inlineStr">
        <is>
          <t>Durability under attrition</t>
        </is>
      </c>
      <c r="E13" s="53" t="inlineStr">
        <is>
          <t>Speed to implement</t>
        </is>
      </c>
      <c r="F13" s="53" t="inlineStr">
        <is>
          <t>Low cost</t>
        </is>
      </c>
      <c r="G13" s="53" t="inlineStr">
        <is>
          <t>Low effort</t>
        </is>
      </c>
      <c r="H13" s="53" t="inlineStr">
        <is>
          <t>Low risk of side-effects</t>
        </is>
      </c>
      <c r="I13" s="53" t="inlineStr">
        <is>
          <t>Replication potential</t>
        </is>
      </c>
      <c r="J13" s="53" t="inlineStr">
        <is>
          <t>Weighted score</t>
        </is>
      </c>
      <c r="K13" s="53" t="inlineStr">
        <is>
          <t>Rank</t>
        </is>
      </c>
      <c r="L13" s="53" t="inlineStr">
        <is>
          <t>Hierarchy level (1–6)</t>
        </is>
      </c>
      <c r="M13" s="53" t="inlineStr">
        <is>
          <t>Selected?</t>
        </is>
      </c>
      <c r="O13" s="75" t="inlineStr">
        <is>
          <t>rank</t>
        </is>
      </c>
      <c r="P13" s="73" t="inlineStr">
        <is>
          <t>#</t>
        </is>
      </c>
      <c r="Q13" s="73" t="inlineStr">
        <is>
          <t>Solution</t>
        </is>
      </c>
      <c r="R13" s="73" t="inlineStr">
        <is>
          <t>Weighted score</t>
        </is>
      </c>
      <c r="S13" s="73" t="n"/>
    </row>
    <row r="14" ht="23.85" customHeight="1" s="36">
      <c r="A14" s="70" t="inlineStr">
        <is>
          <t>Ticket closed before adjustment posts</t>
        </is>
      </c>
      <c r="B14" s="70" t="inlineStr">
        <is>
          <t>Block Resolved until the webhook confirms</t>
        </is>
      </c>
      <c r="C14" s="70" t="n">
        <v>5</v>
      </c>
      <c r="D14" s="70" t="n">
        <v>5</v>
      </c>
      <c r="E14" s="70" t="n">
        <v>3</v>
      </c>
      <c r="F14" s="70" t="n">
        <v>4</v>
      </c>
      <c r="G14" s="70" t="n">
        <v>3</v>
      </c>
      <c r="H14" s="70" t="n">
        <v>4</v>
      </c>
      <c r="I14" s="70" t="n">
        <v>5</v>
      </c>
      <c r="J14" s="55">
        <f>IF(COUNT(C14:I14)=0,"",SUMPRODUCT(C14:I14,$C$10:$I$10))</f>
        <v/>
      </c>
      <c r="K14" s="56">
        <f>IF(J14="","",RANK(J14,$J$14:$J$32))</f>
        <v/>
      </c>
      <c r="L14" s="71" t="inlineStr">
        <is>
          <t>2 Design it out</t>
        </is>
      </c>
      <c r="M14" s="71" t="inlineStr">
        <is>
          <t>Yes</t>
        </is>
      </c>
      <c r="O14" s="76">
        <f>IF(J14="","",RANK(J14,$J$14:$J$33,0)+COUNTIF($J$14:J14,J14)-1)</f>
        <v/>
      </c>
      <c r="P14" s="77" t="n">
        <v>1</v>
      </c>
      <c r="Q14" s="78">
        <f>IFERROR(INDEX($B$14:$B$33,MATCH(P14,$O$14:$O$33,0)),"")</f>
        <v/>
      </c>
      <c r="R14" s="74">
        <f>IFERROR(INDEX($J$14:$J$33,MATCH(P14,$O$14:$O$33,0)),"")</f>
        <v/>
      </c>
      <c r="S14" s="74" t="n"/>
    </row>
    <row r="15" ht="30" customHeight="1" s="36">
      <c r="A15" s="72" t="inlineStr">
        <is>
          <t>Contact reason mis-tagged</t>
        </is>
      </c>
      <c r="B15" s="72" t="inlineStr">
        <is>
          <t>Cut to 12 codes and predict from first message</t>
        </is>
      </c>
      <c r="C15" s="72" t="n">
        <v>4</v>
      </c>
      <c r="D15" s="72" t="n">
        <v>5</v>
      </c>
      <c r="E15" s="72" t="n">
        <v>2</v>
      </c>
      <c r="F15" s="72" t="n">
        <v>3</v>
      </c>
      <c r="G15" s="72" t="n">
        <v>2</v>
      </c>
      <c r="H15" s="72" t="n">
        <v>3</v>
      </c>
      <c r="I15" s="72" t="n">
        <v>5</v>
      </c>
      <c r="J15" s="55">
        <f>IF(COUNT(C15:I15)=0,"",SUMPRODUCT(C15:I15,$C$10:$I$10))</f>
        <v/>
      </c>
      <c r="K15" s="56">
        <f>IF(J15="","",RANK(J15,$J$14:$J$32))</f>
        <v/>
      </c>
      <c r="L15" s="71" t="inlineStr">
        <is>
          <t>2 Design it out</t>
        </is>
      </c>
      <c r="M15" s="71" t="inlineStr">
        <is>
          <t>Yes</t>
        </is>
      </c>
      <c r="O15" s="76">
        <f>IF(J15="","",RANK(J15,$J$14:$J$33,0)+COUNTIF($J$14:J15,J15)-1)</f>
        <v/>
      </c>
      <c r="P15" s="77" t="n">
        <v>2</v>
      </c>
      <c r="Q15" s="78">
        <f>IFERROR(INDEX($B$14:$B$33,MATCH(P15,$O$14:$O$33,0)),"")</f>
        <v/>
      </c>
      <c r="R15" s="74">
        <f>IFERROR(INDEX($J$14:$J$33,MATCH(P15,$O$14:$O$33,0)),"")</f>
        <v/>
      </c>
      <c r="S15" s="74" t="n"/>
    </row>
    <row r="16" ht="30" customHeight="1" s="36">
      <c r="A16" s="72" t="inlineStr">
        <is>
          <t>Billing sweep runs once a day</t>
        </is>
      </c>
      <c r="B16" s="72" t="inlineStr">
        <is>
          <t>Move to continuous pull with a WIP cap</t>
        </is>
      </c>
      <c r="C16" s="72" t="n">
        <v>5</v>
      </c>
      <c r="D16" s="72" t="n">
        <v>4</v>
      </c>
      <c r="E16" s="72" t="n">
        <v>2</v>
      </c>
      <c r="F16" s="72" t="n">
        <v>3</v>
      </c>
      <c r="G16" s="72" t="n">
        <v>2</v>
      </c>
      <c r="H16" s="72" t="n">
        <v>2</v>
      </c>
      <c r="I16" s="72" t="n">
        <v>4</v>
      </c>
      <c r="J16" s="55">
        <f>IF(COUNT(C16:I16)=0,"",SUMPRODUCT(C16:I16,$C$10:$I$10))</f>
        <v/>
      </c>
      <c r="K16" s="56">
        <f>IF(J16="","",RANK(J16,$J$14:$J$32))</f>
        <v/>
      </c>
      <c r="L16" s="71" t="inlineStr">
        <is>
          <t>3 Mistake-proof it</t>
        </is>
      </c>
      <c r="M16" s="71" t="inlineStr">
        <is>
          <t>Yes</t>
        </is>
      </c>
      <c r="O16" s="76">
        <f>IF(J16="","",RANK(J16,$J$14:$J$33,0)+COUNTIF($J$14:J16,J16)-1)</f>
        <v/>
      </c>
      <c r="P16" s="77" t="n">
        <v>3</v>
      </c>
      <c r="Q16" s="78">
        <f>IFERROR(INDEX($B$14:$B$33,MATCH(P16,$O$14:$O$33,0)),"")</f>
        <v/>
      </c>
      <c r="R16" s="74">
        <f>IFERROR(INDEX($J$14:$J$33,MATCH(P16,$O$14:$O$33,0)),"")</f>
        <v/>
      </c>
      <c r="S16" s="74" t="n"/>
    </row>
    <row r="17" ht="30" customHeight="1" s="36">
      <c r="A17" s="72" t="inlineStr">
        <is>
          <t>Batch fails silently</t>
        </is>
      </c>
      <c r="B17" s="72" t="inlineStr">
        <is>
          <t>Alert on non-zero exit to on-call</t>
        </is>
      </c>
      <c r="C17" s="72" t="n">
        <v>3</v>
      </c>
      <c r="D17" s="72" t="n">
        <v>5</v>
      </c>
      <c r="E17" s="72" t="n">
        <v>5</v>
      </c>
      <c r="F17" s="72" t="n">
        <v>5</v>
      </c>
      <c r="G17" s="72" t="n">
        <v>5</v>
      </c>
      <c r="H17" s="72" t="n">
        <v>5</v>
      </c>
      <c r="I17" s="72" t="n">
        <v>5</v>
      </c>
      <c r="J17" s="55">
        <f>IF(COUNT(C17:I17)=0,"",SUMPRODUCT(C17:I17,$C$10:$I$10))</f>
        <v/>
      </c>
      <c r="K17" s="56">
        <f>IF(J17="","",RANK(J17,$J$14:$J$32))</f>
        <v/>
      </c>
      <c r="L17" s="71" t="inlineStr">
        <is>
          <t>4 Automatic detection</t>
        </is>
      </c>
      <c r="M17" s="71" t="inlineStr">
        <is>
          <t>Yes</t>
        </is>
      </c>
      <c r="O17" s="76">
        <f>IF(J17="","",RANK(J17,$J$14:$J$33,0)+COUNTIF($J$14:J17,J17)-1)</f>
        <v/>
      </c>
      <c r="P17" s="77" t="n">
        <v>4</v>
      </c>
      <c r="Q17" s="78">
        <f>IFERROR(INDEX($B$14:$B$33,MATCH(P17,$O$14:$O$33,0)),"")</f>
        <v/>
      </c>
      <c r="R17" s="74">
        <f>IFERROR(INDEX($J$14:$J$33,MATCH(P17,$O$14:$O$33,0)),"")</f>
        <v/>
      </c>
      <c r="S17" s="74" t="n"/>
    </row>
    <row r="18" ht="30" customHeight="1" s="36">
      <c r="A18" s="72" t="inlineStr">
        <is>
          <t>Evidence missing at hand-off</t>
        </is>
      </c>
      <c r="B18" s="72" t="inlineStr">
        <is>
          <t>Required-fields form before hand-off</t>
        </is>
      </c>
      <c r="C18" s="72" t="n">
        <v>3</v>
      </c>
      <c r="D18" s="72" t="n">
        <v>4</v>
      </c>
      <c r="E18" s="72" t="n">
        <v>4</v>
      </c>
      <c r="F18" s="72" t="n">
        <v>5</v>
      </c>
      <c r="G18" s="72" t="n">
        <v>4</v>
      </c>
      <c r="H18" s="72" t="n">
        <v>4</v>
      </c>
      <c r="I18" s="72" t="n">
        <v>4</v>
      </c>
      <c r="J18" s="55">
        <f>IF(COUNT(C18:I18)=0,"",SUMPRODUCT(C18:I18,$C$10:$I$10))</f>
        <v/>
      </c>
      <c r="K18" s="56">
        <f>IF(J18="","",RANK(J18,$J$14:$J$32))</f>
        <v/>
      </c>
      <c r="L18" s="71" t="inlineStr">
        <is>
          <t>3 Mistake-proof it</t>
        </is>
      </c>
      <c r="M18" s="71" t="inlineStr">
        <is>
          <t>Yes</t>
        </is>
      </c>
      <c r="O18" s="76">
        <f>IF(J18="","",RANK(J18,$J$14:$J$33,0)+COUNTIF($J$14:J18,J18)-1)</f>
        <v/>
      </c>
      <c r="P18" s="77" t="n">
        <v>5</v>
      </c>
      <c r="Q18" s="78">
        <f>IFERROR(INDEX($B$14:$B$33,MATCH(P18,$O$14:$O$33,0)),"")</f>
        <v/>
      </c>
      <c r="R18" s="74">
        <f>IFERROR(INDEX($J$14:$J$33,MATCH(P18,$O$14:$O$33,0)),"")</f>
        <v/>
      </c>
      <c r="S18" s="74" t="n"/>
    </row>
    <row r="19" ht="30" customHeight="1" s="36">
      <c r="A19" s="72" t="inlineStr">
        <is>
          <t>Contact reason mis-tagged</t>
        </is>
      </c>
      <c r="B19" s="72" t="inlineStr">
        <is>
          <t>Retrain agents on the existing code list</t>
        </is>
      </c>
      <c r="C19" s="72" t="n">
        <v>2</v>
      </c>
      <c r="D19" s="72" t="n">
        <v>1</v>
      </c>
      <c r="E19" s="72" t="n">
        <v>5</v>
      </c>
      <c r="F19" s="72" t="n">
        <v>5</v>
      </c>
      <c r="G19" s="72" t="n">
        <v>4</v>
      </c>
      <c r="H19" s="72" t="n">
        <v>5</v>
      </c>
      <c r="I19" s="72" t="n">
        <v>2</v>
      </c>
      <c r="J19" s="55">
        <f>IF(COUNT(C19:I19)=0,"",SUMPRODUCT(C19:I19,$C$10:$I$10))</f>
        <v/>
      </c>
      <c r="K19" s="56">
        <f>IF(J19="","",RANK(J19,$J$14:$J$32))</f>
        <v/>
      </c>
      <c r="L19" s="71" t="inlineStr">
        <is>
          <t>5 Standard work + training</t>
        </is>
      </c>
      <c r="M19" s="71" t="inlineStr">
        <is>
          <t>No</t>
        </is>
      </c>
      <c r="O19" s="76">
        <f>IF(J19="","",RANK(J19,$J$14:$J$33,0)+COUNTIF($J$14:J19,J19)-1)</f>
        <v/>
      </c>
      <c r="P19" s="77" t="n">
        <v>6</v>
      </c>
      <c r="Q19" s="78">
        <f>IFERROR(INDEX($B$14:$B$33,MATCH(P19,$O$14:$O$33,0)),"")</f>
        <v/>
      </c>
      <c r="R19" s="74">
        <f>IFERROR(INDEX($J$14:$J$33,MATCH(P19,$O$14:$O$33,0)),"")</f>
        <v/>
      </c>
      <c r="S19" s="74" t="n"/>
    </row>
    <row r="20" ht="30" customHeight="1" s="36">
      <c r="A20" s="58" t="n"/>
      <c r="B20" s="58" t="n"/>
      <c r="C20" s="58" t="n"/>
      <c r="D20" s="58" t="n"/>
      <c r="E20" s="58" t="n"/>
      <c r="F20" s="58" t="n"/>
      <c r="G20" s="58" t="n"/>
      <c r="H20" s="58" t="n"/>
      <c r="I20" s="58" t="n"/>
      <c r="J20" s="55">
        <f>IF(COUNT(C20:I20)=0,"",SUMPRODUCT(C20:I20,$C$10:$I$10))</f>
        <v/>
      </c>
      <c r="K20" s="56">
        <f>IF(J20="","",RANK(J20,$J$14:$J$32))</f>
        <v/>
      </c>
      <c r="L20" s="57" t="n"/>
      <c r="M20" s="57" t="n"/>
      <c r="O20" s="76">
        <f>IF(J20="","",RANK(J20,$J$14:$J$33,0)+COUNTIF($J$14:J20,J20)-1)</f>
        <v/>
      </c>
      <c r="P20" s="77" t="n">
        <v>7</v>
      </c>
      <c r="Q20" s="78">
        <f>IFERROR(INDEX($B$14:$B$33,MATCH(P20,$O$14:$O$33,0)),"")</f>
        <v/>
      </c>
      <c r="R20" s="74">
        <f>IFERROR(INDEX($J$14:$J$33,MATCH(P20,$O$14:$O$33,0)),"")</f>
        <v/>
      </c>
      <c r="S20" s="74" t="n"/>
    </row>
    <row r="21" ht="30" customHeight="1" s="36">
      <c r="A21" s="58" t="n"/>
      <c r="B21" s="58" t="n"/>
      <c r="C21" s="58" t="n"/>
      <c r="D21" s="58" t="n"/>
      <c r="E21" s="58" t="n"/>
      <c r="F21" s="58" t="n"/>
      <c r="G21" s="58" t="n"/>
      <c r="H21" s="58" t="n"/>
      <c r="I21" s="58" t="n"/>
      <c r="J21" s="55">
        <f>IF(COUNT(C21:I21)=0,"",SUMPRODUCT(C21:I21,$C$10:$I$10))</f>
        <v/>
      </c>
      <c r="K21" s="56">
        <f>IF(J21="","",RANK(J21,$J$14:$J$32))</f>
        <v/>
      </c>
      <c r="L21" s="57" t="n"/>
      <c r="M21" s="57" t="n"/>
      <c r="O21" s="76">
        <f>IF(J21="","",RANK(J21,$J$14:$J$33,0)+COUNTIF($J$14:J21,J21)-1)</f>
        <v/>
      </c>
      <c r="P21" s="77" t="n">
        <v>8</v>
      </c>
      <c r="Q21" s="78">
        <f>IFERROR(INDEX($B$14:$B$33,MATCH(P21,$O$14:$O$33,0)),"")</f>
        <v/>
      </c>
      <c r="R21" s="74">
        <f>IFERROR(INDEX($J$14:$J$33,MATCH(P21,$O$14:$O$33,0)),"")</f>
        <v/>
      </c>
      <c r="S21" s="74" t="n"/>
    </row>
    <row r="22" ht="30" customHeight="1" s="36">
      <c r="A22" s="58" t="n"/>
      <c r="B22" s="58" t="n"/>
      <c r="C22" s="58" t="n"/>
      <c r="D22" s="58" t="n"/>
      <c r="E22" s="58" t="n"/>
      <c r="F22" s="58" t="n"/>
      <c r="G22" s="58" t="n"/>
      <c r="H22" s="58" t="n"/>
      <c r="I22" s="58" t="n"/>
      <c r="J22" s="55">
        <f>IF(COUNT(C22:I22)=0,"",SUMPRODUCT(C22:I22,$C$10:$I$10))</f>
        <v/>
      </c>
      <c r="K22" s="56">
        <f>IF(J22="","",RANK(J22,$J$14:$J$32))</f>
        <v/>
      </c>
      <c r="L22" s="57" t="n"/>
      <c r="M22" s="57" t="n"/>
      <c r="O22" s="76">
        <f>IF(J22="","",RANK(J22,$J$14:$J$33,0)+COUNTIF($J$14:J22,J22)-1)</f>
        <v/>
      </c>
      <c r="P22" s="77" t="n">
        <v>9</v>
      </c>
      <c r="Q22" s="78">
        <f>IFERROR(INDEX($B$14:$B$33,MATCH(P22,$O$14:$O$33,0)),"")</f>
        <v/>
      </c>
      <c r="R22" s="74">
        <f>IFERROR(INDEX($J$14:$J$33,MATCH(P22,$O$14:$O$33,0)),"")</f>
        <v/>
      </c>
      <c r="S22" s="74" t="n"/>
    </row>
    <row r="23" ht="30" customHeight="1" s="36">
      <c r="A23" s="58" t="n"/>
      <c r="B23" s="58" t="n"/>
      <c r="C23" s="58" t="n"/>
      <c r="D23" s="58" t="n"/>
      <c r="E23" s="58" t="n"/>
      <c r="F23" s="58" t="n"/>
      <c r="G23" s="58" t="n"/>
      <c r="H23" s="58" t="n"/>
      <c r="I23" s="58" t="n"/>
      <c r="J23" s="55">
        <f>IF(COUNT(C23:I23)=0,"",SUMPRODUCT(C23:I23,$C$10:$I$10))</f>
        <v/>
      </c>
      <c r="K23" s="56">
        <f>IF(J23="","",RANK(J23,$J$14:$J$32))</f>
        <v/>
      </c>
      <c r="L23" s="57" t="n"/>
      <c r="M23" s="57" t="n"/>
      <c r="O23" s="76">
        <f>IF(J23="","",RANK(J23,$J$14:$J$33,0)+COUNTIF($J$14:J23,J23)-1)</f>
        <v/>
      </c>
      <c r="P23" s="77" t="n">
        <v>10</v>
      </c>
      <c r="Q23" s="78">
        <f>IFERROR(INDEX($B$14:$B$33,MATCH(P23,$O$14:$O$33,0)),"")</f>
        <v/>
      </c>
      <c r="R23" s="74">
        <f>IFERROR(INDEX($J$14:$J$33,MATCH(P23,$O$14:$O$33,0)),"")</f>
        <v/>
      </c>
      <c r="S23" s="74" t="n"/>
    </row>
    <row r="24" ht="30" customHeight="1" s="36">
      <c r="A24" s="58" t="n"/>
      <c r="B24" s="58" t="n"/>
      <c r="C24" s="58" t="n"/>
      <c r="D24" s="58" t="n"/>
      <c r="E24" s="58" t="n"/>
      <c r="F24" s="58" t="n"/>
      <c r="G24" s="58" t="n"/>
      <c r="H24" s="58" t="n"/>
      <c r="I24" s="58" t="n"/>
      <c r="J24" s="55">
        <f>IF(COUNT(C24:I24)=0,"",SUMPRODUCT(C24:I24,$C$10:$I$10))</f>
        <v/>
      </c>
      <c r="K24" s="56">
        <f>IF(J24="","",RANK(J24,$J$14:$J$32))</f>
        <v/>
      </c>
      <c r="L24" s="57" t="n"/>
      <c r="M24" s="57" t="n"/>
      <c r="O24" s="76">
        <f>IF(J24="","",RANK(J24,$J$14:$J$33,0)+COUNTIF($J$14:J24,J24)-1)</f>
        <v/>
      </c>
      <c r="P24" s="77" t="n">
        <v>11</v>
      </c>
      <c r="Q24" s="78">
        <f>IFERROR(INDEX($B$14:$B$33,MATCH(P24,$O$14:$O$33,0)),"")</f>
        <v/>
      </c>
      <c r="R24" s="74">
        <f>IFERROR(INDEX($J$14:$J$33,MATCH(P24,$O$14:$O$33,0)),"")</f>
        <v/>
      </c>
      <c r="S24" s="74" t="n"/>
    </row>
    <row r="25" ht="30" customHeight="1" s="36">
      <c r="A25" s="58" t="n"/>
      <c r="B25" s="58" t="n"/>
      <c r="C25" s="58" t="n"/>
      <c r="D25" s="58" t="n"/>
      <c r="E25" s="58" t="n"/>
      <c r="F25" s="58" t="n"/>
      <c r="G25" s="58" t="n"/>
      <c r="H25" s="58" t="n"/>
      <c r="I25" s="58" t="n"/>
      <c r="J25" s="55">
        <f>IF(COUNT(C25:I25)=0,"",SUMPRODUCT(C25:I25,$C$10:$I$10))</f>
        <v/>
      </c>
      <c r="K25" s="56">
        <f>IF(J25="","",RANK(J25,$J$14:$J$32))</f>
        <v/>
      </c>
      <c r="L25" s="57" t="n"/>
      <c r="M25" s="57" t="n"/>
      <c r="O25" s="76">
        <f>IF(J25="","",RANK(J25,$J$14:$J$33,0)+COUNTIF($J$14:J25,J25)-1)</f>
        <v/>
      </c>
      <c r="P25" s="77" t="n">
        <v>12</v>
      </c>
      <c r="Q25" s="78">
        <f>IFERROR(INDEX($B$14:$B$33,MATCH(P25,$O$14:$O$33,0)),"")</f>
        <v/>
      </c>
      <c r="R25" s="74">
        <f>IFERROR(INDEX($J$14:$J$33,MATCH(P25,$O$14:$O$33,0)),"")</f>
        <v/>
      </c>
      <c r="S25" s="74" t="n"/>
    </row>
    <row r="26" ht="30" customHeight="1" s="36">
      <c r="A26" s="58" t="n"/>
      <c r="B26" s="58" t="n"/>
      <c r="C26" s="58" t="n"/>
      <c r="D26" s="58" t="n"/>
      <c r="E26" s="58" t="n"/>
      <c r="F26" s="58" t="n"/>
      <c r="G26" s="58" t="n"/>
      <c r="H26" s="58" t="n"/>
      <c r="I26" s="58" t="n"/>
      <c r="J26" s="55">
        <f>IF(COUNT(C26:I26)=0,"",SUMPRODUCT(C26:I26,$C$10:$I$10))</f>
        <v/>
      </c>
      <c r="K26" s="56">
        <f>IF(J26="","",RANK(J26,$J$14:$J$32))</f>
        <v/>
      </c>
      <c r="L26" s="57" t="n"/>
      <c r="M26" s="57" t="n"/>
      <c r="O26" s="76">
        <f>IF(J26="","",RANK(J26,$J$14:$J$33,0)+COUNTIF($J$14:J26,J26)-1)</f>
        <v/>
      </c>
      <c r="P26" s="77" t="n">
        <v>13</v>
      </c>
      <c r="Q26" s="78">
        <f>IFERROR(INDEX($B$14:$B$33,MATCH(P26,$O$14:$O$33,0)),"")</f>
        <v/>
      </c>
      <c r="R26" s="74">
        <f>IFERROR(INDEX($J$14:$J$33,MATCH(P26,$O$14:$O$33,0)),"")</f>
        <v/>
      </c>
      <c r="S26" s="74" t="n"/>
    </row>
    <row r="27" ht="30" customHeight="1" s="36">
      <c r="A27" s="58" t="n"/>
      <c r="B27" s="58" t="n"/>
      <c r="C27" s="58" t="n"/>
      <c r="D27" s="58" t="n"/>
      <c r="E27" s="58" t="n"/>
      <c r="F27" s="58" t="n"/>
      <c r="G27" s="58" t="n"/>
      <c r="H27" s="58" t="n"/>
      <c r="I27" s="58" t="n"/>
      <c r="J27" s="55">
        <f>IF(COUNT(C27:I27)=0,"",SUMPRODUCT(C27:I27,$C$10:$I$10))</f>
        <v/>
      </c>
      <c r="K27" s="56">
        <f>IF(J27="","",RANK(J27,$J$14:$J$32))</f>
        <v/>
      </c>
      <c r="L27" s="57" t="n"/>
      <c r="M27" s="57" t="n"/>
      <c r="O27" s="76">
        <f>IF(J27="","",RANK(J27,$J$14:$J$33,0)+COUNTIF($J$14:J27,J27)-1)</f>
        <v/>
      </c>
      <c r="P27" s="77" t="n">
        <v>14</v>
      </c>
      <c r="Q27" s="78">
        <f>IFERROR(INDEX($B$14:$B$33,MATCH(P27,$O$14:$O$33,0)),"")</f>
        <v/>
      </c>
      <c r="R27" s="74">
        <f>IFERROR(INDEX($J$14:$J$33,MATCH(P27,$O$14:$O$33,0)),"")</f>
        <v/>
      </c>
      <c r="S27" s="74" t="n"/>
    </row>
    <row r="28" ht="30" customHeight="1" s="36">
      <c r="A28" s="58" t="n"/>
      <c r="B28" s="58" t="n"/>
      <c r="C28" s="58" t="n"/>
      <c r="D28" s="58" t="n"/>
      <c r="E28" s="58" t="n"/>
      <c r="F28" s="58" t="n"/>
      <c r="G28" s="58" t="n"/>
      <c r="H28" s="58" t="n"/>
      <c r="I28" s="58" t="n"/>
      <c r="J28" s="55">
        <f>IF(COUNT(C28:I28)=0,"",SUMPRODUCT(C28:I28,$C$10:$I$10))</f>
        <v/>
      </c>
      <c r="K28" s="56">
        <f>IF(J28="","",RANK(J28,$J$14:$J$32))</f>
        <v/>
      </c>
      <c r="L28" s="57" t="n"/>
      <c r="M28" s="57" t="n"/>
      <c r="O28" s="76">
        <f>IF(J28="","",RANK(J28,$J$14:$J$33,0)+COUNTIF($J$14:J28,J28)-1)</f>
        <v/>
      </c>
      <c r="P28" s="77" t="n">
        <v>15</v>
      </c>
      <c r="Q28" s="78">
        <f>IFERROR(INDEX($B$14:$B$33,MATCH(P28,$O$14:$O$33,0)),"")</f>
        <v/>
      </c>
      <c r="R28" s="74">
        <f>IFERROR(INDEX($J$14:$J$33,MATCH(P28,$O$14:$O$33,0)),"")</f>
        <v/>
      </c>
      <c r="S28" s="74" t="n"/>
    </row>
    <row r="29" ht="30" customHeight="1" s="36">
      <c r="A29" s="58" t="n"/>
      <c r="B29" s="58" t="n"/>
      <c r="C29" s="58" t="n"/>
      <c r="D29" s="58" t="n"/>
      <c r="E29" s="58" t="n"/>
      <c r="F29" s="58" t="n"/>
      <c r="G29" s="58" t="n"/>
      <c r="H29" s="58" t="n"/>
      <c r="I29" s="58" t="n"/>
      <c r="J29" s="55">
        <f>IF(COUNT(C29:I29)=0,"",SUMPRODUCT(C29:I29,$C$10:$I$10))</f>
        <v/>
      </c>
      <c r="K29" s="56">
        <f>IF(J29="","",RANK(J29,$J$14:$J$32))</f>
        <v/>
      </c>
      <c r="L29" s="57" t="n"/>
      <c r="M29" s="57" t="n"/>
      <c r="O29" s="76">
        <f>IF(J29="","",RANK(J29,$J$14:$J$33,0)+COUNTIF($J$14:J29,J29)-1)</f>
        <v/>
      </c>
      <c r="P29" s="77" t="n">
        <v>16</v>
      </c>
      <c r="Q29" s="78">
        <f>IFERROR(INDEX($B$14:$B$33,MATCH(P29,$O$14:$O$33,0)),"")</f>
        <v/>
      </c>
      <c r="R29" s="74">
        <f>IFERROR(INDEX($J$14:$J$33,MATCH(P29,$O$14:$O$33,0)),"")</f>
        <v/>
      </c>
      <c r="S29" s="74" t="n"/>
    </row>
    <row r="30" ht="30" customHeight="1" s="36">
      <c r="A30" s="58" t="n"/>
      <c r="B30" s="58" t="n"/>
      <c r="C30" s="58" t="n"/>
      <c r="D30" s="58" t="n"/>
      <c r="E30" s="58" t="n"/>
      <c r="F30" s="58" t="n"/>
      <c r="G30" s="58" t="n"/>
      <c r="H30" s="58" t="n"/>
      <c r="I30" s="58" t="n"/>
      <c r="J30" s="55">
        <f>IF(COUNT(C30:I30)=0,"",SUMPRODUCT(C30:I30,$C$10:$I$10))</f>
        <v/>
      </c>
      <c r="K30" s="56">
        <f>IF(J30="","",RANK(J30,$J$14:$J$32))</f>
        <v/>
      </c>
      <c r="L30" s="57" t="n"/>
      <c r="M30" s="57" t="n"/>
      <c r="O30" s="76">
        <f>IF(J30="","",RANK(J30,$J$14:$J$33,0)+COUNTIF($J$14:J30,J30)-1)</f>
        <v/>
      </c>
      <c r="P30" s="77" t="n">
        <v>17</v>
      </c>
      <c r="Q30" s="78">
        <f>IFERROR(INDEX($B$14:$B$33,MATCH(P30,$O$14:$O$33,0)),"")</f>
        <v/>
      </c>
      <c r="R30" s="74">
        <f>IFERROR(INDEX($J$14:$J$33,MATCH(P30,$O$14:$O$33,0)),"")</f>
        <v/>
      </c>
      <c r="S30" s="74" t="n"/>
    </row>
    <row r="31" ht="30" customHeight="1" s="36">
      <c r="A31" s="58" t="n"/>
      <c r="B31" s="58" t="n"/>
      <c r="C31" s="58" t="n"/>
      <c r="D31" s="58" t="n"/>
      <c r="E31" s="58" t="n"/>
      <c r="F31" s="58" t="n"/>
      <c r="G31" s="58" t="n"/>
      <c r="H31" s="58" t="n"/>
      <c r="I31" s="58" t="n"/>
      <c r="J31" s="55">
        <f>IF(COUNT(C31:I31)=0,"",SUMPRODUCT(C31:I31,$C$10:$I$10))</f>
        <v/>
      </c>
      <c r="K31" s="56">
        <f>IF(J31="","",RANK(J31,$J$14:$J$32))</f>
        <v/>
      </c>
      <c r="L31" s="57" t="n"/>
      <c r="M31" s="57" t="n"/>
      <c r="O31" s="76">
        <f>IF(J31="","",RANK(J31,$J$14:$J$33,0)+COUNTIF($J$14:J31,J31)-1)</f>
        <v/>
      </c>
      <c r="P31" s="77" t="n">
        <v>18</v>
      </c>
      <c r="Q31" s="78">
        <f>IFERROR(INDEX($B$14:$B$33,MATCH(P31,$O$14:$O$33,0)),"")</f>
        <v/>
      </c>
      <c r="R31" s="74">
        <f>IFERROR(INDEX($J$14:$J$33,MATCH(P31,$O$14:$O$33,0)),"")</f>
        <v/>
      </c>
      <c r="S31" s="74" t="n"/>
    </row>
    <row r="32" ht="30" customHeight="1" s="36">
      <c r="A32" s="58" t="n"/>
      <c r="B32" s="58" t="n"/>
      <c r="C32" s="58" t="n"/>
      <c r="D32" s="58" t="n"/>
      <c r="E32" s="58" t="n"/>
      <c r="F32" s="58" t="n"/>
      <c r="G32" s="58" t="n"/>
      <c r="H32" s="58" t="n"/>
      <c r="I32" s="58" t="n"/>
      <c r="J32" s="55">
        <f>IF(COUNT(C32:I32)=0,"",SUMPRODUCT(C32:I32,$C$10:$I$10))</f>
        <v/>
      </c>
      <c r="K32" s="56">
        <f>IF(J32="","",RANK(J32,$J$14:$J$32))</f>
        <v/>
      </c>
      <c r="L32" s="57" t="n"/>
      <c r="M32" s="57" t="n"/>
      <c r="O32" s="76">
        <f>IF(J32="","",RANK(J32,$J$14:$J$33,0)+COUNTIF($J$14:J32,J32)-1)</f>
        <v/>
      </c>
      <c r="P32" s="77" t="n">
        <v>19</v>
      </c>
      <c r="Q32" s="78">
        <f>IFERROR(INDEX($B$14:$B$33,MATCH(P32,$O$14:$O$33,0)),"")</f>
        <v/>
      </c>
      <c r="R32" s="74">
        <f>IFERROR(INDEX($J$14:$J$33,MATCH(P32,$O$14:$O$33,0)),"")</f>
        <v/>
      </c>
      <c r="S32" s="74" t="n"/>
    </row>
    <row r="33">
      <c r="O33" s="76">
        <f>IF(J33="","",RANK(J33,$J$14:$J$33,0)+COUNTIF($J$14:J33,J33)-1)</f>
        <v/>
      </c>
      <c r="P33" s="77" t="n">
        <v>20</v>
      </c>
      <c r="Q33" s="78">
        <f>IFERROR(INDEX($B$14:$B$33,MATCH(P33,$O$14:$O$33,0)),"")</f>
        <v/>
      </c>
      <c r="R33" s="74">
        <f>IFERROR(INDEX($J$14:$J$33,MATCH(P33,$O$14:$O$33,0)),"")</f>
        <v/>
      </c>
      <c r="S33" s="74" t="n"/>
    </row>
    <row r="34" ht="19.5" customHeight="1" s="36">
      <c r="A34" s="44" t="inlineStr">
        <is>
          <t>DURABILITY CHECK</t>
        </is>
      </c>
    </row>
    <row r="35" ht="15" customHeight="1" s="36">
      <c r="A35" s="49" t="inlineStr">
        <is>
          <t>Options scored</t>
        </is>
      </c>
      <c r="E35" s="59">
        <f>COUNTA(B14:B32)</f>
        <v/>
      </c>
    </row>
    <row r="36" ht="15" customHeight="1" s="36">
      <c r="A36" s="49" t="inlineStr">
        <is>
          <t>Selected</t>
        </is>
      </c>
      <c r="E36" s="59">
        <f>COUNTIF(M14:M32,"Yes")</f>
        <v/>
      </c>
    </row>
    <row r="37" ht="15" customHeight="1" s="36">
      <c r="A37" s="49" t="inlineStr">
        <is>
          <t>Selected at hierarchy level 1–3 (durable)</t>
        </is>
      </c>
      <c r="E37" s="59">
        <f>SUMPRODUCT((M14:M32="Yes")*((LEFT(L14:L32&amp;" ",1)="1")+(LEFT(L14:L32&amp;" ",1)="2")+(LEFT(L14:L32&amp;" ",1)="3")))</f>
        <v/>
      </c>
    </row>
    <row r="38" ht="15" customHeight="1" s="36">
      <c r="A38" s="49" t="inlineStr">
        <is>
          <t>Selected at level 5–6 only (will decay)</t>
        </is>
      </c>
      <c r="E38" s="59">
        <f>SUMPRODUCT((M14:M32="Yes")*((LEFT(L14:L32&amp;" ",1)="5")+(LEFT(L14:L32&amp;" ",1)="6")))</f>
        <v/>
      </c>
    </row>
    <row r="39"/>
    <row r="40" ht="39" customHeight="1" s="36">
      <c r="A40" s="60" t="inlineStr">
        <is>
          <t>GATE RULE: you need at least one solution at hierarchy level 1–3 for every root cause. A solution set made only of levels 5 and 6 — standardise, train and remind — has a half-life of six to ten weeks, because attrition and new hires wash it away.</t>
        </is>
      </c>
    </row>
  </sheetData>
  <mergeCells count="14">
    <mergeCell ref="A37:D37"/>
    <mergeCell ref="B7:F7"/>
    <mergeCell ref="A1:M1"/>
    <mergeCell ref="B6:F6"/>
    <mergeCell ref="A35:D35"/>
    <mergeCell ref="A34:M34"/>
    <mergeCell ref="B5:F5"/>
    <mergeCell ref="A9:M9"/>
    <mergeCell ref="A12:M12"/>
    <mergeCell ref="A38:D38"/>
    <mergeCell ref="A40:M40"/>
    <mergeCell ref="A4:F4"/>
    <mergeCell ref="A2:M2"/>
    <mergeCell ref="A36:D36"/>
  </mergeCells>
  <dataValidations count="3">
    <dataValidation sqref="C14:I32" showDropDown="0" showInputMessage="0" showErrorMessage="0" allowBlank="1" type="list" errorStyle="stop" operator="between">
      <formula1>"1,2,3,4,5"</formula1>
      <formula2>0</formula2>
    </dataValidation>
    <dataValidation sqref="L14:L32" showDropDown="0" showInputMessage="0" showErrorMessage="0" allowBlank="1" type="list" errorStyle="stop" operator="between">
      <formula1>"1 Eliminate demand,2 Design it out,3 Guide it,4 Detect it,5 Standardise it,6 Train and remind"</formula1>
      <formula2>0</formula2>
    </dataValidation>
    <dataValidation sqref="M14:M32" showDropDown="0" showInputMessage="0" showErrorMessage="0" allowBlank="1" type="list" errorStyle="stop" operator="between">
      <formula1>"Yes,No"</formula1>
      <formula2>0</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A1:D10"/>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8" customWidth="1" style="35" min="1" max="1"/>
    <col width="26" customWidth="1" style="35" min="2" max="2"/>
    <col width="68" customWidth="1" style="35" min="3" max="3"/>
    <col width="26" customWidth="1" style="35" min="4" max="4"/>
  </cols>
  <sheetData>
    <row r="1" ht="25.5" customHeight="1" s="36">
      <c r="A1" s="42" t="inlineStr">
        <is>
          <t>The countermeasure hierarchy</t>
        </is>
      </c>
    </row>
    <row r="2" ht="27.75" customHeight="1" s="36">
      <c r="A2" s="43" t="inlineStr">
        <is>
          <t>Best to worst. Rate every solution you select.</t>
        </is>
      </c>
    </row>
    <row r="4" ht="31.5" customHeight="1" s="36">
      <c r="A4" s="53" t="inlineStr">
        <is>
          <t>Level</t>
        </is>
      </c>
      <c r="B4" s="53" t="inlineStr">
        <is>
          <t>Type</t>
        </is>
      </c>
      <c r="C4" s="53" t="inlineStr">
        <is>
          <t>What it means</t>
        </is>
      </c>
      <c r="D4" s="53" t="inlineStr">
        <is>
          <t>How long it lasts</t>
        </is>
      </c>
    </row>
    <row r="5" ht="25.5" customHeight="1" s="36">
      <c r="A5" s="61" t="n">
        <v>1</v>
      </c>
      <c r="B5" s="62" t="inlineStr">
        <is>
          <t>Eliminate the demand</t>
        </is>
      </c>
      <c r="C5" s="63" t="inlineStr">
        <is>
          <t>Fix the upstream cause so the contact never happens at all.</t>
        </is>
      </c>
      <c r="D5" s="62" t="inlineStr">
        <is>
          <t>Permanent</t>
        </is>
      </c>
    </row>
    <row r="6" ht="25.5" customHeight="1" s="36">
      <c r="A6" s="61" t="n">
        <v>2</v>
      </c>
      <c r="B6" s="62" t="inlineStr">
        <is>
          <t>Design it out</t>
        </is>
      </c>
      <c r="C6" s="63" t="inlineStr">
        <is>
          <t>Change the system so the error is impossible.</t>
        </is>
      </c>
      <c r="D6" s="62" t="inlineStr">
        <is>
          <t>Permanent</t>
        </is>
      </c>
    </row>
    <row r="7" ht="25.5" customHeight="1" s="36">
      <c r="A7" s="61" t="n">
        <v>3</v>
      </c>
      <c r="B7" s="62" t="inlineStr">
        <is>
          <t>Guide it</t>
        </is>
      </c>
      <c r="C7" s="63" t="inlineStr">
        <is>
          <t>The workflow forces the right path; doing it wrong needs a deliberate override.</t>
        </is>
      </c>
      <c r="D7" s="62" t="inlineStr">
        <is>
          <t>Very durable</t>
        </is>
      </c>
    </row>
    <row r="8" ht="25.5" customHeight="1" s="36">
      <c r="A8" s="64" t="n">
        <v>4</v>
      </c>
      <c r="B8" s="65" t="inlineStr">
        <is>
          <t>Detect it</t>
        </is>
      </c>
      <c r="C8" s="66" t="inlineStr">
        <is>
          <t>The system flags the error the moment it happens.</t>
        </is>
      </c>
      <c r="D8" s="65" t="inlineStr">
        <is>
          <t>Moderate</t>
        </is>
      </c>
    </row>
    <row r="9" ht="25.5" customHeight="1" s="36">
      <c r="A9" s="67" t="n">
        <v>5</v>
      </c>
      <c r="B9" s="68" t="inlineStr">
        <is>
          <t>Standardise it</t>
        </is>
      </c>
      <c r="C9" s="69" t="inlineStr">
        <is>
          <t>Documented standard work with a visible reference.</t>
        </is>
      </c>
      <c r="D9" s="68" t="inlineStr">
        <is>
          <t>Weak</t>
        </is>
      </c>
    </row>
    <row r="10" ht="25.5" customHeight="1" s="36">
      <c r="A10" s="67" t="n">
        <v>6</v>
      </c>
      <c r="B10" s="68" t="inlineStr">
        <is>
          <t>Train and remind</t>
        </is>
      </c>
      <c r="C10" s="69" t="inlineStr">
        <is>
          <t>Coaching, comms, reminders, posters.</t>
        </is>
      </c>
      <c r="D10" s="68" t="inlineStr">
        <is>
          <t>Six to ten weeks</t>
        </is>
      </c>
    </row>
  </sheetData>
  <mergeCells count="2">
    <mergeCell ref="A1:D1"/>
    <mergeCell ref="A2:D2"/>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2026-07-31T15:37:50Z</dcterms:created>
  <dcterms:modified xsi:type="dcterms:W3CDTF">2026-08-01T04:22:59Z</dcterms:modified>
  <cp:revision>0</cp:revision>
</cp:coreProperties>
</file>

<file path=docProps/custom.xml><?xml version="1.0" encoding="utf-8"?>
<Properties xmlns:vt="http://schemas.openxmlformats.org/officeDocument/2006/docPropsVTypes" xmlns="http://schemas.openxmlformats.org/officeDocument/2006/custom-properties">
  <property name="chartspec" fmtid="{D5CDD505-2E9C-101B-9397-08002B2CF9AE}" pid="2">
    <vt:lpwstr>1c5cd0e397e7</vt:lpwstr>
  </property>
</Properties>
</file>