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Solution selection" sheetId="2" state="visible" r:id="rId2"/>
    <sheet name="Countermeasure hierarchy"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25">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i val="1"/>
      <color rgb="FFB91C1C"/>
      <sz val="9"/>
    </font>
    <font>
      <name val="Arial"/>
      <charset val="1"/>
      <family val="0"/>
      <b val="1"/>
      <color rgb="FFFFFFFF"/>
      <sz val="9"/>
    </font>
    <font>
      <name val="Arial"/>
      <charset val="1"/>
      <family val="0"/>
      <color rgb="FF006100"/>
      <sz val="10"/>
    </font>
    <font>
      <name val="Arial"/>
      <charset val="1"/>
      <family val="0"/>
      <color rgb="FF0000FF"/>
      <sz val="10"/>
    </font>
    <font>
      <b val="1"/>
      <sz val="10"/>
    </font>
    <font>
      <i val="1"/>
      <color rgb="FF6B7280"/>
      <sz val="9"/>
    </font>
    <font>
      <name val="Arial"/>
      <b val="1"/>
      <color rgb="FF1D6F42"/>
      <sz val="10"/>
    </font>
    <font>
      <name val="Arial"/>
      <b val="1"/>
      <color rgb="FFB45309"/>
      <sz val="10"/>
    </font>
    <font>
      <name val="Arial"/>
      <b val="1"/>
      <color rgb="FFB91C1C"/>
      <sz val="10"/>
    </font>
    <font>
      <i val="1"/>
      <color rgb="FF4B5563"/>
      <sz val="9"/>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ECFAEF"/>
      </patternFill>
    </fill>
    <fill>
      <patternFill patternType="solid">
        <fgColor rgb="FFF2F7FF"/>
      </patternFill>
    </fill>
    <fill>
      <patternFill patternType="solid">
        <fgColor rgb="FFFFF9E3"/>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2" fillId="0" borderId="0" applyAlignment="1" pivotButton="0" quotePrefix="0" xfId="0">
      <alignment horizontal="general" vertical="bottom"/>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17" fillId="9" borderId="1" applyAlignment="1" pivotButton="0" quotePrefix="0" xfId="0">
      <alignment horizontal="general" vertical="top" wrapText="1"/>
    </xf>
    <xf numFmtId="0" fontId="18" fillId="9" borderId="1" applyAlignment="1" pivotButton="0" quotePrefix="0" xfId="0">
      <alignment horizontal="center" vertical="bottom"/>
    </xf>
    <xf numFmtId="0" fontId="18" fillId="9" borderId="1" applyAlignment="1" pivotButton="0" quotePrefix="0" xfId="0">
      <alignment horizontal="general" vertical="top" wrapText="1"/>
    </xf>
    <xf numFmtId="0" fontId="19" fillId="0" borderId="0" pivotButton="0" quotePrefix="0" xfId="0"/>
    <xf numFmtId="3" fontId="0" fillId="10" borderId="0" pivotButton="0" quotePrefix="0" xfId="0"/>
    <xf numFmtId="0" fontId="20" fillId="0" borderId="0" pivotButton="0" quotePrefix="0" xfId="0"/>
    <xf numFmtId="1" fontId="20" fillId="10" borderId="0" pivotButton="0" quotePrefix="0" xfId="0"/>
    <xf numFmtId="1" fontId="0" fillId="0" borderId="0" pivotButton="0" quotePrefix="0" xfId="0"/>
    <xf numFmtId="0" fontId="0" fillId="10" borderId="0" pivotButton="0" quotePrefix="0" xfId="0"/>
    <xf numFmtId="0" fontId="14" fillId="9" borderId="1" applyAlignment="1" pivotButton="0" quotePrefix="0" xfId="0">
      <alignment horizontal="general" vertical="center" wrapText="1"/>
    </xf>
    <xf numFmtId="0" fontId="12" fillId="9" borderId="1" applyAlignment="1" pivotButton="0" quotePrefix="0" xfId="0">
      <alignment horizontal="general" vertical="center" wrapText="1"/>
    </xf>
    <xf numFmtId="0" fontId="5" fillId="9" borderId="1" applyAlignment="1" pivotButton="0" quotePrefix="0" xfId="0">
      <alignment horizontal="general" vertical="center" wrapText="1"/>
    </xf>
    <xf numFmtId="0" fontId="14" fillId="11" borderId="1" applyAlignment="1" pivotButton="0" quotePrefix="0" xfId="0">
      <alignment horizontal="general" vertical="center" wrapText="1"/>
    </xf>
    <xf numFmtId="0" fontId="12" fillId="11" borderId="1" applyAlignment="1" pivotButton="0" quotePrefix="0" xfId="0">
      <alignment horizontal="general" vertical="center" wrapText="1"/>
    </xf>
    <xf numFmtId="0" fontId="5" fillId="11" borderId="1" applyAlignment="1" pivotButton="0" quotePrefix="0" xfId="0">
      <alignment horizontal="general" vertical="center" wrapText="1"/>
    </xf>
    <xf numFmtId="0" fontId="14" fillId="0" borderId="1" applyAlignment="1" pivotButton="0" quotePrefix="0" xfId="0">
      <alignment horizontal="general" vertical="center" wrapText="1"/>
    </xf>
    <xf numFmtId="0" fontId="21" fillId="0" borderId="1" applyAlignment="1" pivotButton="0" quotePrefix="0" xfId="0">
      <alignment horizontal="general" vertical="center" wrapText="1"/>
    </xf>
    <xf numFmtId="0" fontId="22" fillId="0" borderId="1" applyAlignment="1" pivotButton="0" quotePrefix="0" xfId="0">
      <alignment horizontal="general" vertical="center" wrapText="1"/>
    </xf>
    <xf numFmtId="0" fontId="23" fillId="0" borderId="1" applyAlignment="1" pivotButton="0" quotePrefix="0" xfId="0">
      <alignment horizontal="general" vertical="center" wrapText="1"/>
    </xf>
    <xf numFmtId="0" fontId="17" fillId="11" borderId="1" applyAlignment="1" pivotButton="0" quotePrefix="0" xfId="0">
      <alignment horizontal="general" vertical="top" wrapText="1"/>
    </xf>
    <xf numFmtId="0" fontId="18" fillId="11" borderId="1" applyAlignment="1" pivotButton="0" quotePrefix="0" xfId="0">
      <alignment horizontal="center" vertical="bottom"/>
    </xf>
    <xf numFmtId="0" fontId="18" fillId="11" borderId="1" applyAlignment="1" pivotButton="0" quotePrefix="0" xfId="0">
      <alignment horizontal="general" vertical="top" wrapText="1"/>
    </xf>
    <xf numFmtId="0" fontId="10" fillId="4" borderId="0" applyAlignment="1" pivotButton="0" quotePrefix="0" xfId="0">
      <alignment vertical="center" wrapText="1"/>
    </xf>
    <xf numFmtId="0" fontId="24" fillId="0" borderId="0" applyAlignment="1" pivotButton="0" quotePrefix="0" xfId="0">
      <alignment vertical="top" wrapText="1"/>
    </xf>
    <xf numFmtId="0" fontId="19"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Weighted score by solution — the top three are the shortlist</a:t>
            </a:r>
          </a:p>
        </rich>
      </tx>
    </title>
    <plotArea>
      <barChart>
        <barDir val="bar"/>
        <grouping val="clustered"/>
        <ser>
          <idx val="0"/>
          <order val="0"/>
          <tx>
            <v>Weighted score</v>
          </tx>
          <spPr>
            <a:ln>
              <a:prstDash val="solid"/>
            </a:ln>
          </spPr>
          <invertIfNegative val="0"/>
          <dPt>
            <idx val="0"/>
            <spPr>
              <a:solidFill>
                <a:srgbClr val="B45309"/>
              </a:solidFill>
              <a:ln>
                <a:prstDash val="solid"/>
              </a:ln>
            </spPr>
          </dPt>
          <dPt>
            <idx val="1"/>
            <spPr>
              <a:solidFill>
                <a:srgbClr val="B45309"/>
              </a:solidFill>
              <a:ln>
                <a:prstDash val="solid"/>
              </a:ln>
            </spPr>
          </dPt>
          <dPt>
            <idx val="2"/>
            <spPr>
              <a:solidFill>
                <a:srgbClr val="B4530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1F4E79"/>
              </a:solidFill>
              <a:ln>
                <a:prstDash val="solid"/>
              </a:ln>
            </spPr>
          </dPt>
          <dPt>
            <idx val="6"/>
            <spPr>
              <a:solidFill>
                <a:srgbClr val="1F4E79"/>
              </a:solidFill>
              <a:ln>
                <a:prstDash val="solid"/>
              </a:ln>
            </spPr>
          </dPt>
          <dPt>
            <idx val="7"/>
            <spPr>
              <a:solidFill>
                <a:srgbClr val="1F4E79"/>
              </a:solidFill>
              <a:ln>
                <a:prstDash val="solid"/>
              </a:ln>
            </spPr>
          </dPt>
          <dPt>
            <idx val="8"/>
            <spPr>
              <a:solidFill>
                <a:srgbClr val="1F4E79"/>
              </a:solidFill>
              <a:ln>
                <a:prstDash val="solid"/>
              </a:ln>
            </spPr>
          </dPt>
          <dPt>
            <idx val="9"/>
            <spPr>
              <a:solidFill>
                <a:srgbClr val="1F4E79"/>
              </a:solidFill>
              <a:ln>
                <a:prstDash val="solid"/>
              </a:ln>
            </spPr>
          </dPt>
          <cat>
            <numRef>
              <f>'Solution selection'!$Q$14:$Q$23</f>
            </numRef>
          </cat>
          <val>
            <numRef>
              <f>'Solution selection'!$R$14:$R$23</f>
            </numRef>
          </val>
        </ser>
        <gapWidth val="60"/>
        <axId val="10"/>
        <axId val="100"/>
      </barChart>
      <catAx>
        <axId val="10"/>
        <scaling>
          <orientation val="maxMin"/>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22</col>
      <colOff>0</colOff>
      <row>2</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5" min="1" max="1"/>
    <col width="108" customWidth="1" style="35" min="2" max="2"/>
    <col width="13" customWidth="1" style="36" min="3" max="3"/>
    <col width="13" customWidth="1" style="36" min="4" max="4"/>
    <col width="13" customWidth="1" style="36" min="5" max="5"/>
    <col width="13" customWidth="1" style="36" min="6" max="6"/>
    <col width="13" customWidth="1" style="36" min="7" max="7"/>
    <col width="13" customWidth="1" style="36" min="8" max="8"/>
  </cols>
  <sheetData>
    <row r="1"/>
    <row r="2" ht="30" customHeight="1" s="36">
      <c r="B2" s="37" t="inlineStr">
        <is>
          <t>Solution Selection</t>
        </is>
      </c>
    </row>
    <row r="3" ht="25.5" customHeight="1" s="36">
      <c r="B3" s="38" t="inlineStr">
        <is>
          <t>Most teams pick the solution someone was already advocating. This sheet makes the choice explicit, so you can defend it and so the durable option does not lose to the exciting one.</t>
        </is>
      </c>
    </row>
    <row r="4"/>
    <row r="5" ht="24" customHeight="1" s="36">
      <c r="B5" s="39" t="inlineStr">
        <is>
          <t>What to do</t>
        </is>
      </c>
    </row>
    <row r="6" ht="25.5" customHeight="1" s="36">
      <c r="B6" s="40" t="inlineStr">
        <is>
          <t>1.  Agree the criteria weights with your Champion BEFORE you score anything. They must add to 100%.</t>
        </is>
      </c>
    </row>
    <row r="7" ht="25.5" customHeight="1" s="36">
      <c r="B7" s="40" t="inlineStr">
        <is>
          <t>2.  Generate at least three options for every root cause. If you have one option, you have not finished generating.</t>
        </is>
      </c>
    </row>
    <row r="8" ht="15" customHeight="1" s="36">
      <c r="B8" s="40" t="inlineStr">
        <is>
          <t>3.  Score each option 1 to 5 on each criterion, using the dropdowns.</t>
        </is>
      </c>
    </row>
    <row r="9" ht="15" customHeight="1" s="36">
      <c r="B9" s="40" t="inlineStr">
        <is>
          <t>4.  Rate each option on the countermeasure hierarchy — see the second tab.</t>
        </is>
      </c>
    </row>
    <row r="10" ht="15" customHeight="1" s="36">
      <c r="B10" s="40" t="inlineStr">
        <is>
          <t>5.  The weighted score and rank calculate themselves.</t>
        </is>
      </c>
    </row>
    <row r="11"/>
    <row r="12" ht="39" customHeight="1" s="36">
      <c r="B12" s="41" t="inlineStr">
        <is>
          <t>The gate rule: at least one solution at hierarchy level 1 to 3 per root cause. If everything you selected is training and reminders, your improvement will be gone in two months and you will not know why.</t>
        </is>
      </c>
    </row>
    <row r="13"/>
    <row r="14"/>
    <row r="15" ht="26" customHeight="1" s="36">
      <c r="A15" s="94" t="inlineStr">
        <is>
          <t>WHAT THE COLUMNS MEAN — the short version sits above each table; this is the same thing with the worked example</t>
        </is>
      </c>
    </row>
    <row r="16" ht="39" customHeight="1" s="36">
      <c r="A16" s="93" t="inlineStr">
        <is>
          <t>Low risk of side-effects = 1-5, and the label points the same way as every other column: 5 is GOOD, meaning few side-effects. A criterion phrased as a negative would invert the arithmetic against its neighbours, which is why it is written as 'low risk' rather than 'risk'</t>
        </is>
      </c>
    </row>
    <row r="17" ht="44" customHeight="1" s="36">
      <c r="A17" s="93" t="inlineStr">
        <is>
          <t>Weighted score = each criterion's 1-5 score times the weight above it, added up, so it lands back on the 1-5 scale. The weights here run 0.25, 0.20, 0.15 and four at 0.10 (C10:I10) and must sum to 1, or the scores are not comparable. The deferred-close option scores 4.30 against 3.60 for the next one (J14, J15)</t>
        </is>
      </c>
    </row>
    <row r="18" ht="22" customHeight="1" s="36">
      <c r="A18" s="93" t="inlineStr">
        <is>
          <t>Rank = position by weighted total, 1 being highest. Ties are not broken, so two rows can share a rank. Always read it with the totals beside it: a rank on its own hides both a photo finish and an exact tie, and no amount of re-scoring separates two rows that scored the same</t>
        </is>
      </c>
    </row>
    <row r="19" ht="39" customHeight="1" s="36">
      <c r="A19" s="93" t="n"/>
    </row>
    <row r="20"/>
    <row r="21"/>
    <row r="22"/>
    <row r="23"/>
    <row r="24"/>
    <row r="25"/>
    <row r="26"/>
    <row r="27"/>
    <row r="28"/>
    <row r="29"/>
    <row r="30"/>
    <row r="31"/>
    <row r="32"/>
    <row r="33"/>
    <row r="34"/>
    <row r="35"/>
    <row r="36"/>
    <row r="37"/>
    <row r="38"/>
    <row r="39"/>
    <row r="40"/>
  </sheetData>
  <mergeCells count="5">
    <mergeCell ref="A16:B16"/>
    <mergeCell ref="A15:B15"/>
    <mergeCell ref="A19:B19"/>
    <mergeCell ref="A17:B17"/>
    <mergeCell ref="A18:B18"/>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AC40"/>
  <sheetViews>
    <sheetView showFormulas="0" showGridLines="1" showRowColHeaders="1" showZeros="1" rightToLeft="0" tabSelected="0" showOutlineSymbols="1" defaultGridColor="1"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baseColWidth="8" defaultColWidth="8.6796875" defaultRowHeight="15" zeroHeight="0" outlineLevelRow="0"/>
  <cols>
    <col width="28" customWidth="1" style="35" min="1" max="1"/>
    <col width="34" customWidth="1" style="35" min="2" max="2"/>
    <col width="15" customWidth="1" style="35" min="3" max="9"/>
    <col width="14" customWidth="1" style="35" min="10" max="10"/>
    <col width="7" customWidth="1" style="35" min="11" max="11"/>
    <col width="17" customWidth="1" style="35" min="12" max="12"/>
    <col width="11" customWidth="1" style="35" min="13" max="13"/>
    <col width="13" customWidth="1" style="36" min="21" max="21"/>
    <col width="13" customWidth="1" style="36" min="22" max="22"/>
    <col width="13" customWidth="1" style="36" min="23" max="23"/>
    <col width="13" customWidth="1" style="36" min="24" max="24"/>
    <col width="13" customWidth="1" style="36" min="25" max="25"/>
    <col width="13" customWidth="1" style="36" min="26" max="26"/>
    <col width="13" customWidth="1" style="36" min="27" max="27"/>
    <col width="13" customWidth="1" style="36" min="28" max="28"/>
    <col width="13" customWidth="1" style="36" min="29" max="29"/>
  </cols>
  <sheetData>
    <row r="1" ht="25.5" customHeight="1" s="36">
      <c r="A1" s="42" t="inlineStr">
        <is>
          <t>Solution Selection  —  choose deliberately, not by enthusiasm</t>
        </is>
      </c>
    </row>
    <row r="2" ht="27.75" customHeight="1" s="36">
      <c r="A2" s="43" t="inlineStr">
        <is>
          <t>Score every option against weighted criteria. The score, rank and durability warning calculate themselves.</t>
        </is>
      </c>
    </row>
    <row r="3"/>
    <row r="4" ht="19.5" customHeight="1" s="36">
      <c r="A4" s="44" t="inlineStr">
        <is>
          <t>HOW TO USE THIS SHEET</t>
        </is>
      </c>
    </row>
    <row r="5" ht="15" customHeight="1" s="36">
      <c r="A5" s="45" t="inlineStr">
        <is>
          <t>Yellow cells</t>
        </is>
      </c>
      <c r="B5" s="46" t="inlineStr">
        <is>
          <t>You fill these in. Blue text = a number you typed.</t>
        </is>
      </c>
    </row>
    <row r="6" ht="15" customHeight="1" s="36">
      <c r="A6" s="47" t="inlineStr">
        <is>
          <t>Blue cells</t>
        </is>
      </c>
      <c r="B6" s="46" t="inlineStr">
        <is>
          <t>Calculated for you. Do not type over these — they contain formulas.</t>
        </is>
      </c>
    </row>
    <row r="7" ht="15" customHeight="1" s="36">
      <c r="A7" s="48" t="inlineStr">
        <is>
          <t>Green cells</t>
        </is>
      </c>
      <c r="B7" s="46" t="inlineStr">
        <is>
          <t>A realistic worked example, so you can see the expected format and the sheet is not blank when you open it. Replace it with your own.</t>
        </is>
      </c>
    </row>
    <row r="8"/>
    <row r="9" ht="19.5" customHeight="1" s="36">
      <c r="A9" s="44" t="inlineStr">
        <is>
          <t>CRITERIA WEIGHTS  —  adjust these with your Champion before you score anything. They must sum to 100%.</t>
        </is>
      </c>
    </row>
    <row r="10" ht="15" customHeight="1" s="36">
      <c r="B10" s="49" t="inlineStr">
        <is>
          <t>Weight →</t>
        </is>
      </c>
      <c r="C10" s="50" t="n">
        <v>0.25</v>
      </c>
      <c r="D10" s="50" t="n">
        <v>0.2</v>
      </c>
      <c r="E10" s="50" t="n">
        <v>0.15</v>
      </c>
      <c r="F10" s="50" t="n">
        <v>0.1</v>
      </c>
      <c r="G10" s="50" t="n">
        <v>0.1</v>
      </c>
      <c r="H10" s="50" t="n">
        <v>0.1</v>
      </c>
      <c r="I10" s="50" t="n">
        <v>0.1</v>
      </c>
      <c r="J10" s="51">
        <f>SUM(C10:I10)</f>
        <v/>
      </c>
      <c r="K10" s="52" t="inlineStr">
        <is>
          <t>← must be 100%</t>
        </is>
      </c>
    </row>
    <row r="11"/>
    <row r="12" ht="84" customHeight="1" s="36">
      <c r="A12" s="92" t="inlineStr">
        <is>
          <t>SCORE EACH OPTION 1–5 ON EVERY CRITERION.  Generate at least three options per root cause before you score.  ·  Key:
• Low risk of side-effects = 1-5, and the label points the same way as every other column: 5 is GOOD, meaning few side-effects.
• Weighted score = each criterion's 1-5 score times the weight above it, added up, so it lands back on the 1-5 scale.
• Rank = position by weighted total, 1 being highest.</t>
        </is>
      </c>
    </row>
    <row r="13" ht="31.5" customHeight="1" s="36">
      <c r="A13" s="53" t="inlineStr">
        <is>
          <t>Root cause it addresses</t>
        </is>
      </c>
      <c r="B13" s="53" t="inlineStr">
        <is>
          <t>Solution option</t>
        </is>
      </c>
      <c r="C13" s="53" t="inlineStr">
        <is>
          <t>Impact on the metric</t>
        </is>
      </c>
      <c r="D13" s="53" t="inlineStr">
        <is>
          <t>Durability under attrition</t>
        </is>
      </c>
      <c r="E13" s="53" t="inlineStr">
        <is>
          <t>Speed to implement</t>
        </is>
      </c>
      <c r="F13" s="53" t="inlineStr">
        <is>
          <t>Low cost</t>
        </is>
      </c>
      <c r="G13" s="53" t="inlineStr">
        <is>
          <t>Low effort</t>
        </is>
      </c>
      <c r="H13" s="53" t="inlineStr">
        <is>
          <t>Low risk of side-effects</t>
        </is>
      </c>
      <c r="I13" s="53" t="inlineStr">
        <is>
          <t>Replication potential</t>
        </is>
      </c>
      <c r="J13" s="53" t="inlineStr">
        <is>
          <t>Weighted score</t>
        </is>
      </c>
      <c r="K13" s="53" t="inlineStr">
        <is>
          <t>Rank</t>
        </is>
      </c>
      <c r="L13" s="53" t="inlineStr">
        <is>
          <t>Hierarchy level (1–6)</t>
        </is>
      </c>
      <c r="M13" s="53" t="inlineStr">
        <is>
          <t>Selected?</t>
        </is>
      </c>
      <c r="O13" s="75" t="inlineStr">
        <is>
          <t>rank</t>
        </is>
      </c>
      <c r="P13" s="73" t="inlineStr">
        <is>
          <t>#</t>
        </is>
      </c>
      <c r="Q13" s="73" t="inlineStr">
        <is>
          <t>Solution</t>
        </is>
      </c>
      <c r="R13" s="73" t="inlineStr">
        <is>
          <t>Weighted score</t>
        </is>
      </c>
      <c r="S13" s="73" t="n"/>
    </row>
    <row r="14" ht="23.85" customHeight="1" s="36">
      <c r="A14" s="70" t="inlineStr">
        <is>
          <t>Ticket closed before adjustment posts</t>
        </is>
      </c>
      <c r="B14" s="70" t="inlineStr">
        <is>
          <t>Block Resolved until the webhook confirms</t>
        </is>
      </c>
      <c r="C14" s="70" t="n">
        <v>5</v>
      </c>
      <c r="D14" s="70" t="n">
        <v>5</v>
      </c>
      <c r="E14" s="70" t="n">
        <v>3</v>
      </c>
      <c r="F14" s="70" t="n">
        <v>4</v>
      </c>
      <c r="G14" s="70" t="n">
        <v>3</v>
      </c>
      <c r="H14" s="70" t="n">
        <v>4</v>
      </c>
      <c r="I14" s="70" t="n">
        <v>5</v>
      </c>
      <c r="J14" s="55">
        <f>IF(COUNT(C14:I14)=0,"",SUMPRODUCT(C14:I14,$C$10:$I$10))</f>
        <v/>
      </c>
      <c r="K14" s="56">
        <f>IF(J14="","",RANK(J14,$J$14:$J$32))</f>
        <v/>
      </c>
      <c r="L14" s="71" t="inlineStr">
        <is>
          <t>2 Design it out</t>
        </is>
      </c>
      <c r="M14" s="71" t="inlineStr">
        <is>
          <t>Yes</t>
        </is>
      </c>
      <c r="O14" s="76">
        <f>IF(J14="","",RANK(J14,$J$14:$J$33,0)+COUNTIF($J$14:J14,J14)-1)</f>
        <v/>
      </c>
      <c r="P14" s="77" t="n">
        <v>1</v>
      </c>
      <c r="Q14" s="78">
        <f>IFERROR(INDEX($B$14:$B$33,MATCH(P14,$O$14:$O$33,0)),"")</f>
        <v/>
      </c>
      <c r="R14" s="74">
        <f>IFERROR(INDEX($J$14:$J$33,MATCH(P14,$O$14:$O$33,0)),"")</f>
        <v/>
      </c>
      <c r="S14" s="74" t="n"/>
    </row>
    <row r="15" ht="30" customHeight="1" s="36">
      <c r="A15" s="72" t="inlineStr">
        <is>
          <t>Contact reason mis-tagged</t>
        </is>
      </c>
      <c r="B15" s="72" t="inlineStr">
        <is>
          <t>Cut to 12 codes and predict from first message</t>
        </is>
      </c>
      <c r="C15" s="72" t="n">
        <v>4</v>
      </c>
      <c r="D15" s="72" t="n">
        <v>5</v>
      </c>
      <c r="E15" s="72" t="n">
        <v>2</v>
      </c>
      <c r="F15" s="72" t="n">
        <v>3</v>
      </c>
      <c r="G15" s="72" t="n">
        <v>2</v>
      </c>
      <c r="H15" s="72" t="n">
        <v>3</v>
      </c>
      <c r="I15" s="72" t="n">
        <v>5</v>
      </c>
      <c r="J15" s="55">
        <f>IF(COUNT(C15:I15)=0,"",SUMPRODUCT(C15:I15,$C$10:$I$10))</f>
        <v/>
      </c>
      <c r="K15" s="56">
        <f>IF(J15="","",RANK(J15,$J$14:$J$32))</f>
        <v/>
      </c>
      <c r="L15" s="71" t="inlineStr">
        <is>
          <t>2 Design it out</t>
        </is>
      </c>
      <c r="M15" s="71" t="inlineStr">
        <is>
          <t>Yes</t>
        </is>
      </c>
      <c r="O15" s="76">
        <f>IF(J15="","",RANK(J15,$J$14:$J$33,0)+COUNTIF($J$14:J15,J15)-1)</f>
        <v/>
      </c>
      <c r="P15" s="77" t="n">
        <v>2</v>
      </c>
      <c r="Q15" s="78">
        <f>IFERROR(INDEX($B$14:$B$33,MATCH(P15,$O$14:$O$33,0)),"")</f>
        <v/>
      </c>
      <c r="R15" s="74">
        <f>IFERROR(INDEX($J$14:$J$33,MATCH(P15,$O$14:$O$33,0)),"")</f>
        <v/>
      </c>
      <c r="S15" s="74" t="n"/>
    </row>
    <row r="16" ht="30" customHeight="1" s="36">
      <c r="A16" s="72" t="inlineStr">
        <is>
          <t>Billing sweep runs once a day</t>
        </is>
      </c>
      <c r="B16" s="72" t="inlineStr">
        <is>
          <t>Move to continuous pull with a WIP cap</t>
        </is>
      </c>
      <c r="C16" s="72" t="n">
        <v>5</v>
      </c>
      <c r="D16" s="72" t="n">
        <v>4</v>
      </c>
      <c r="E16" s="72" t="n">
        <v>2</v>
      </c>
      <c r="F16" s="72" t="n">
        <v>3</v>
      </c>
      <c r="G16" s="72" t="n">
        <v>2</v>
      </c>
      <c r="H16" s="72" t="n">
        <v>2</v>
      </c>
      <c r="I16" s="72" t="n">
        <v>4</v>
      </c>
      <c r="J16" s="55">
        <f>IF(COUNT(C16:I16)=0,"",SUMPRODUCT(C16:I16,$C$10:$I$10))</f>
        <v/>
      </c>
      <c r="K16" s="56">
        <f>IF(J16="","",RANK(J16,$J$14:$J$32))</f>
        <v/>
      </c>
      <c r="L16" s="71" t="inlineStr">
        <is>
          <t>3 Mistake-proof it</t>
        </is>
      </c>
      <c r="M16" s="71" t="inlineStr">
        <is>
          <t>Yes</t>
        </is>
      </c>
      <c r="O16" s="76">
        <f>IF(J16="","",RANK(J16,$J$14:$J$33,0)+COUNTIF($J$14:J16,J16)-1)</f>
        <v/>
      </c>
      <c r="P16" s="77" t="n">
        <v>3</v>
      </c>
      <c r="Q16" s="78">
        <f>IFERROR(INDEX($B$14:$B$33,MATCH(P16,$O$14:$O$33,0)),"")</f>
        <v/>
      </c>
      <c r="R16" s="74">
        <f>IFERROR(INDEX($J$14:$J$33,MATCH(P16,$O$14:$O$33,0)),"")</f>
        <v/>
      </c>
      <c r="S16" s="74" t="n"/>
    </row>
    <row r="17" ht="30" customHeight="1" s="36">
      <c r="A17" s="72" t="inlineStr">
        <is>
          <t>Batch fails silently</t>
        </is>
      </c>
      <c r="B17" s="72" t="inlineStr">
        <is>
          <t>Alert on non-zero exit to on-call</t>
        </is>
      </c>
      <c r="C17" s="72" t="n">
        <v>3</v>
      </c>
      <c r="D17" s="72" t="n">
        <v>5</v>
      </c>
      <c r="E17" s="72" t="n">
        <v>5</v>
      </c>
      <c r="F17" s="72" t="n">
        <v>5</v>
      </c>
      <c r="G17" s="72" t="n">
        <v>5</v>
      </c>
      <c r="H17" s="72" t="n">
        <v>5</v>
      </c>
      <c r="I17" s="72" t="n">
        <v>5</v>
      </c>
      <c r="J17" s="55">
        <f>IF(COUNT(C17:I17)=0,"",SUMPRODUCT(C17:I17,$C$10:$I$10))</f>
        <v/>
      </c>
      <c r="K17" s="56">
        <f>IF(J17="","",RANK(J17,$J$14:$J$32))</f>
        <v/>
      </c>
      <c r="L17" s="71" t="inlineStr">
        <is>
          <t>4 Automatic detection</t>
        </is>
      </c>
      <c r="M17" s="71" t="inlineStr">
        <is>
          <t>Yes</t>
        </is>
      </c>
      <c r="O17" s="76">
        <f>IF(J17="","",RANK(J17,$J$14:$J$33,0)+COUNTIF($J$14:J17,J17)-1)</f>
        <v/>
      </c>
      <c r="P17" s="77" t="n">
        <v>4</v>
      </c>
      <c r="Q17" s="78">
        <f>IFERROR(INDEX($B$14:$B$33,MATCH(P17,$O$14:$O$33,0)),"")</f>
        <v/>
      </c>
      <c r="R17" s="74">
        <f>IFERROR(INDEX($J$14:$J$33,MATCH(P17,$O$14:$O$33,0)),"")</f>
        <v/>
      </c>
      <c r="S17" s="74" t="n"/>
    </row>
    <row r="18" ht="30" customHeight="1" s="36">
      <c r="A18" s="72" t="inlineStr">
        <is>
          <t>Evidence missing at hand-off</t>
        </is>
      </c>
      <c r="B18" s="72" t="inlineStr">
        <is>
          <t>Required-fields form before hand-off</t>
        </is>
      </c>
      <c r="C18" s="72" t="n">
        <v>3</v>
      </c>
      <c r="D18" s="72" t="n">
        <v>4</v>
      </c>
      <c r="E18" s="72" t="n">
        <v>4</v>
      </c>
      <c r="F18" s="72" t="n">
        <v>5</v>
      </c>
      <c r="G18" s="72" t="n">
        <v>4</v>
      </c>
      <c r="H18" s="72" t="n">
        <v>4</v>
      </c>
      <c r="I18" s="72" t="n">
        <v>4</v>
      </c>
      <c r="J18" s="55">
        <f>IF(COUNT(C18:I18)=0,"",SUMPRODUCT(C18:I18,$C$10:$I$10))</f>
        <v/>
      </c>
      <c r="K18" s="56">
        <f>IF(J18="","",RANK(J18,$J$14:$J$32))</f>
        <v/>
      </c>
      <c r="L18" s="71" t="inlineStr">
        <is>
          <t>3 Mistake-proof it</t>
        </is>
      </c>
      <c r="M18" s="71" t="inlineStr">
        <is>
          <t>Yes</t>
        </is>
      </c>
      <c r="O18" s="76">
        <f>IF(J18="","",RANK(J18,$J$14:$J$33,0)+COUNTIF($J$14:J18,J18)-1)</f>
        <v/>
      </c>
      <c r="P18" s="77" t="n">
        <v>5</v>
      </c>
      <c r="Q18" s="78">
        <f>IFERROR(INDEX($B$14:$B$33,MATCH(P18,$O$14:$O$33,0)),"")</f>
        <v/>
      </c>
      <c r="R18" s="74">
        <f>IFERROR(INDEX($J$14:$J$33,MATCH(P18,$O$14:$O$33,0)),"")</f>
        <v/>
      </c>
      <c r="S18" s="74" t="n"/>
    </row>
    <row r="19" ht="30" customHeight="1" s="36">
      <c r="A19" s="72" t="inlineStr">
        <is>
          <t>Contact reason mis-tagged</t>
        </is>
      </c>
      <c r="B19" s="72" t="inlineStr">
        <is>
          <t>Retrain agents on the existing code list</t>
        </is>
      </c>
      <c r="C19" s="72" t="n">
        <v>2</v>
      </c>
      <c r="D19" s="72" t="n">
        <v>1</v>
      </c>
      <c r="E19" s="72" t="n">
        <v>5</v>
      </c>
      <c r="F19" s="72" t="n">
        <v>5</v>
      </c>
      <c r="G19" s="72" t="n">
        <v>4</v>
      </c>
      <c r="H19" s="72" t="n">
        <v>5</v>
      </c>
      <c r="I19" s="72" t="n">
        <v>2</v>
      </c>
      <c r="J19" s="55">
        <f>IF(COUNT(C19:I19)=0,"",SUMPRODUCT(C19:I19,$C$10:$I$10))</f>
        <v/>
      </c>
      <c r="K19" s="56">
        <f>IF(J19="","",RANK(J19,$J$14:$J$32))</f>
        <v/>
      </c>
      <c r="L19" s="71" t="inlineStr">
        <is>
          <t>5 Standard work + training</t>
        </is>
      </c>
      <c r="M19" s="71" t="inlineStr">
        <is>
          <t>No</t>
        </is>
      </c>
      <c r="O19" s="76">
        <f>IF(J19="","",RANK(J19,$J$14:$J$33,0)+COUNTIF($J$14:J19,J19)-1)</f>
        <v/>
      </c>
      <c r="P19" s="77" t="n">
        <v>6</v>
      </c>
      <c r="Q19" s="78">
        <f>IFERROR(INDEX($B$14:$B$33,MATCH(P19,$O$14:$O$33,0)),"")</f>
        <v/>
      </c>
      <c r="R19" s="74">
        <f>IFERROR(INDEX($J$14:$J$33,MATCH(P19,$O$14:$O$33,0)),"")</f>
        <v/>
      </c>
      <c r="S19" s="74" t="n"/>
    </row>
    <row r="20" ht="30" customHeight="1" s="36">
      <c r="A20" s="58" t="n"/>
      <c r="B20" s="58" t="n"/>
      <c r="C20" s="58" t="n"/>
      <c r="D20" s="58" t="n"/>
      <c r="E20" s="58" t="n"/>
      <c r="F20" s="58" t="n"/>
      <c r="G20" s="58" t="n"/>
      <c r="H20" s="58" t="n"/>
      <c r="I20" s="58" t="n"/>
      <c r="J20" s="55">
        <f>IF(COUNT(C20:I20)=0,"",SUMPRODUCT(C20:I20,$C$10:$I$10))</f>
        <v/>
      </c>
      <c r="K20" s="56">
        <f>IF(J20="","",RANK(J20,$J$14:$J$32))</f>
        <v/>
      </c>
      <c r="L20" s="57" t="n"/>
      <c r="M20" s="57" t="n"/>
      <c r="O20" s="76">
        <f>IF(J20="","",RANK(J20,$J$14:$J$33,0)+COUNTIF($J$14:J20,J20)-1)</f>
        <v/>
      </c>
      <c r="P20" s="77" t="n">
        <v>7</v>
      </c>
      <c r="Q20" s="78">
        <f>IFERROR(INDEX($B$14:$B$33,MATCH(P20,$O$14:$O$33,0)),"")</f>
        <v/>
      </c>
      <c r="R20" s="74">
        <f>IFERROR(INDEX($J$14:$J$33,MATCH(P20,$O$14:$O$33,0)),"")</f>
        <v/>
      </c>
      <c r="S20" s="74" t="n"/>
    </row>
    <row r="21" ht="30" customHeight="1" s="36">
      <c r="A21" s="58" t="n"/>
      <c r="B21" s="58" t="n"/>
      <c r="C21" s="58" t="n"/>
      <c r="D21" s="58" t="n"/>
      <c r="E21" s="58" t="n"/>
      <c r="F21" s="58" t="n"/>
      <c r="G21" s="58" t="n"/>
      <c r="H21" s="58" t="n"/>
      <c r="I21" s="58" t="n"/>
      <c r="J21" s="55">
        <f>IF(COUNT(C21:I21)=0,"",SUMPRODUCT(C21:I21,$C$10:$I$10))</f>
        <v/>
      </c>
      <c r="K21" s="56">
        <f>IF(J21="","",RANK(J21,$J$14:$J$32))</f>
        <v/>
      </c>
      <c r="L21" s="57" t="n"/>
      <c r="M21" s="57" t="n"/>
      <c r="O21" s="76">
        <f>IF(J21="","",RANK(J21,$J$14:$J$33,0)+COUNTIF($J$14:J21,J21)-1)</f>
        <v/>
      </c>
      <c r="P21" s="77" t="n">
        <v>8</v>
      </c>
      <c r="Q21" s="78">
        <f>IFERROR(INDEX($B$14:$B$33,MATCH(P21,$O$14:$O$33,0)),"")</f>
        <v/>
      </c>
      <c r="R21" s="74">
        <f>IFERROR(INDEX($J$14:$J$33,MATCH(P21,$O$14:$O$33,0)),"")</f>
        <v/>
      </c>
      <c r="S21" s="74" t="n"/>
    </row>
    <row r="22" ht="30" customHeight="1" s="36">
      <c r="A22" s="58" t="n"/>
      <c r="B22" s="58" t="n"/>
      <c r="C22" s="58" t="n"/>
      <c r="D22" s="58" t="n"/>
      <c r="E22" s="58" t="n"/>
      <c r="F22" s="58" t="n"/>
      <c r="G22" s="58" t="n"/>
      <c r="H22" s="58" t="n"/>
      <c r="I22" s="58" t="n"/>
      <c r="J22" s="55">
        <f>IF(COUNT(C22:I22)=0,"",SUMPRODUCT(C22:I22,$C$10:$I$10))</f>
        <v/>
      </c>
      <c r="K22" s="56">
        <f>IF(J22="","",RANK(J22,$J$14:$J$32))</f>
        <v/>
      </c>
      <c r="L22" s="57" t="n"/>
      <c r="M22" s="57" t="n"/>
      <c r="O22" s="76">
        <f>IF(J22="","",RANK(J22,$J$14:$J$33,0)+COUNTIF($J$14:J22,J22)-1)</f>
        <v/>
      </c>
      <c r="P22" s="77" t="n">
        <v>9</v>
      </c>
      <c r="Q22" s="78">
        <f>IFERROR(INDEX($B$14:$B$33,MATCH(P22,$O$14:$O$33,0)),"")</f>
        <v/>
      </c>
      <c r="R22" s="74">
        <f>IFERROR(INDEX($J$14:$J$33,MATCH(P22,$O$14:$O$33,0)),"")</f>
        <v/>
      </c>
      <c r="S22" s="74" t="n"/>
    </row>
    <row r="23" ht="30" customHeight="1" s="36">
      <c r="A23" s="58" t="n"/>
      <c r="B23" s="58" t="n"/>
      <c r="C23" s="58" t="n"/>
      <c r="D23" s="58" t="n"/>
      <c r="E23" s="58" t="n"/>
      <c r="F23" s="58" t="n"/>
      <c r="G23" s="58" t="n"/>
      <c r="H23" s="58" t="n"/>
      <c r="I23" s="58" t="n"/>
      <c r="J23" s="55">
        <f>IF(COUNT(C23:I23)=0,"",SUMPRODUCT(C23:I23,$C$10:$I$10))</f>
        <v/>
      </c>
      <c r="K23" s="56">
        <f>IF(J23="","",RANK(J23,$J$14:$J$32))</f>
        <v/>
      </c>
      <c r="L23" s="57" t="n"/>
      <c r="M23" s="57" t="n"/>
      <c r="O23" s="76">
        <f>IF(J23="","",RANK(J23,$J$14:$J$33,0)+COUNTIF($J$14:J23,J23)-1)</f>
        <v/>
      </c>
      <c r="P23" s="77" t="n">
        <v>10</v>
      </c>
      <c r="Q23" s="78">
        <f>IFERROR(INDEX($B$14:$B$33,MATCH(P23,$O$14:$O$33,0)),"")</f>
        <v/>
      </c>
      <c r="R23" s="74">
        <f>IFERROR(INDEX($J$14:$J$33,MATCH(P23,$O$14:$O$33,0)),"")</f>
        <v/>
      </c>
      <c r="S23" s="74" t="n"/>
    </row>
    <row r="24" ht="30" customHeight="1" s="36">
      <c r="A24" s="58" t="n"/>
      <c r="B24" s="58" t="n"/>
      <c r="C24" s="58" t="n"/>
      <c r="D24" s="58" t="n"/>
      <c r="E24" s="58" t="n"/>
      <c r="F24" s="58" t="n"/>
      <c r="G24" s="58" t="n"/>
      <c r="H24" s="58" t="n"/>
      <c r="I24" s="58" t="n"/>
      <c r="J24" s="55">
        <f>IF(COUNT(C24:I24)=0,"",SUMPRODUCT(C24:I24,$C$10:$I$10))</f>
        <v/>
      </c>
      <c r="K24" s="56">
        <f>IF(J24="","",RANK(J24,$J$14:$J$32))</f>
        <v/>
      </c>
      <c r="L24" s="57" t="n"/>
      <c r="M24" s="57" t="n"/>
      <c r="O24" s="76">
        <f>IF(J24="","",RANK(J24,$J$14:$J$33,0)+COUNTIF($J$14:J24,J24)-1)</f>
        <v/>
      </c>
      <c r="P24" s="77" t="n">
        <v>11</v>
      </c>
      <c r="Q24" s="78">
        <f>IFERROR(INDEX($B$14:$B$33,MATCH(P24,$O$14:$O$33,0)),"")</f>
        <v/>
      </c>
      <c r="R24" s="74">
        <f>IFERROR(INDEX($J$14:$J$33,MATCH(P24,$O$14:$O$33,0)),"")</f>
        <v/>
      </c>
      <c r="S24" s="74" t="n"/>
    </row>
    <row r="25" ht="30" customHeight="1" s="36">
      <c r="A25" s="58" t="n"/>
      <c r="B25" s="58" t="n"/>
      <c r="C25" s="58" t="n"/>
      <c r="D25" s="58" t="n"/>
      <c r="E25" s="58" t="n"/>
      <c r="F25" s="58" t="n"/>
      <c r="G25" s="58" t="n"/>
      <c r="H25" s="58" t="n"/>
      <c r="I25" s="58" t="n"/>
      <c r="J25" s="55">
        <f>IF(COUNT(C25:I25)=0,"",SUMPRODUCT(C25:I25,$C$10:$I$10))</f>
        <v/>
      </c>
      <c r="K25" s="56">
        <f>IF(J25="","",RANK(J25,$J$14:$J$32))</f>
        <v/>
      </c>
      <c r="L25" s="57" t="n"/>
      <c r="M25" s="57" t="n"/>
      <c r="O25" s="76">
        <f>IF(J25="","",RANK(J25,$J$14:$J$33,0)+COUNTIF($J$14:J25,J25)-1)</f>
        <v/>
      </c>
      <c r="P25" s="77" t="n">
        <v>12</v>
      </c>
      <c r="Q25" s="78">
        <f>IFERROR(INDEX($B$14:$B$33,MATCH(P25,$O$14:$O$33,0)),"")</f>
        <v/>
      </c>
      <c r="R25" s="74">
        <f>IFERROR(INDEX($J$14:$J$33,MATCH(P25,$O$14:$O$33,0)),"")</f>
        <v/>
      </c>
      <c r="S25" s="74" t="n"/>
    </row>
    <row r="26" ht="30" customHeight="1" s="36">
      <c r="A26" s="58" t="n"/>
      <c r="B26" s="58" t="n"/>
      <c r="C26" s="58" t="n"/>
      <c r="D26" s="58" t="n"/>
      <c r="E26" s="58" t="n"/>
      <c r="F26" s="58" t="n"/>
      <c r="G26" s="58" t="n"/>
      <c r="H26" s="58" t="n"/>
      <c r="I26" s="58" t="n"/>
      <c r="J26" s="55">
        <f>IF(COUNT(C26:I26)=0,"",SUMPRODUCT(C26:I26,$C$10:$I$10))</f>
        <v/>
      </c>
      <c r="K26" s="56">
        <f>IF(J26="","",RANK(J26,$J$14:$J$32))</f>
        <v/>
      </c>
      <c r="L26" s="57" t="n"/>
      <c r="M26" s="57" t="n"/>
      <c r="O26" s="76">
        <f>IF(J26="","",RANK(J26,$J$14:$J$33,0)+COUNTIF($J$14:J26,J26)-1)</f>
        <v/>
      </c>
      <c r="P26" s="77" t="n">
        <v>13</v>
      </c>
      <c r="Q26" s="78">
        <f>IFERROR(INDEX($B$14:$B$33,MATCH(P26,$O$14:$O$33,0)),"")</f>
        <v/>
      </c>
      <c r="R26" s="74">
        <f>IFERROR(INDEX($J$14:$J$33,MATCH(P26,$O$14:$O$33,0)),"")</f>
        <v/>
      </c>
      <c r="S26" s="74" t="n"/>
    </row>
    <row r="27" ht="30" customHeight="1" s="36">
      <c r="A27" s="58" t="n"/>
      <c r="B27" s="58" t="n"/>
      <c r="C27" s="58" t="n"/>
      <c r="D27" s="58" t="n"/>
      <c r="E27" s="58" t="n"/>
      <c r="F27" s="58" t="n"/>
      <c r="G27" s="58" t="n"/>
      <c r="H27" s="58" t="n"/>
      <c r="I27" s="58" t="n"/>
      <c r="J27" s="55">
        <f>IF(COUNT(C27:I27)=0,"",SUMPRODUCT(C27:I27,$C$10:$I$10))</f>
        <v/>
      </c>
      <c r="K27" s="56">
        <f>IF(J27="","",RANK(J27,$J$14:$J$32))</f>
        <v/>
      </c>
      <c r="L27" s="57" t="n"/>
      <c r="M27" s="57" t="n"/>
      <c r="O27" s="76">
        <f>IF(J27="","",RANK(J27,$J$14:$J$33,0)+COUNTIF($J$14:J27,J27)-1)</f>
        <v/>
      </c>
      <c r="P27" s="77" t="n">
        <v>14</v>
      </c>
      <c r="Q27" s="78">
        <f>IFERROR(INDEX($B$14:$B$33,MATCH(P27,$O$14:$O$33,0)),"")</f>
        <v/>
      </c>
      <c r="R27" s="74">
        <f>IFERROR(INDEX($J$14:$J$33,MATCH(P27,$O$14:$O$33,0)),"")</f>
        <v/>
      </c>
      <c r="S27" s="74" t="n"/>
    </row>
    <row r="28" ht="30" customHeight="1" s="36">
      <c r="A28" s="58" t="n"/>
      <c r="B28" s="58" t="n"/>
      <c r="C28" s="58" t="n"/>
      <c r="D28" s="58" t="n"/>
      <c r="E28" s="58" t="n"/>
      <c r="F28" s="58" t="n"/>
      <c r="G28" s="58" t="n"/>
      <c r="H28" s="58" t="n"/>
      <c r="I28" s="58" t="n"/>
      <c r="J28" s="55">
        <f>IF(COUNT(C28:I28)=0,"",SUMPRODUCT(C28:I28,$C$10:$I$10))</f>
        <v/>
      </c>
      <c r="K28" s="56">
        <f>IF(J28="","",RANK(J28,$J$14:$J$32))</f>
        <v/>
      </c>
      <c r="L28" s="57" t="n"/>
      <c r="M28" s="57" t="n"/>
      <c r="O28" s="76">
        <f>IF(J28="","",RANK(J28,$J$14:$J$33,0)+COUNTIF($J$14:J28,J28)-1)</f>
        <v/>
      </c>
      <c r="P28" s="77" t="n">
        <v>15</v>
      </c>
      <c r="Q28" s="78">
        <f>IFERROR(INDEX($B$14:$B$33,MATCH(P28,$O$14:$O$33,0)),"")</f>
        <v/>
      </c>
      <c r="R28" s="74">
        <f>IFERROR(INDEX($J$14:$J$33,MATCH(P28,$O$14:$O$33,0)),"")</f>
        <v/>
      </c>
      <c r="S28" s="74" t="n"/>
    </row>
    <row r="29" ht="30" customHeight="1" s="36">
      <c r="A29" s="58" t="n"/>
      <c r="B29" s="58" t="n"/>
      <c r="C29" s="58" t="n"/>
      <c r="D29" s="58" t="n"/>
      <c r="E29" s="58" t="n"/>
      <c r="F29" s="58" t="n"/>
      <c r="G29" s="58" t="n"/>
      <c r="H29" s="58" t="n"/>
      <c r="I29" s="58" t="n"/>
      <c r="J29" s="55">
        <f>IF(COUNT(C29:I29)=0,"",SUMPRODUCT(C29:I29,$C$10:$I$10))</f>
        <v/>
      </c>
      <c r="K29" s="56">
        <f>IF(J29="","",RANK(J29,$J$14:$J$32))</f>
        <v/>
      </c>
      <c r="L29" s="57" t="n"/>
      <c r="M29" s="57" t="n"/>
      <c r="O29" s="76">
        <f>IF(J29="","",RANK(J29,$J$14:$J$33,0)+COUNTIF($J$14:J29,J29)-1)</f>
        <v/>
      </c>
      <c r="P29" s="77" t="n">
        <v>16</v>
      </c>
      <c r="Q29" s="78">
        <f>IFERROR(INDEX($B$14:$B$33,MATCH(P29,$O$14:$O$33,0)),"")</f>
        <v/>
      </c>
      <c r="R29" s="74">
        <f>IFERROR(INDEX($J$14:$J$33,MATCH(P29,$O$14:$O$33,0)),"")</f>
        <v/>
      </c>
      <c r="S29" s="74" t="n"/>
    </row>
    <row r="30" ht="30" customHeight="1" s="36">
      <c r="A30" s="58" t="n"/>
      <c r="B30" s="58" t="n"/>
      <c r="C30" s="58" t="n"/>
      <c r="D30" s="58" t="n"/>
      <c r="E30" s="58" t="n"/>
      <c r="F30" s="58" t="n"/>
      <c r="G30" s="58" t="n"/>
      <c r="H30" s="58" t="n"/>
      <c r="I30" s="58" t="n"/>
      <c r="J30" s="55">
        <f>IF(COUNT(C30:I30)=0,"",SUMPRODUCT(C30:I30,$C$10:$I$10))</f>
        <v/>
      </c>
      <c r="K30" s="56">
        <f>IF(J30="","",RANK(J30,$J$14:$J$32))</f>
        <v/>
      </c>
      <c r="L30" s="57" t="n"/>
      <c r="M30" s="57" t="n"/>
      <c r="O30" s="76">
        <f>IF(J30="","",RANK(J30,$J$14:$J$33,0)+COUNTIF($J$14:J30,J30)-1)</f>
        <v/>
      </c>
      <c r="P30" s="77" t="n">
        <v>17</v>
      </c>
      <c r="Q30" s="78">
        <f>IFERROR(INDEX($B$14:$B$33,MATCH(P30,$O$14:$O$33,0)),"")</f>
        <v/>
      </c>
      <c r="R30" s="74">
        <f>IFERROR(INDEX($J$14:$J$33,MATCH(P30,$O$14:$O$33,0)),"")</f>
        <v/>
      </c>
      <c r="S30" s="74" t="n"/>
    </row>
    <row r="31" ht="30" customHeight="1" s="36">
      <c r="A31" s="58" t="n"/>
      <c r="B31" s="58" t="n"/>
      <c r="C31" s="58" t="n"/>
      <c r="D31" s="58" t="n"/>
      <c r="E31" s="58" t="n"/>
      <c r="F31" s="58" t="n"/>
      <c r="G31" s="58" t="n"/>
      <c r="H31" s="58" t="n"/>
      <c r="I31" s="58" t="n"/>
      <c r="J31" s="55">
        <f>IF(COUNT(C31:I31)=0,"",SUMPRODUCT(C31:I31,$C$10:$I$10))</f>
        <v/>
      </c>
      <c r="K31" s="56">
        <f>IF(J31="","",RANK(J31,$J$14:$J$32))</f>
        <v/>
      </c>
      <c r="L31" s="57" t="n"/>
      <c r="M31" s="57" t="n"/>
      <c r="O31" s="76">
        <f>IF(J31="","",RANK(J31,$J$14:$J$33,0)+COUNTIF($J$14:J31,J31)-1)</f>
        <v/>
      </c>
      <c r="P31" s="77" t="n">
        <v>18</v>
      </c>
      <c r="Q31" s="78">
        <f>IFERROR(INDEX($B$14:$B$33,MATCH(P31,$O$14:$O$33,0)),"")</f>
        <v/>
      </c>
      <c r="R31" s="74">
        <f>IFERROR(INDEX($J$14:$J$33,MATCH(P31,$O$14:$O$33,0)),"")</f>
        <v/>
      </c>
      <c r="S31" s="74" t="n"/>
    </row>
    <row r="32" ht="30" customHeight="1" s="36">
      <c r="A32" s="58" t="n"/>
      <c r="B32" s="58" t="n"/>
      <c r="C32" s="58" t="n"/>
      <c r="D32" s="58" t="n"/>
      <c r="E32" s="58" t="n"/>
      <c r="F32" s="58" t="n"/>
      <c r="G32" s="58" t="n"/>
      <c r="H32" s="58" t="n"/>
      <c r="I32" s="58" t="n"/>
      <c r="J32" s="55">
        <f>IF(COUNT(C32:I32)=0,"",SUMPRODUCT(C32:I32,$C$10:$I$10))</f>
        <v/>
      </c>
      <c r="K32" s="56">
        <f>IF(J32="","",RANK(J32,$J$14:$J$32))</f>
        <v/>
      </c>
      <c r="L32" s="57" t="n"/>
      <c r="M32" s="57" t="n"/>
      <c r="O32" s="76">
        <f>IF(J32="","",RANK(J32,$J$14:$J$33,0)+COUNTIF($J$14:J32,J32)-1)</f>
        <v/>
      </c>
      <c r="P32" s="77" t="n">
        <v>19</v>
      </c>
      <c r="Q32" s="78">
        <f>IFERROR(INDEX($B$14:$B$33,MATCH(P32,$O$14:$O$33,0)),"")</f>
        <v/>
      </c>
      <c r="R32" s="74">
        <f>IFERROR(INDEX($J$14:$J$33,MATCH(P32,$O$14:$O$33,0)),"")</f>
        <v/>
      </c>
      <c r="S32" s="74" t="n"/>
    </row>
    <row r="33" ht="77" customHeight="1" s="36">
      <c r="O33" s="76">
        <f>IF(J33="","",RANK(J33,$J$14:$J$33,0)+COUNTIF($J$14:J33,J33)-1)</f>
        <v/>
      </c>
      <c r="P33" s="77" t="n">
        <v>20</v>
      </c>
      <c r="Q33" s="78">
        <f>IFERROR(INDEX($B$14:$B$33,MATCH(P33,$O$14:$O$33,0)),"")</f>
        <v/>
      </c>
      <c r="R33" s="74">
        <f>IFERROR(INDEX($J$14:$J$33,MATCH(P33,$O$14:$O$33,0)),"")</f>
        <v/>
      </c>
      <c r="S33" s="74" t="n"/>
      <c r="U33" s="93" t="inlineStr">
        <is>
          <t>HOW TO READ IT.  Scores land back on the 1-5 scale because the weights sum to 1. A shortlist, not a decision: check the countermeasure level of the top few before you commit, because a high-scoring solution that only guides behaviour will decay while a lower-scoring one that designs the failure out will not.
SO:  Take the shortlist to the countermeasure hierarchy before choosing. Prefer a slightly lower-scoring solution that designs the failure out over a higher-scoring one that asks people to remember — the second decays within two quarters.</t>
        </is>
      </c>
    </row>
    <row r="34" ht="19.5" customHeight="1" s="36">
      <c r="A34" s="44" t="inlineStr">
        <is>
          <t>DURABILITY CHECK</t>
        </is>
      </c>
    </row>
    <row r="35" ht="15" customHeight="1" s="36">
      <c r="A35" s="49" t="inlineStr">
        <is>
          <t>Options scored</t>
        </is>
      </c>
      <c r="E35" s="59">
        <f>COUNTA(B14:B32)</f>
        <v/>
      </c>
    </row>
    <row r="36" ht="15" customHeight="1" s="36">
      <c r="A36" s="49" t="inlineStr">
        <is>
          <t>Selected</t>
        </is>
      </c>
      <c r="E36" s="59">
        <f>COUNTIF(M14:M32,"Yes")</f>
        <v/>
      </c>
    </row>
    <row r="37" ht="15" customHeight="1" s="36">
      <c r="A37" s="49" t="inlineStr">
        <is>
          <t>Selected at hierarchy level 1–3 (durable)</t>
        </is>
      </c>
      <c r="E37" s="59">
        <f>SUMPRODUCT((M14:M32="Yes")*((LEFT(L14:L32&amp;" ",1)="1")+(LEFT(L14:L32&amp;" ",1)="2")+(LEFT(L14:L32&amp;" ",1)="3")))</f>
        <v/>
      </c>
    </row>
    <row r="38" ht="15" customHeight="1" s="36">
      <c r="A38" s="49" t="inlineStr">
        <is>
          <t>Selected at level 5–6 only (will decay)</t>
        </is>
      </c>
      <c r="E38" s="59">
        <f>SUMPRODUCT((M14:M32="Yes")*((LEFT(L14:L32&amp;" ",1)="5")+(LEFT(L14:L32&amp;" ",1)="6")))</f>
        <v/>
      </c>
    </row>
    <row r="39"/>
    <row r="40" ht="39" customHeight="1" s="36">
      <c r="A40" s="60" t="inlineStr">
        <is>
          <t>GATE RULE: you need at least one solution at hierarchy level 1–3 for every root cause. A solution set made only of levels 5 and 6 — standardise, train and remind — has a half-life of six to ten weeks, because attrition and new hires wash it away.</t>
        </is>
      </c>
    </row>
  </sheetData>
  <mergeCells count="15">
    <mergeCell ref="A37:D37"/>
    <mergeCell ref="B7:F7"/>
    <mergeCell ref="A1:M1"/>
    <mergeCell ref="B6:F6"/>
    <mergeCell ref="A35:D35"/>
    <mergeCell ref="A34:M34"/>
    <mergeCell ref="B5:F5"/>
    <mergeCell ref="A9:M9"/>
    <mergeCell ref="A12:M12"/>
    <mergeCell ref="A38:D38"/>
    <mergeCell ref="A40:M40"/>
    <mergeCell ref="U33:AC33"/>
    <mergeCell ref="A4:F4"/>
    <mergeCell ref="A2:M2"/>
    <mergeCell ref="A36:D36"/>
  </mergeCells>
  <dataValidations count="3">
    <dataValidation sqref="C14:I32" showDropDown="0" showInputMessage="0" showErrorMessage="0" allowBlank="1" type="list" errorStyle="stop" operator="between">
      <formula1>"1,2,3,4,5"</formula1>
      <formula2>0</formula2>
    </dataValidation>
    <dataValidation sqref="L14:L32" showDropDown="0" showInputMessage="0" showErrorMessage="0" allowBlank="1" type="list" errorStyle="stop" operator="between">
      <formula1>"1 Eliminate demand,2 Design it out,3 Guide it,4 Detect it,5 Standardise it,6 Train and remind"</formula1>
      <formula2>0</formula2>
    </dataValidation>
    <dataValidation sqref="M14:M32"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8" customWidth="1" style="35" min="1" max="1"/>
    <col width="26" customWidth="1" style="35" min="2" max="2"/>
    <col width="68" customWidth="1" style="35" min="3" max="3"/>
    <col width="26" customWidth="1" style="35" min="4" max="4"/>
  </cols>
  <sheetData>
    <row r="1" ht="25.5" customHeight="1" s="36">
      <c r="A1" s="42" t="inlineStr">
        <is>
          <t>The countermeasure hierarchy</t>
        </is>
      </c>
    </row>
    <row r="2" ht="27.75" customHeight="1" s="36">
      <c r="A2" s="43" t="inlineStr">
        <is>
          <t>Best to worst. Rate every solution you select.</t>
        </is>
      </c>
    </row>
    <row r="3"/>
    <row r="4" ht="31.5" customHeight="1" s="36">
      <c r="A4" s="53" t="inlineStr">
        <is>
          <t>Level</t>
        </is>
      </c>
      <c r="B4" s="53" t="inlineStr">
        <is>
          <t>Type</t>
        </is>
      </c>
      <c r="C4" s="53" t="inlineStr">
        <is>
          <t>What it means</t>
        </is>
      </c>
      <c r="D4" s="53" t="inlineStr">
        <is>
          <t>How long it lasts</t>
        </is>
      </c>
    </row>
    <row r="5" ht="25.5" customHeight="1" s="36">
      <c r="A5" s="85" t="n">
        <v>1</v>
      </c>
      <c r="B5" s="86" t="inlineStr">
        <is>
          <t>Eliminate the demand</t>
        </is>
      </c>
      <c r="C5" s="86" t="inlineStr">
        <is>
          <t>Fix the upstream cause so the contact never happens at all.</t>
        </is>
      </c>
      <c r="D5" s="86" t="inlineStr">
        <is>
          <t>Permanent</t>
        </is>
      </c>
    </row>
    <row r="6" ht="25.5" customHeight="1" s="36">
      <c r="A6" s="85" t="n">
        <v>2</v>
      </c>
      <c r="B6" s="86" t="inlineStr">
        <is>
          <t>Design it out</t>
        </is>
      </c>
      <c r="C6" s="86" t="inlineStr">
        <is>
          <t>Change the system so the error is impossible.</t>
        </is>
      </c>
      <c r="D6" s="86" t="inlineStr">
        <is>
          <t>Permanent</t>
        </is>
      </c>
    </row>
    <row r="7" ht="25.5" customHeight="1" s="36">
      <c r="A7" s="85" t="n">
        <v>3</v>
      </c>
      <c r="B7" s="86" t="inlineStr">
        <is>
          <t>Guide it</t>
        </is>
      </c>
      <c r="C7" s="86" t="inlineStr">
        <is>
          <t>The workflow forces the right path; doing it wrong needs a deliberate override.</t>
        </is>
      </c>
      <c r="D7" s="86" t="inlineStr">
        <is>
          <t>Very durable</t>
        </is>
      </c>
    </row>
    <row r="8" ht="25.5" customHeight="1" s="36">
      <c r="A8" s="85" t="n">
        <v>4</v>
      </c>
      <c r="B8" s="87" t="inlineStr">
        <is>
          <t>Detect it</t>
        </is>
      </c>
      <c r="C8" s="87" t="inlineStr">
        <is>
          <t>The system flags the error the moment it happens.</t>
        </is>
      </c>
      <c r="D8" s="87" t="inlineStr">
        <is>
          <t>Moderate</t>
        </is>
      </c>
    </row>
    <row r="9" ht="25.5" customHeight="1" s="36">
      <c r="A9" s="85" t="n">
        <v>5</v>
      </c>
      <c r="B9" s="88" t="inlineStr">
        <is>
          <t>Standardise it</t>
        </is>
      </c>
      <c r="C9" s="88" t="inlineStr">
        <is>
          <t>Documented standard work with a visible reference.</t>
        </is>
      </c>
      <c r="D9" s="88" t="inlineStr">
        <is>
          <t>Weak</t>
        </is>
      </c>
    </row>
    <row r="10" ht="25.5" customHeight="1" s="36">
      <c r="A10" s="85" t="n">
        <v>6</v>
      </c>
      <c r="B10" s="88" t="inlineStr">
        <is>
          <t>Train and remind</t>
        </is>
      </c>
      <c r="C10" s="88" t="inlineStr">
        <is>
          <t>Coaching, comms, reminders, posters.</t>
        </is>
      </c>
      <c r="D10" s="88" t="inlineStr">
        <is>
          <t>Six to ten weeks</t>
        </is>
      </c>
    </row>
  </sheetData>
  <mergeCells count="2">
    <mergeCell ref="A1:D1"/>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b750c563eb67</vt:lpwstr>
  </property>
</Properties>
</file>