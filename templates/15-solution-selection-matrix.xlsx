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ranked, best first</a:t>
            </a:r>
          </a:p>
        </rich>
      </tx>
    </title>
    <plotArea>
      <barChart>
        <barDir val="bar"/>
        <grouping val="clustered"/>
        <ser>
          <idx val="0"/>
          <order val="0"/>
          <tx>
            <v>Weighted score</v>
          </tx>
          <spPr>
            <a:solidFill>
              <a:srgbClr val="1F4E79"/>
            </a:solidFill>
            <a:ln>
              <a:prstDash val="solid"/>
            </a:ln>
          </spPr>
          <invertIfNegative val="0"/>
          <cat>
            <numRef>
              <f>'Solution selection'!$Q$14:$Q$33</f>
            </numRef>
          </cat>
          <val>
            <numRef>
              <f>'Solution selection'!$R$14:$R$33</f>
            </numRef>
          </val>
        </ser>
        <gapWidth val="60"/>
        <axId val="10"/>
        <axId val="100"/>
      </barChart>
      <lineChart>
        <grouping val="standard"/>
        <ser>
          <idx val="1"/>
          <order val="1"/>
          <tx>
            <v>Mean score</v>
          </tx>
          <spPr>
            <a:ln w="18000">
              <a:solidFill>
                <a:srgbClr val="C0392B"/>
              </a:solidFill>
              <a:prstDash val="dash"/>
            </a:ln>
          </spPr>
          <marker>
            <symbol val="none"/>
            <spPr>
              <a:ln>
                <a:prstDash val="solid"/>
              </a:ln>
            </spPr>
          </marker>
          <val>
            <numRef>
              <f>'Solution selection'!$S$14:$S$33</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inlineStr">
        <is>
          <t>Mean</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f>IF(R14="","",AVERAGE($R$14:$R$33))</f>
        <v/>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f>IF(R15="","",AVERAGE($R$14:$R$33))</f>
        <v/>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f>IF(R16="","",AVERAGE($R$14:$R$33))</f>
        <v/>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f>IF(R17="","",AVERAGE($R$14:$R$33))</f>
        <v/>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f>IF(R18="","",AVERAGE($R$14:$R$33))</f>
        <v/>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f>IF(R19="","",AVERAGE($R$14:$R$33))</f>
        <v/>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f>IF(R20="","",AVERAGE($R$14:$R$33))</f>
        <v/>
      </c>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f>IF(R21="","",AVERAGE($R$14:$R$33))</f>
        <v/>
      </c>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f>IF(R22="","",AVERAGE($R$14:$R$33))</f>
        <v/>
      </c>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f>IF(R23="","",AVERAGE($R$14:$R$33))</f>
        <v/>
      </c>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f>IF(R24="","",AVERAGE($R$14:$R$33))</f>
        <v/>
      </c>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f>IF(R25="","",AVERAGE($R$14:$R$33))</f>
        <v/>
      </c>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f>IF(R26="","",AVERAGE($R$14:$R$33))</f>
        <v/>
      </c>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f>IF(R27="","",AVERAGE($R$14:$R$33))</f>
        <v/>
      </c>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f>IF(R28="","",AVERAGE($R$14:$R$33))</f>
        <v/>
      </c>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f>IF(R29="","",AVERAGE($R$14:$R$33))</f>
        <v/>
      </c>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f>IF(R30="","",AVERAGE($R$14:$R$33))</f>
        <v/>
      </c>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f>IF(R31="","",AVERAGE($R$14:$R$33))</f>
        <v/>
      </c>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f>IF(R32="","",AVERAGE($R$14:$R$33))</f>
        <v/>
      </c>
    </row>
    <row r="33">
      <c r="O33" s="76">
        <f>IF(J33="","",RANK(J33,$J$14:$J$33,0)+COUNTIF($J$14:J33,J33)-1)</f>
        <v/>
      </c>
      <c r="P33" s="77" t="n">
        <v>20</v>
      </c>
      <c r="Q33" s="78">
        <f>IFERROR(INDEX($B$14:$B$33,MATCH(P33,$O$14:$O$33,0)),"")</f>
        <v/>
      </c>
      <c r="R33" s="74">
        <f>IFERROR(INDEX($J$14:$J$33,MATCH(P33,$O$14:$O$33,0)),"")</f>
        <v/>
      </c>
      <c r="S33" s="74">
        <f>IF(R33="","",AVERAGE($R$14:$R$33))</f>
        <v/>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2026-08-01T00:09:57Z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3b2d0637f88e</vt:lpwstr>
  </property>
</Properties>
</file>