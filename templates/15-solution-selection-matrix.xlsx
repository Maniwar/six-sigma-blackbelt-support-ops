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
      <name val="Arial"/>
      <b val="1"/>
      <color rgb="FF1D6F42"/>
      <sz val="10"/>
    </font>
    <font>
      <name val="Arial"/>
      <b val="1"/>
      <color rgb="FFB45309"/>
      <sz val="10"/>
    </font>
    <font>
      <name val="Arial"/>
      <b val="1"/>
      <color rgb="FFB91C1C"/>
      <sz val="10"/>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xf numFmtId="0" fontId="14" fillId="9" borderId="1" applyAlignment="1" pivotButton="0" quotePrefix="0" xfId="0">
      <alignment horizontal="general" vertical="center" wrapText="1"/>
    </xf>
    <xf numFmtId="0" fontId="12" fillId="9" borderId="1" applyAlignment="1" pivotButton="0" quotePrefix="0" xfId="0">
      <alignment horizontal="general" vertical="center" wrapText="1"/>
    </xf>
    <xf numFmtId="0" fontId="5" fillId="9" borderId="1" applyAlignment="1" pivotButton="0" quotePrefix="0" xfId="0">
      <alignment horizontal="general" vertical="center" wrapText="1"/>
    </xf>
    <xf numFmtId="0" fontId="14" fillId="11" borderId="1" applyAlignment="1" pivotButton="0" quotePrefix="0" xfId="0">
      <alignment horizontal="general" vertical="center" wrapText="1"/>
    </xf>
    <xf numFmtId="0" fontId="12" fillId="11" borderId="1" applyAlignment="1" pivotButton="0" quotePrefix="0" xfId="0">
      <alignment horizontal="general" vertical="center" wrapText="1"/>
    </xf>
    <xf numFmtId="0" fontId="5" fillId="11" borderId="1" applyAlignment="1" pivotButton="0" quotePrefix="0" xfId="0">
      <alignment horizontal="general" vertical="center" wrapText="1"/>
    </xf>
    <xf numFmtId="0" fontId="14" fillId="0" borderId="1" applyAlignment="1" pivotButton="0" quotePrefix="0" xfId="0">
      <alignment horizontal="general" vertical="center" wrapText="1"/>
    </xf>
    <xf numFmtId="0" fontId="21" fillId="0" borderId="1" applyAlignment="1" pivotButton="0" quotePrefix="0" xfId="0">
      <alignment horizontal="general" vertical="center" wrapText="1"/>
    </xf>
    <xf numFmtId="0" fontId="22" fillId="0" borderId="1" applyAlignment="1" pivotButton="0" quotePrefix="0" xfId="0">
      <alignment horizontal="general" vertical="center" wrapText="1"/>
    </xf>
    <xf numFmtId="0" fontId="23" fillId="0" borderId="1"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S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3"/>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8"/>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1"/>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c r="O33" s="76">
        <f>IF(J33="","",RANK(J33,$J$14:$J$33,0)+COUNTIF($J$14:J33,J33)-1)</f>
        <v/>
      </c>
      <c r="P33" s="77" t="n">
        <v>20</v>
      </c>
      <c r="Q33" s="78">
        <f>IFERROR(INDEX($B$14:$B$33,MATCH(P33,$O$14:$O$33,0)),"")</f>
        <v/>
      </c>
      <c r="R33" s="74">
        <f>IFERROR(INDEX($J$14:$J$33,MATCH(P33,$O$14:$O$33,0)),"")</f>
        <v/>
      </c>
      <c r="S33" s="74"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39"/>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3"/>
    <row r="4" ht="31.5" customHeight="1" s="36">
      <c r="A4" s="53" t="inlineStr">
        <is>
          <t>Level</t>
        </is>
      </c>
      <c r="B4" s="53" t="inlineStr">
        <is>
          <t>Type</t>
        </is>
      </c>
      <c r="C4" s="53" t="inlineStr">
        <is>
          <t>What it means</t>
        </is>
      </c>
      <c r="D4" s="53" t="inlineStr">
        <is>
          <t>How long it lasts</t>
        </is>
      </c>
    </row>
    <row r="5" ht="25.5" customHeight="1" s="36">
      <c r="A5" s="85" t="n">
        <v>1</v>
      </c>
      <c r="B5" s="86" t="inlineStr">
        <is>
          <t>Eliminate the demand</t>
        </is>
      </c>
      <c r="C5" s="86" t="inlineStr">
        <is>
          <t>Fix the upstream cause so the contact never happens at all.</t>
        </is>
      </c>
      <c r="D5" s="86" t="inlineStr">
        <is>
          <t>Permanent</t>
        </is>
      </c>
    </row>
    <row r="6" ht="25.5" customHeight="1" s="36">
      <c r="A6" s="85" t="n">
        <v>2</v>
      </c>
      <c r="B6" s="86" t="inlineStr">
        <is>
          <t>Design it out</t>
        </is>
      </c>
      <c r="C6" s="86" t="inlineStr">
        <is>
          <t>Change the system so the error is impossible.</t>
        </is>
      </c>
      <c r="D6" s="86" t="inlineStr">
        <is>
          <t>Permanent</t>
        </is>
      </c>
    </row>
    <row r="7" ht="25.5" customHeight="1" s="36">
      <c r="A7" s="85" t="n">
        <v>3</v>
      </c>
      <c r="B7" s="86" t="inlineStr">
        <is>
          <t>Guide it</t>
        </is>
      </c>
      <c r="C7" s="86" t="inlineStr">
        <is>
          <t>The workflow forces the right path; doing it wrong needs a deliberate override.</t>
        </is>
      </c>
      <c r="D7" s="86" t="inlineStr">
        <is>
          <t>Very durable</t>
        </is>
      </c>
    </row>
    <row r="8" ht="25.5" customHeight="1" s="36">
      <c r="A8" s="85" t="n">
        <v>4</v>
      </c>
      <c r="B8" s="87" t="inlineStr">
        <is>
          <t>Detect it</t>
        </is>
      </c>
      <c r="C8" s="87" t="inlineStr">
        <is>
          <t>The system flags the error the moment it happens.</t>
        </is>
      </c>
      <c r="D8" s="87" t="inlineStr">
        <is>
          <t>Moderate</t>
        </is>
      </c>
    </row>
    <row r="9" ht="25.5" customHeight="1" s="36">
      <c r="A9" s="85" t="n">
        <v>5</v>
      </c>
      <c r="B9" s="88" t="inlineStr">
        <is>
          <t>Standardise it</t>
        </is>
      </c>
      <c r="C9" s="88" t="inlineStr">
        <is>
          <t>Documented standard work with a visible reference.</t>
        </is>
      </c>
      <c r="D9" s="88" t="inlineStr">
        <is>
          <t>Weak</t>
        </is>
      </c>
    </row>
    <row r="10" ht="25.5" customHeight="1" s="36">
      <c r="A10" s="85" t="n">
        <v>6</v>
      </c>
      <c r="B10" s="88" t="inlineStr">
        <is>
          <t>Train and remind</t>
        </is>
      </c>
      <c r="C10" s="88" t="inlineStr">
        <is>
          <t>Coaching, comms, reminders, posters.</t>
        </is>
      </c>
      <c r="D10" s="8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