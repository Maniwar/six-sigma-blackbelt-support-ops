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20" fillId="0" borderId="0" pivotButton="0" quotePrefix="0" xfId="0"/>
    <xf numFmtId="1" fontId="20" fillId="10" borderId="0" pivotButton="0" quotePrefix="0" xfId="0"/>
    <xf numFmtId="1" fontId="0" fillId="0" borderId="0" pivotButton="0" quotePrefix="0" xfId="0"/>
    <xf numFmtId="0" fontId="0" fillId="10" borderId="0" pivotButton="0" quotePrefix="0" xfId="0"/>
    <xf numFmtId="0" fontId="14" fillId="9" borderId="1" applyAlignment="1" pivotButton="0" quotePrefix="0" xfId="0">
      <alignment horizontal="general" vertical="center" wrapText="1"/>
    </xf>
    <xf numFmtId="0" fontId="12" fillId="9" borderId="1" applyAlignment="1" pivotButton="0" quotePrefix="0" xfId="0">
      <alignment horizontal="general" vertical="center" wrapText="1"/>
    </xf>
    <xf numFmtId="0" fontId="5" fillId="9" borderId="1" applyAlignment="1" pivotButton="0" quotePrefix="0" xfId="0">
      <alignment horizontal="general"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the top three are the shortlist</a:t>
            </a:r>
          </a:p>
        </rich>
      </tx>
    </title>
    <plotArea>
      <barChart>
        <barDir val="bar"/>
        <grouping val="clustered"/>
        <ser>
          <idx val="0"/>
          <order val="0"/>
          <tx>
            <v>Weighted score</v>
          </tx>
          <spPr>
            <a:ln>
              <a:prstDash val="solid"/>
            </a:ln>
          </spPr>
          <invertIfNegative val="0"/>
          <dPt>
            <idx val="0"/>
            <spPr>
              <a:solidFill>
                <a:srgbClr val="B45309"/>
              </a:solidFill>
              <a:ln>
                <a:prstDash val="solid"/>
              </a:ln>
            </spPr>
          </dPt>
          <dPt>
            <idx val="1"/>
            <spPr>
              <a:solidFill>
                <a:srgbClr val="B45309"/>
              </a:solidFill>
              <a:ln>
                <a:prstDash val="solid"/>
              </a:ln>
            </spPr>
          </dPt>
          <dPt>
            <idx val="2"/>
            <spPr>
              <a:solidFill>
                <a:srgbClr val="B4530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1F4E79"/>
              </a:solidFill>
              <a:ln>
                <a:prstDash val="solid"/>
              </a:ln>
            </spPr>
          </dPt>
          <dPt>
            <idx val="6"/>
            <spPr>
              <a:solidFill>
                <a:srgbClr val="1F4E79"/>
              </a:solidFill>
              <a:ln>
                <a:prstDash val="solid"/>
              </a:ln>
            </spPr>
          </dPt>
          <dPt>
            <idx val="7"/>
            <spPr>
              <a:solidFill>
                <a:srgbClr val="1F4E79"/>
              </a:solidFill>
              <a:ln>
                <a:prstDash val="solid"/>
              </a:ln>
            </spPr>
          </dPt>
          <dPt>
            <idx val="8"/>
            <spPr>
              <a:solidFill>
                <a:srgbClr val="1F4E79"/>
              </a:solidFill>
              <a:ln>
                <a:prstDash val="solid"/>
              </a:ln>
            </spPr>
          </dPt>
          <dPt>
            <idx val="9"/>
            <spPr>
              <a:solidFill>
                <a:srgbClr val="1F4E79"/>
              </a:solidFill>
              <a:ln>
                <a:prstDash val="solid"/>
              </a:ln>
            </spPr>
          </dPt>
          <cat>
            <numRef>
              <f>'Solution selection'!$Q$14:$Q$23</f>
            </numRef>
          </cat>
          <val>
            <numRef>
              <f>'Solution selection'!$R$14:$R$23</f>
            </numRef>
          </val>
        </ser>
        <gapWidth val="60"/>
        <axId val="10"/>
        <axId val="100"/>
      </barChart>
      <catAx>
        <axId val="10"/>
        <scaling>
          <orientation val="maxMin"/>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S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3"/>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Row 1 example</t>
        </is>
      </c>
      <c r="B7" s="46" t="inlineStr">
        <is>
          <t>A realistic worked example, so you can see the expected format. Delete or overwrite it.</t>
        </is>
      </c>
    </row>
    <row r="8"/>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1"/>
    <row r="12" ht="19.5" customHeight="1" s="36">
      <c r="A12" s="44" t="inlineStr">
        <is>
          <t>SCORE EACH OPTION 1–5 ON EVERY CRITERION.  Generate at least three options per root cause before you score.</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c r="O13" s="75" t="inlineStr">
        <is>
          <t>rank</t>
        </is>
      </c>
      <c r="P13" s="73" t="inlineStr">
        <is>
          <t>#</t>
        </is>
      </c>
      <c r="Q13" s="73" t="inlineStr">
        <is>
          <t>Solution</t>
        </is>
      </c>
      <c r="R13" s="73" t="inlineStr">
        <is>
          <t>Weighted score</t>
        </is>
      </c>
      <c r="S13" s="73" t="n"/>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c r="O14" s="76">
        <f>IF(J14="","",RANK(J14,$J$14:$J$33,0)+COUNTIF($J$14:J14,J14)-1)</f>
        <v/>
      </c>
      <c r="P14" s="77" t="n">
        <v>1</v>
      </c>
      <c r="Q14" s="78">
        <f>IFERROR(INDEX($B$14:$B$33,MATCH(P14,$O$14:$O$33,0)),"")</f>
        <v/>
      </c>
      <c r="R14" s="74">
        <f>IFERROR(INDEX($J$14:$J$33,MATCH(P14,$O$14:$O$33,0)),"")</f>
        <v/>
      </c>
      <c r="S14" s="74" t="n"/>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c r="O15" s="76">
        <f>IF(J15="","",RANK(J15,$J$14:$J$33,0)+COUNTIF($J$14:J15,J15)-1)</f>
        <v/>
      </c>
      <c r="P15" s="77" t="n">
        <v>2</v>
      </c>
      <c r="Q15" s="78">
        <f>IFERROR(INDEX($B$14:$B$33,MATCH(P15,$O$14:$O$33,0)),"")</f>
        <v/>
      </c>
      <c r="R15" s="74">
        <f>IFERROR(INDEX($J$14:$J$33,MATCH(P15,$O$14:$O$33,0)),"")</f>
        <v/>
      </c>
      <c r="S15" s="74" t="n"/>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c r="O16" s="76">
        <f>IF(J16="","",RANK(J16,$J$14:$J$33,0)+COUNTIF($J$14:J16,J16)-1)</f>
        <v/>
      </c>
      <c r="P16" s="77" t="n">
        <v>3</v>
      </c>
      <c r="Q16" s="78">
        <f>IFERROR(INDEX($B$14:$B$33,MATCH(P16,$O$14:$O$33,0)),"")</f>
        <v/>
      </c>
      <c r="R16" s="74">
        <f>IFERROR(INDEX($J$14:$J$33,MATCH(P16,$O$14:$O$33,0)),"")</f>
        <v/>
      </c>
      <c r="S16" s="74" t="n"/>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c r="O17" s="76">
        <f>IF(J17="","",RANK(J17,$J$14:$J$33,0)+COUNTIF($J$14:J17,J17)-1)</f>
        <v/>
      </c>
      <c r="P17" s="77" t="n">
        <v>4</v>
      </c>
      <c r="Q17" s="78">
        <f>IFERROR(INDEX($B$14:$B$33,MATCH(P17,$O$14:$O$33,0)),"")</f>
        <v/>
      </c>
      <c r="R17" s="74">
        <f>IFERROR(INDEX($J$14:$J$33,MATCH(P17,$O$14:$O$33,0)),"")</f>
        <v/>
      </c>
      <c r="S17" s="74" t="n"/>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c r="O18" s="76">
        <f>IF(J18="","",RANK(J18,$J$14:$J$33,0)+COUNTIF($J$14:J18,J18)-1)</f>
        <v/>
      </c>
      <c r="P18" s="77" t="n">
        <v>5</v>
      </c>
      <c r="Q18" s="78">
        <f>IFERROR(INDEX($B$14:$B$33,MATCH(P18,$O$14:$O$33,0)),"")</f>
        <v/>
      </c>
      <c r="R18" s="74">
        <f>IFERROR(INDEX($J$14:$J$33,MATCH(P18,$O$14:$O$33,0)),"")</f>
        <v/>
      </c>
      <c r="S18" s="74" t="n"/>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c r="O19" s="76">
        <f>IF(J19="","",RANK(J19,$J$14:$J$33,0)+COUNTIF($J$14:J19,J19)-1)</f>
        <v/>
      </c>
      <c r="P19" s="77" t="n">
        <v>6</v>
      </c>
      <c r="Q19" s="78">
        <f>IFERROR(INDEX($B$14:$B$33,MATCH(P19,$O$14:$O$33,0)),"")</f>
        <v/>
      </c>
      <c r="R19" s="74">
        <f>IFERROR(INDEX($J$14:$J$33,MATCH(P19,$O$14:$O$33,0)),"")</f>
        <v/>
      </c>
      <c r="S19" s="74" t="n"/>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c r="O20" s="76">
        <f>IF(J20="","",RANK(J20,$J$14:$J$33,0)+COUNTIF($J$14:J20,J20)-1)</f>
        <v/>
      </c>
      <c r="P20" s="77" t="n">
        <v>7</v>
      </c>
      <c r="Q20" s="78">
        <f>IFERROR(INDEX($B$14:$B$33,MATCH(P20,$O$14:$O$33,0)),"")</f>
        <v/>
      </c>
      <c r="R20" s="74">
        <f>IFERROR(INDEX($J$14:$J$33,MATCH(P20,$O$14:$O$33,0)),"")</f>
        <v/>
      </c>
      <c r="S20" s="74"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c r="O21" s="76">
        <f>IF(J21="","",RANK(J21,$J$14:$J$33,0)+COUNTIF($J$14:J21,J21)-1)</f>
        <v/>
      </c>
      <c r="P21" s="77" t="n">
        <v>8</v>
      </c>
      <c r="Q21" s="78">
        <f>IFERROR(INDEX($B$14:$B$33,MATCH(P21,$O$14:$O$33,0)),"")</f>
        <v/>
      </c>
      <c r="R21" s="74">
        <f>IFERROR(INDEX($J$14:$J$33,MATCH(P21,$O$14:$O$33,0)),"")</f>
        <v/>
      </c>
      <c r="S21" s="74"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c r="O22" s="76">
        <f>IF(J22="","",RANK(J22,$J$14:$J$33,0)+COUNTIF($J$14:J22,J22)-1)</f>
        <v/>
      </c>
      <c r="P22" s="77" t="n">
        <v>9</v>
      </c>
      <c r="Q22" s="78">
        <f>IFERROR(INDEX($B$14:$B$33,MATCH(P22,$O$14:$O$33,0)),"")</f>
        <v/>
      </c>
      <c r="R22" s="74">
        <f>IFERROR(INDEX($J$14:$J$33,MATCH(P22,$O$14:$O$33,0)),"")</f>
        <v/>
      </c>
      <c r="S22" s="74"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c r="O23" s="76">
        <f>IF(J23="","",RANK(J23,$J$14:$J$33,0)+COUNTIF($J$14:J23,J23)-1)</f>
        <v/>
      </c>
      <c r="P23" s="77" t="n">
        <v>10</v>
      </c>
      <c r="Q23" s="78">
        <f>IFERROR(INDEX($B$14:$B$33,MATCH(P23,$O$14:$O$33,0)),"")</f>
        <v/>
      </c>
      <c r="R23" s="74">
        <f>IFERROR(INDEX($J$14:$J$33,MATCH(P23,$O$14:$O$33,0)),"")</f>
        <v/>
      </c>
      <c r="S23" s="74"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c r="O24" s="76">
        <f>IF(J24="","",RANK(J24,$J$14:$J$33,0)+COUNTIF($J$14:J24,J24)-1)</f>
        <v/>
      </c>
      <c r="P24" s="77" t="n">
        <v>11</v>
      </c>
      <c r="Q24" s="78">
        <f>IFERROR(INDEX($B$14:$B$33,MATCH(P24,$O$14:$O$33,0)),"")</f>
        <v/>
      </c>
      <c r="R24" s="74">
        <f>IFERROR(INDEX($J$14:$J$33,MATCH(P24,$O$14:$O$33,0)),"")</f>
        <v/>
      </c>
      <c r="S24" s="74"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c r="O25" s="76">
        <f>IF(J25="","",RANK(J25,$J$14:$J$33,0)+COUNTIF($J$14:J25,J25)-1)</f>
        <v/>
      </c>
      <c r="P25" s="77" t="n">
        <v>12</v>
      </c>
      <c r="Q25" s="78">
        <f>IFERROR(INDEX($B$14:$B$33,MATCH(P25,$O$14:$O$33,0)),"")</f>
        <v/>
      </c>
      <c r="R25" s="74">
        <f>IFERROR(INDEX($J$14:$J$33,MATCH(P25,$O$14:$O$33,0)),"")</f>
        <v/>
      </c>
      <c r="S25" s="74"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c r="O26" s="76">
        <f>IF(J26="","",RANK(J26,$J$14:$J$33,0)+COUNTIF($J$14:J26,J26)-1)</f>
        <v/>
      </c>
      <c r="P26" s="77" t="n">
        <v>13</v>
      </c>
      <c r="Q26" s="78">
        <f>IFERROR(INDEX($B$14:$B$33,MATCH(P26,$O$14:$O$33,0)),"")</f>
        <v/>
      </c>
      <c r="R26" s="74">
        <f>IFERROR(INDEX($J$14:$J$33,MATCH(P26,$O$14:$O$33,0)),"")</f>
        <v/>
      </c>
      <c r="S26" s="74"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c r="O27" s="76">
        <f>IF(J27="","",RANK(J27,$J$14:$J$33,0)+COUNTIF($J$14:J27,J27)-1)</f>
        <v/>
      </c>
      <c r="P27" s="77" t="n">
        <v>14</v>
      </c>
      <c r="Q27" s="78">
        <f>IFERROR(INDEX($B$14:$B$33,MATCH(P27,$O$14:$O$33,0)),"")</f>
        <v/>
      </c>
      <c r="R27" s="74">
        <f>IFERROR(INDEX($J$14:$J$33,MATCH(P27,$O$14:$O$33,0)),"")</f>
        <v/>
      </c>
      <c r="S27" s="74"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c r="O28" s="76">
        <f>IF(J28="","",RANK(J28,$J$14:$J$33,0)+COUNTIF($J$14:J28,J28)-1)</f>
        <v/>
      </c>
      <c r="P28" s="77" t="n">
        <v>15</v>
      </c>
      <c r="Q28" s="78">
        <f>IFERROR(INDEX($B$14:$B$33,MATCH(P28,$O$14:$O$33,0)),"")</f>
        <v/>
      </c>
      <c r="R28" s="74">
        <f>IFERROR(INDEX($J$14:$J$33,MATCH(P28,$O$14:$O$33,0)),"")</f>
        <v/>
      </c>
      <c r="S28" s="74"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c r="O29" s="76">
        <f>IF(J29="","",RANK(J29,$J$14:$J$33,0)+COUNTIF($J$14:J29,J29)-1)</f>
        <v/>
      </c>
      <c r="P29" s="77" t="n">
        <v>16</v>
      </c>
      <c r="Q29" s="78">
        <f>IFERROR(INDEX($B$14:$B$33,MATCH(P29,$O$14:$O$33,0)),"")</f>
        <v/>
      </c>
      <c r="R29" s="74">
        <f>IFERROR(INDEX($J$14:$J$33,MATCH(P29,$O$14:$O$33,0)),"")</f>
        <v/>
      </c>
      <c r="S29" s="74"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c r="O30" s="76">
        <f>IF(J30="","",RANK(J30,$J$14:$J$33,0)+COUNTIF($J$14:J30,J30)-1)</f>
        <v/>
      </c>
      <c r="P30" s="77" t="n">
        <v>17</v>
      </c>
      <c r="Q30" s="78">
        <f>IFERROR(INDEX($B$14:$B$33,MATCH(P30,$O$14:$O$33,0)),"")</f>
        <v/>
      </c>
      <c r="R30" s="74">
        <f>IFERROR(INDEX($J$14:$J$33,MATCH(P30,$O$14:$O$33,0)),"")</f>
        <v/>
      </c>
      <c r="S30" s="74"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c r="O31" s="76">
        <f>IF(J31="","",RANK(J31,$J$14:$J$33,0)+COUNTIF($J$14:J31,J31)-1)</f>
        <v/>
      </c>
      <c r="P31" s="77" t="n">
        <v>18</v>
      </c>
      <c r="Q31" s="78">
        <f>IFERROR(INDEX($B$14:$B$33,MATCH(P31,$O$14:$O$33,0)),"")</f>
        <v/>
      </c>
      <c r="R31" s="74">
        <f>IFERROR(INDEX($J$14:$J$33,MATCH(P31,$O$14:$O$33,0)),"")</f>
        <v/>
      </c>
      <c r="S31" s="74"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c r="O32" s="76">
        <f>IF(J32="","",RANK(J32,$J$14:$J$33,0)+COUNTIF($J$14:J32,J32)-1)</f>
        <v/>
      </c>
      <c r="P32" s="77" t="n">
        <v>19</v>
      </c>
      <c r="Q32" s="78">
        <f>IFERROR(INDEX($B$14:$B$33,MATCH(P32,$O$14:$O$33,0)),"")</f>
        <v/>
      </c>
      <c r="R32" s="74">
        <f>IFERROR(INDEX($J$14:$J$33,MATCH(P32,$O$14:$O$33,0)),"")</f>
        <v/>
      </c>
      <c r="S32" s="74" t="n"/>
    </row>
    <row r="33">
      <c r="O33" s="76">
        <f>IF(J33="","",RANK(J33,$J$14:$J$33,0)+COUNTIF($J$14:J33,J33)-1)</f>
        <v/>
      </c>
      <c r="P33" s="77" t="n">
        <v>20</v>
      </c>
      <c r="Q33" s="78">
        <f>IFERROR(INDEX($B$14:$B$33,MATCH(P33,$O$14:$O$33,0)),"")</f>
        <v/>
      </c>
      <c r="R33" s="74">
        <f>IFERROR(INDEX($J$14:$J$33,MATCH(P33,$O$14:$O$33,0)),"")</f>
        <v/>
      </c>
      <c r="S33" s="74" t="n"/>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39"/>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4">
    <mergeCell ref="A37:D37"/>
    <mergeCell ref="B7:F7"/>
    <mergeCell ref="A1:M1"/>
    <mergeCell ref="B6:F6"/>
    <mergeCell ref="A35:D35"/>
    <mergeCell ref="A34:M34"/>
    <mergeCell ref="B5:F5"/>
    <mergeCell ref="A9:M9"/>
    <mergeCell ref="A12:M12"/>
    <mergeCell ref="A38:D38"/>
    <mergeCell ref="A40:M40"/>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3"/>
    <row r="4" ht="31.5" customHeight="1" s="36">
      <c r="A4" s="53" t="inlineStr">
        <is>
          <t>Level</t>
        </is>
      </c>
      <c r="B4" s="53" t="inlineStr">
        <is>
          <t>Type</t>
        </is>
      </c>
      <c r="C4" s="53" t="inlineStr">
        <is>
          <t>What it means</t>
        </is>
      </c>
      <c r="D4" s="53" t="inlineStr">
        <is>
          <t>How long it lasts</t>
        </is>
      </c>
    </row>
    <row r="5" ht="25.5" customHeight="1" s="36">
      <c r="A5" s="61" t="n">
        <v>1</v>
      </c>
      <c r="B5" s="62" t="inlineStr">
        <is>
          <t>Eliminate the demand</t>
        </is>
      </c>
      <c r="C5" s="63" t="inlineStr">
        <is>
          <t>Fix the upstream cause so the contact never happens at all.</t>
        </is>
      </c>
      <c r="D5" s="62" t="inlineStr">
        <is>
          <t>Permanent</t>
        </is>
      </c>
    </row>
    <row r="6" ht="25.5" customHeight="1" s="36">
      <c r="A6" s="61" t="n">
        <v>2</v>
      </c>
      <c r="B6" s="62" t="inlineStr">
        <is>
          <t>Design it out</t>
        </is>
      </c>
      <c r="C6" s="63" t="inlineStr">
        <is>
          <t>Change the system so the error is impossible.</t>
        </is>
      </c>
      <c r="D6" s="62" t="inlineStr">
        <is>
          <t>Permanent</t>
        </is>
      </c>
    </row>
    <row r="7" ht="25.5" customHeight="1" s="36">
      <c r="A7" s="61" t="n">
        <v>3</v>
      </c>
      <c r="B7" s="62" t="inlineStr">
        <is>
          <t>Guide it</t>
        </is>
      </c>
      <c r="C7" s="63" t="inlineStr">
        <is>
          <t>The workflow forces the right path; doing it wrong needs a deliberate override.</t>
        </is>
      </c>
      <c r="D7" s="62" t="inlineStr">
        <is>
          <t>Very durable</t>
        </is>
      </c>
    </row>
    <row r="8" ht="25.5" customHeight="1" s="36">
      <c r="A8" s="79" t="n">
        <v>4</v>
      </c>
      <c r="B8" s="80" t="inlineStr">
        <is>
          <t>Detect it</t>
        </is>
      </c>
      <c r="C8" s="81" t="inlineStr">
        <is>
          <t>The system flags the error the moment it happens.</t>
        </is>
      </c>
      <c r="D8" s="80" t="inlineStr">
        <is>
          <t>Moderate</t>
        </is>
      </c>
    </row>
    <row r="9" ht="25.5" customHeight="1" s="36">
      <c r="A9" s="67" t="n">
        <v>5</v>
      </c>
      <c r="B9" s="68" t="inlineStr">
        <is>
          <t>Standardise it</t>
        </is>
      </c>
      <c r="C9" s="69" t="inlineStr">
        <is>
          <t>Documented standard work with a visible reference.</t>
        </is>
      </c>
      <c r="D9" s="68" t="inlineStr">
        <is>
          <t>Weak</t>
        </is>
      </c>
    </row>
    <row r="10" ht="25.5" customHeight="1" s="36">
      <c r="A10" s="67" t="n">
        <v>6</v>
      </c>
      <c r="B10" s="68" t="inlineStr">
        <is>
          <t>Train and remind</t>
        </is>
      </c>
      <c r="C10" s="69" t="inlineStr">
        <is>
          <t>Coaching, comms, reminders, posters.</t>
        </is>
      </c>
      <c r="D10" s="6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2026-08-01T06:50:59Z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