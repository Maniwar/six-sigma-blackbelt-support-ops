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5">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
      <name val="Arial"/>
      <b val="1"/>
      <color rgb="FF1D6F42"/>
      <sz val="10"/>
    </font>
    <font>
      <name val="Arial"/>
      <b val="1"/>
      <color rgb="FFB45309"/>
      <sz val="10"/>
    </font>
    <font>
      <name val="Arial"/>
      <b val="1"/>
      <color rgb="FFB91C1C"/>
      <sz val="10"/>
    </font>
    <font>
      <i val="1"/>
      <color rgb="FF4B5563"/>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xf numFmtId="0" fontId="14" fillId="9" borderId="1" applyAlignment="1" pivotButton="0" quotePrefix="0" xfId="0">
      <alignment horizontal="general" vertical="center" wrapText="1"/>
    </xf>
    <xf numFmtId="0" fontId="12" fillId="9" borderId="1" applyAlignment="1" pivotButton="0" quotePrefix="0" xfId="0">
      <alignment horizontal="general" vertical="center" wrapText="1"/>
    </xf>
    <xf numFmtId="0" fontId="5" fillId="9" borderId="1" applyAlignment="1" pivotButton="0" quotePrefix="0" xfId="0">
      <alignment horizontal="general" vertical="center" wrapText="1"/>
    </xf>
    <xf numFmtId="0" fontId="14" fillId="11" borderId="1" applyAlignment="1" pivotButton="0" quotePrefix="0" xfId="0">
      <alignment horizontal="general" vertical="center" wrapText="1"/>
    </xf>
    <xf numFmtId="0" fontId="12" fillId="11" borderId="1" applyAlignment="1" pivotButton="0" quotePrefix="0" xfId="0">
      <alignment horizontal="general" vertical="center" wrapText="1"/>
    </xf>
    <xf numFmtId="0" fontId="5" fillId="11" borderId="1" applyAlignment="1" pivotButton="0" quotePrefix="0" xfId="0">
      <alignment horizontal="general" vertical="center" wrapText="1"/>
    </xf>
    <xf numFmtId="0" fontId="14" fillId="0" borderId="1" applyAlignment="1" pivotButton="0" quotePrefix="0" xfId="0">
      <alignment horizontal="general" vertical="center" wrapText="1"/>
    </xf>
    <xf numFmtId="0" fontId="21" fillId="0" borderId="1" applyAlignment="1" pivotButton="0" quotePrefix="0" xfId="0">
      <alignment horizontal="general" vertical="center" wrapText="1"/>
    </xf>
    <xf numFmtId="0" fontId="22" fillId="0" borderId="1" applyAlignment="1" pivotButton="0" quotePrefix="0" xfId="0">
      <alignment horizontal="general" vertical="center" wrapText="1"/>
    </xf>
    <xf numFmtId="0" fontId="23" fillId="0" borderId="1" applyAlignment="1" pivotButton="0" quotePrefix="0" xfId="0">
      <alignment horizontal="general" vertical="center" wrapText="1"/>
    </xf>
    <xf numFmtId="0" fontId="17" fillId="11" borderId="1" applyAlignment="1" pivotButton="0" quotePrefix="0" xfId="0">
      <alignment horizontal="general" vertical="top" wrapText="1"/>
    </xf>
    <xf numFmtId="0" fontId="18" fillId="11" borderId="1" applyAlignment="1" pivotButton="0" quotePrefix="0" xfId="0">
      <alignment horizontal="center" vertical="bottom"/>
    </xf>
    <xf numFmtId="0" fontId="18" fillId="11" borderId="1" applyAlignment="1" pivotButton="0" quotePrefix="0" xfId="0">
      <alignment horizontal="general" vertical="top" wrapText="1"/>
    </xf>
    <xf numFmtId="0" fontId="10" fillId="4" borderId="0" applyAlignment="1" pivotButton="0" quotePrefix="0" xfId="0">
      <alignment vertical="center" wrapText="1"/>
    </xf>
    <xf numFmtId="0" fontId="24"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22</col>
      <colOff>0</colOff>
      <row>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AC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 width="13" customWidth="1" style="36" min="21" max="21"/>
    <col width="13" customWidth="1" style="36" min="22" max="22"/>
    <col width="13" customWidth="1" style="36" min="23" max="23"/>
    <col width="13" customWidth="1" style="36" min="24" max="24"/>
    <col width="13" customWidth="1" style="36" min="25" max="25"/>
    <col width="13" customWidth="1" style="36" min="26" max="26"/>
    <col width="13" customWidth="1" style="36" min="27" max="27"/>
    <col width="13" customWidth="1" style="36" min="28" max="28"/>
    <col width="13" customWidth="1" style="36" min="29" max="29"/>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3"/>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Green cells</t>
        </is>
      </c>
      <c r="B7" s="46" t="inlineStr">
        <is>
          <t>A realistic worked example, so you can see the expected format and the sheet is not blank when you open it. Replace it with your own.</t>
        </is>
      </c>
    </row>
    <row r="8"/>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1"/>
    <row r="12" ht="168" customHeight="1" s="36">
      <c r="A12" s="92" t="inlineStr">
        <is>
          <t>SCORE EACH OPTION 1–5 ON EVERY CRITERION.  Generate at least three options per root cause before you score.  ·  Key:
• Low risk of side-effects = 1-5, and the label points the same way as every other column: 5 is GOOD, meaning few side-effects. A criterion phrased as a negative would invert the arithmetic against its neighbours, which is why it is written as 'low risk' rather than 'risk'
• Weighted score = each criterion's 1-5 score times the weight above it, added up, so it lands back on the 1-5 scale. The weights here run 0.25, 0.20, 0.15 and four at 0.10 (C10:I10) and must sum to 1, or the scores are not comparable. The deferred-close option scores 4.30 against 3.60 for the next one (J14, J15)
• Score = the 1-10 anchor band, written out so two people scoring the same failure mode land in the same place. Severity runs from 1-2 'the customer does not notice' to 9-10 'regulatory breach, safety issue, data exposure or mass impact'. Score against the anchor, not against how the last one felt
• Rank = position by weighted total, 1 being highest. Ties are not broken, so two rows can share a rank. Read it with the totals beside it: rank 1 at 270 and rank 2 at 261 (H15, H16) is a photo finish, and a rank alone hides that</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ht="77" customHeight="1" s="36">
      <c r="O33" s="76">
        <f>IF(J33="","",RANK(J33,$J$14:$J$33,0)+COUNTIF($J$14:J33,J33)-1)</f>
        <v/>
      </c>
      <c r="P33" s="77" t="n">
        <v>20</v>
      </c>
      <c r="Q33" s="78">
        <f>IFERROR(INDEX($B$14:$B$33,MATCH(P33,$O$14:$O$33,0)),"")</f>
        <v/>
      </c>
      <c r="R33" s="74">
        <f>IFERROR(INDEX($J$14:$J$33,MATCH(P33,$O$14:$O$33,0)),"")</f>
        <v/>
      </c>
      <c r="S33" s="74" t="n"/>
      <c r="U33" s="93" t="inlineStr">
        <is>
          <t>HOW TO READ IT.  Scores land back on the 1-5 scale because the weights sum to 1. A shortlist, not a decision: check the countermeasure level of the top few before you commit, because a high-scoring solution that only guides behaviour will decay while a lower-scoring one that designs the failure out will not.
SO:  Take the shortlist to the countermeasure hierarchy before choosing. Prefer a slightly lower-scoring solution that designs the failure out over a higher-scoring one that asks people to remember — the second decays within two quarters.</t>
        </is>
      </c>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39"/>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5">
    <mergeCell ref="A37:D37"/>
    <mergeCell ref="B7:F7"/>
    <mergeCell ref="A1:M1"/>
    <mergeCell ref="B6:F6"/>
    <mergeCell ref="A35:D35"/>
    <mergeCell ref="A34:M34"/>
    <mergeCell ref="B5:F5"/>
    <mergeCell ref="A9:M9"/>
    <mergeCell ref="A12:M12"/>
    <mergeCell ref="A38:D38"/>
    <mergeCell ref="A40:M40"/>
    <mergeCell ref="U33:AC33"/>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3"/>
    <row r="4" ht="31.5" customHeight="1" s="36">
      <c r="A4" s="53" t="inlineStr">
        <is>
          <t>Level</t>
        </is>
      </c>
      <c r="B4" s="53" t="inlineStr">
        <is>
          <t>Type</t>
        </is>
      </c>
      <c r="C4" s="53" t="inlineStr">
        <is>
          <t>What it means</t>
        </is>
      </c>
      <c r="D4" s="53" t="inlineStr">
        <is>
          <t>How long it lasts</t>
        </is>
      </c>
    </row>
    <row r="5" ht="25.5" customHeight="1" s="36">
      <c r="A5" s="85" t="n">
        <v>1</v>
      </c>
      <c r="B5" s="86" t="inlineStr">
        <is>
          <t>Eliminate the demand</t>
        </is>
      </c>
      <c r="C5" s="86" t="inlineStr">
        <is>
          <t>Fix the upstream cause so the contact never happens at all.</t>
        </is>
      </c>
      <c r="D5" s="86" t="inlineStr">
        <is>
          <t>Permanent</t>
        </is>
      </c>
    </row>
    <row r="6" ht="25.5" customHeight="1" s="36">
      <c r="A6" s="85" t="n">
        <v>2</v>
      </c>
      <c r="B6" s="86" t="inlineStr">
        <is>
          <t>Design it out</t>
        </is>
      </c>
      <c r="C6" s="86" t="inlineStr">
        <is>
          <t>Change the system so the error is impossible.</t>
        </is>
      </c>
      <c r="D6" s="86" t="inlineStr">
        <is>
          <t>Permanent</t>
        </is>
      </c>
    </row>
    <row r="7" ht="25.5" customHeight="1" s="36">
      <c r="A7" s="85" t="n">
        <v>3</v>
      </c>
      <c r="B7" s="86" t="inlineStr">
        <is>
          <t>Guide it</t>
        </is>
      </c>
      <c r="C7" s="86" t="inlineStr">
        <is>
          <t>The workflow forces the right path; doing it wrong needs a deliberate override.</t>
        </is>
      </c>
      <c r="D7" s="86" t="inlineStr">
        <is>
          <t>Very durable</t>
        </is>
      </c>
    </row>
    <row r="8" ht="25.5" customHeight="1" s="36">
      <c r="A8" s="85" t="n">
        <v>4</v>
      </c>
      <c r="B8" s="87" t="inlineStr">
        <is>
          <t>Detect it</t>
        </is>
      </c>
      <c r="C8" s="87" t="inlineStr">
        <is>
          <t>The system flags the error the moment it happens.</t>
        </is>
      </c>
      <c r="D8" s="87" t="inlineStr">
        <is>
          <t>Moderate</t>
        </is>
      </c>
    </row>
    <row r="9" ht="25.5" customHeight="1" s="36">
      <c r="A9" s="85" t="n">
        <v>5</v>
      </c>
      <c r="B9" s="88" t="inlineStr">
        <is>
          <t>Standardise it</t>
        </is>
      </c>
      <c r="C9" s="88" t="inlineStr">
        <is>
          <t>Documented standard work with a visible reference.</t>
        </is>
      </c>
      <c r="D9" s="88" t="inlineStr">
        <is>
          <t>Weak</t>
        </is>
      </c>
    </row>
    <row r="10" ht="25.5" customHeight="1" s="36">
      <c r="A10" s="85" t="n">
        <v>6</v>
      </c>
      <c r="B10" s="88" t="inlineStr">
        <is>
          <t>Train and remind</t>
        </is>
      </c>
      <c r="C10" s="88" t="inlineStr">
        <is>
          <t>Coaching, comms, reminders, posters.</t>
        </is>
      </c>
      <c r="D10" s="8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