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this" sheetId="1" state="visible" r:id="rId3"/>
    <sheet name="Solution selection" sheetId="2" state="visible" r:id="rId4"/>
    <sheet name="Countermeasure hierarchy"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<sst xmlns="http://schemas.openxmlformats.org/spreadsheetml/2006/main" count="67" uniqueCount="66">
  <si>
    <t xml:space="preserve">Solution Selection</t>
  </si>
  <si>
    <t xml:space="preserve">Most teams pick the solution someone was already advocating. This sheet makes the choice explicit, so you can defend it and so the durable option does not lose to the exciting one.</t>
  </si>
  <si>
    <t xml:space="preserve">What to do</t>
  </si>
  <si>
    <t xml:space="preserve">1.  Agree the criteria weights with your Champion BEFORE you score anything. They must add to 100%.</t>
  </si>
  <si>
    <t xml:space="preserve">2.  Generate at least three options for every root cause. If you have one option, you have not finished generating.</t>
  </si>
  <si>
    <t xml:space="preserve">3.  Score each option 1 to 5 on each criterion, using the dropdowns.</t>
  </si>
  <si>
    <t xml:space="preserve">4.  Rate each option on the countermeasure hierarchy — see the second tab.</t>
  </si>
  <si>
    <t xml:space="preserve">5.  The weighted score and rank calculate themselves.</t>
  </si>
  <si>
    <t xml:space="preserve">The gate rule: at least one solution at hierarchy level 1 to 3 per root cause. If everything you selected is training and reminders, your improvement will be gone in two months and you will not know why.</t>
  </si>
  <si>
    <t xml:space="preserve">Solution Selection  —  choose deliberately, not by enthusiasm</t>
  </si>
  <si>
    <t xml:space="preserve">Score every option against weighted criteria. The score, rank and durability warning calculate themselves.</t>
  </si>
  <si>
    <t xml:space="preserve">HOW TO USE THIS SHEET</t>
  </si>
  <si>
    <t xml:space="preserve">Yellow cells</t>
  </si>
  <si>
    <t xml:space="preserve">You fill these in. Blue text = a number you typed.</t>
  </si>
  <si>
    <t xml:space="preserve">Blue cells</t>
  </si>
  <si>
    <t xml:space="preserve">Calculated for you. Do not type over these — they contain formulas.</t>
  </si>
  <si>
    <t xml:space="preserve">Row 1 example</t>
  </si>
  <si>
    <t xml:space="preserve">A realistic worked example, so you can see the expected format. Delete or overwrite it.</t>
  </si>
  <si>
    <t xml:space="preserve">CRITERIA WEIGHTS  —  adjust these with your Champion before you score anything. They must sum to 100%.</t>
  </si>
  <si>
    <t xml:space="preserve">Weight →</t>
  </si>
  <si>
    <t xml:space="preserve">← must be 100%</t>
  </si>
  <si>
    <t xml:space="preserve">SCORE EACH OPTION 1–5 ON EVERY CRITERION.  Generate at least three options per root cause before you score.</t>
  </si>
  <si>
    <t xml:space="preserve">Root cause it addresses</t>
  </si>
  <si>
    <t xml:space="preserve">Solution option</t>
  </si>
  <si>
    <t xml:space="preserve">Impact on the metric</t>
  </si>
  <si>
    <t xml:space="preserve">Durability under attrition</t>
  </si>
  <si>
    <t xml:space="preserve">Speed to implement</t>
  </si>
  <si>
    <t xml:space="preserve">Low cost</t>
  </si>
  <si>
    <t xml:space="preserve">Low effort</t>
  </si>
  <si>
    <t xml:space="preserve">Low risk of side-effects</t>
  </si>
  <si>
    <t xml:space="preserve">Replication potential</t>
  </si>
  <si>
    <t xml:space="preserve">Weighted score</t>
  </si>
  <si>
    <t xml:space="preserve">Rank</t>
  </si>
  <si>
    <t xml:space="preserve">Hierarchy level (1–6)</t>
  </si>
  <si>
    <t xml:space="preserve">Selected?</t>
  </si>
  <si>
    <t xml:space="preserve">Ticket closed before adjustment posts</t>
  </si>
  <si>
    <t xml:space="preserve">Block Resolved until the posting webhook confirms</t>
  </si>
  <si>
    <t xml:space="preserve">DURABILITY CHECK</t>
  </si>
  <si>
    <t xml:space="preserve">Options scored</t>
  </si>
  <si>
    <t xml:space="preserve">Selected</t>
  </si>
  <si>
    <t xml:space="preserve">Selected at hierarchy level 1–3 (durable)</t>
  </si>
  <si>
    <t xml:space="preserve">Selected at level 5–6 only (will decay)</t>
  </si>
  <si>
    <t xml:space="preserve">GATE RULE: you need at least one solution at hierarchy level 1–3 for every root cause. A solution set made only of levels 5 and 6 — standardise, train and remind — has a half-life of six to ten weeks, because attrition and new hires wash it away.</t>
  </si>
  <si>
    <t xml:space="preserve">The countermeasure hierarchy</t>
  </si>
  <si>
    <t xml:space="preserve">Best to worst. Rate every solution you select.</t>
  </si>
  <si>
    <t xml:space="preserve">Level</t>
  </si>
  <si>
    <t xml:space="preserve">Type</t>
  </si>
  <si>
    <t xml:space="preserve">What it means</t>
  </si>
  <si>
    <t xml:space="preserve">How long it lasts</t>
  </si>
  <si>
    <t xml:space="preserve">Eliminate the demand</t>
  </si>
  <si>
    <t xml:space="preserve">Fix the upstream cause so the contact never happens at all.</t>
  </si>
  <si>
    <t xml:space="preserve">Permanent</t>
  </si>
  <si>
    <t xml:space="preserve">Design it out</t>
  </si>
  <si>
    <t xml:space="preserve">Change the system so the error is impossible.</t>
  </si>
  <si>
    <t xml:space="preserve">Guide it</t>
  </si>
  <si>
    <t xml:space="preserve">The workflow forces the right path; doing it wrong needs a deliberate override.</t>
  </si>
  <si>
    <t xml:space="preserve">Very durable</t>
  </si>
  <si>
    <t xml:space="preserve">Detect it</t>
  </si>
  <si>
    <t xml:space="preserve">The system flags the error the moment it happens.</t>
  </si>
  <si>
    <t xml:space="preserve">Moderate</t>
  </si>
  <si>
    <t xml:space="preserve">Standardise it</t>
  </si>
  <si>
    <t xml:space="preserve">Documented standard work with a visible reference.</t>
  </si>
  <si>
    <t xml:space="preserve">Weak</t>
  </si>
  <si>
    <t xml:space="preserve">Train and remind</t>
  </si>
  <si>
    <t xml:space="preserve">Coaching, comms, reminders, posters.</t>
  </si>
  <si>
    <t xml:space="preserve">Six to ten weeks</t>
  </si>
</sst>
</file>

<file path=xl/styles.xml><?xml version="1.0" encoding="utf-8"?>
<styleSheet xmlns="http://schemas.openxmlformats.org/spreadsheetml/2006/main">
  <numFmts count="4">
    <numFmt numFmtId="164" formatCode="General"/>
    <numFmt numFmtId="165" formatCode="0%"/>
    <numFmt numFmtId="166" formatCode="0.00"/>
    <numFmt numFmtId="167" formatCode="General"/>
  </numFmts>
  <fonts count="19">
    <font>
      <sz val="11"/>
      <color theme="1"/>
      <name val="Calibri"/>
      <family val="2"/>
      <charset val="1"/>
    </font>
    <font>
      <sz val="10"/>
      <name val="Arial"/>
      <family val="0"/>
    </font>
    <font>
      <sz val="10"/>
      <name val="Arial"/>
      <family val="0"/>
    </font>
    <font>
      <sz val="10"/>
      <name val="Arial"/>
      <family val="0"/>
    </font>
    <font>
      <b val="true"/>
      <sz val="18"/>
      <color rgb="FF1F2937"/>
      <name val="Arial"/>
      <family val="0"/>
      <charset val="1"/>
    </font>
    <font>
      <sz val="10"/>
      <color rgb="FF1F2937"/>
      <name val="Arial"/>
      <family val="0"/>
      <charset val="1"/>
    </font>
    <font>
      <b val="true"/>
      <sz val="12"/>
      <color rgb="FFB45309"/>
      <name val="Arial"/>
      <family val="0"/>
      <charset val="1"/>
    </font>
    <font>
      <b val="true"/>
      <sz val="10"/>
      <color rgb="FFB91C1C"/>
      <name val="Arial"/>
      <family val="0"/>
      <charset val="1"/>
    </font>
    <font>
      <b val="true"/>
      <sz val="14"/>
      <color rgb="FFFFFFFF"/>
      <name val="Arial"/>
      <family val="0"/>
      <charset val="1"/>
    </font>
    <font>
      <i val="true"/>
      <sz val="9"/>
      <color rgb="FF657085"/>
      <name val="Arial"/>
      <family val="0"/>
      <charset val="1"/>
    </font>
    <font>
      <b val="true"/>
      <sz val="9"/>
      <color rgb="FFB45309"/>
      <name val="Arial"/>
      <family val="0"/>
      <charset val="1"/>
    </font>
    <font>
      <sz val="9"/>
      <color rgb="FF1F2937"/>
      <name val="Arial"/>
      <family val="0"/>
      <charset val="1"/>
    </font>
    <font>
      <b val="true"/>
      <sz val="10"/>
      <color rgb="FF1F2937"/>
      <name val="Arial"/>
      <family val="0"/>
      <charset val="1"/>
    </font>
    <font>
      <b val="true"/>
      <sz val="11"/>
      <color rgb="FF0000FF"/>
      <name val="Arial"/>
      <family val="0"/>
      <charset val="1"/>
    </font>
    <font>
      <b val="true"/>
      <sz val="11"/>
      <color rgb="FF1F2937"/>
      <name val="Arial"/>
      <family val="0"/>
      <charset val="1"/>
    </font>
    <font>
      <i val="true"/>
      <sz val="9"/>
      <color rgb="FFB91C1C"/>
      <name val="Arial"/>
      <family val="0"/>
      <charset val="1"/>
    </font>
    <font>
      <b val="true"/>
      <sz val="9"/>
      <color rgb="FFFFFFFF"/>
      <name val="Arial"/>
      <family val="0"/>
      <charset val="1"/>
    </font>
    <font>
      <sz val="10"/>
      <color rgb="FF006100"/>
      <name val="Arial"/>
      <family val="0"/>
      <charset val="1"/>
    </font>
    <font>
      <sz val="10"/>
      <color rgb="FF0000FF"/>
      <name val="Arial"/>
      <family val="0"/>
      <charset val="1"/>
    </font>
  </fonts>
  <fills count="9">
    <fill>
      <patternFill patternType="none"/>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s>
  <borders count="2">
    <border diagonalUp="false" diagonalDown="false">
      <left/>
      <right/>
      <top/>
      <bottom/>
      <diagonal/>
    </border>
    <border diagonalUp="false" diagonalDown="false">
      <left style="thin">
        <color rgb="FFD8DEE8"/>
      </left>
      <right style="thin">
        <color rgb="FFD8DEE8"/>
      </right>
      <top style="thin">
        <color rgb="FFD8DEE8"/>
      </top>
      <bottom style="thin">
        <color rgb="FFD8DE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1" shrinkToFit="false"/>
      <protection locked="true" hidden="false"/>
    </xf>
    <xf numFmtId="164" fontId="7" fillId="2" borderId="1" xfId="0" applyFont="true" applyBorder="true" applyAlignment="true" applyProtection="false">
      <alignment horizontal="general" vertical="top" textRotation="0" wrapText="true" indent="1" shrinkToFit="false"/>
      <protection locked="true" hidden="false"/>
    </xf>
    <xf numFmtId="164" fontId="8" fillId="3" borderId="0" xfId="0" applyFont="true" applyBorder="true" applyAlignment="true" applyProtection="false">
      <alignment horizontal="general" vertical="center" textRotation="0" wrapText="false" indent="1" shrinkToFit="false"/>
      <protection locked="true" hidden="false"/>
    </xf>
    <xf numFmtId="164" fontId="9" fillId="0" borderId="0" xfId="0" applyFont="true" applyBorder="true" applyAlignment="true" applyProtection="false">
      <alignment horizontal="general" vertical="center" textRotation="0" wrapText="true" indent="1" shrinkToFit="false"/>
      <protection locked="true" hidden="false"/>
    </xf>
    <xf numFmtId="164" fontId="10" fillId="4" borderId="0" xfId="0" applyFont="true" applyBorder="true" applyAlignment="true" applyProtection="false">
      <alignment horizontal="general" vertical="center" textRotation="0" wrapText="false" indent="1" shrinkToFit="false"/>
      <protection locked="true" hidden="false"/>
    </xf>
    <xf numFmtId="164" fontId="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0" fillId="6" borderId="1" xfId="0" applyFont="true" applyBorder="true" applyAlignment="false" applyProtection="false">
      <alignment horizontal="general" vertical="bottom" textRotation="0" wrapText="false" indent="0" shrinkToFit="false"/>
      <protection locked="true" hidden="false"/>
    </xf>
    <xf numFmtId="164" fontId="0" fillId="7"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5" borderId="1" xfId="0" applyFont="true" applyBorder="true" applyAlignment="true" applyProtection="false">
      <alignment horizontal="center" vertical="bottom" textRotation="0" wrapText="false" indent="0" shrinkToFit="false"/>
      <protection locked="true" hidden="false"/>
    </xf>
    <xf numFmtId="165" fontId="14" fillId="6"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8" borderId="1" xfId="0" applyFont="true" applyBorder="true" applyAlignment="true" applyProtection="false">
      <alignment horizontal="general" vertical="bottom" textRotation="0" wrapText="true" indent="0" shrinkToFit="false"/>
      <protection locked="true" hidden="false"/>
    </xf>
    <xf numFmtId="164" fontId="17" fillId="7" borderId="1" xfId="0" applyFont="true" applyBorder="true" applyAlignment="true" applyProtection="false">
      <alignment horizontal="general" vertical="top" textRotation="0" wrapText="true" indent="0" shrinkToFit="false"/>
      <protection locked="true" hidden="false"/>
    </xf>
    <xf numFmtId="166" fontId="14" fillId="6" borderId="1" xfId="0" applyFont="true" applyBorder="true" applyAlignment="false" applyProtection="false">
      <alignment horizontal="general" vertical="bottom" textRotation="0" wrapText="false" indent="0" shrinkToFit="false"/>
      <protection locked="true" hidden="false"/>
    </xf>
    <xf numFmtId="167" fontId="14" fillId="6" borderId="1" xfId="0" applyFont="true" applyBorder="true" applyAlignment="true" applyProtection="false">
      <alignment horizontal="center" vertical="bottom" textRotation="0" wrapText="false" indent="0" shrinkToFit="false"/>
      <protection locked="true" hidden="false"/>
    </xf>
    <xf numFmtId="164" fontId="18" fillId="5" borderId="1" xfId="0" applyFont="true" applyBorder="true" applyAlignment="true" applyProtection="false">
      <alignment horizontal="center" vertical="bottom" textRotation="0" wrapText="false" indent="0" shrinkToFit="false"/>
      <protection locked="true" hidden="false"/>
    </xf>
    <xf numFmtId="164" fontId="18" fillId="5"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7" fontId="14" fillId="6"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1" shrinkToFit="false"/>
      <protection locked="true" hidden="false"/>
    </xf>
    <xf numFmtId="164" fontId="14" fillId="7" borderId="1" xfId="0" applyFont="true" applyBorder="true" applyAlignment="true" applyProtection="false">
      <alignment horizontal="general" vertical="center" textRotation="0" wrapText="true" indent="0" shrinkToFit="false"/>
      <protection locked="true" hidden="false"/>
    </xf>
    <xf numFmtId="164" fontId="12" fillId="7" borderId="1" xfId="0" applyFont="true" applyBorder="true" applyAlignment="true" applyProtection="false">
      <alignment horizontal="general" vertical="center" textRotation="0" wrapText="true" indent="0" shrinkToFit="false"/>
      <protection locked="true" hidden="false"/>
    </xf>
    <xf numFmtId="164" fontId="5" fillId="7" borderId="1" xfId="0" applyFont="true" applyBorder="tru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general" vertical="center" textRotation="0" wrapText="true" indent="0" shrinkToFit="false"/>
      <protection locked="true" hidden="false"/>
    </xf>
    <xf numFmtId="164" fontId="12" fillId="5" borderId="1" xfId="0" applyFont="true" applyBorder="true" applyAlignment="true" applyProtection="false">
      <alignment horizontal="general" vertical="center" textRotation="0" wrapText="true" indent="0" shrinkToFit="false"/>
      <protection locked="true" hidden="false"/>
    </xf>
    <xf numFmtId="164" fontId="5" fillId="5" borderId="1" xfId="0" applyFont="true" applyBorder="true" applyAlignment="true" applyProtection="false">
      <alignment horizontal="general" vertical="center" textRotation="0" wrapText="true" indent="0" shrinkToFit="false"/>
      <protection locked="true" hidden="false"/>
    </xf>
    <xf numFmtId="164" fontId="14" fillId="2" borderId="1" xfId="0" applyFont="true" applyBorder="true" applyAlignment="true" applyProtection="false">
      <alignment horizontal="general" vertical="center" textRotation="0" wrapText="true" indent="0" shrinkToFit="false"/>
      <protection locked="true" hidden="false"/>
    </xf>
    <xf numFmtId="164" fontId="12" fillId="2" borderId="1" xfId="0" applyFont="true" applyBorder="true" applyAlignment="true" applyProtection="false">
      <alignment horizontal="general" vertical="center" textRotation="0" wrapText="tru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8"/>
  </cols>
  <sheetData>
    <row r="2" customFormat="false" ht="30" hidden="false" customHeight="true" outlineLevel="0" collapsed="false">
      <c r="B2" s="1" t="s">
        <v>0</v>
      </c>
    </row>
    <row r="3" customFormat="false" ht="25.5" hidden="false" customHeight="true" outlineLevel="0" collapsed="false">
      <c r="B3" s="2" t="s">
        <v>1</v>
      </c>
    </row>
    <row r="5" customFormat="false" ht="24" hidden="false" customHeight="true" outlineLevel="0" collapsed="false">
      <c r="B5" s="3" t="s">
        <v>2</v>
      </c>
    </row>
    <row r="6" customFormat="false" ht="25.5" hidden="false" customHeight="true" outlineLevel="0" collapsed="false">
      <c r="B6" s="4" t="s">
        <v>3</v>
      </c>
    </row>
    <row r="7" customFormat="false" ht="25.5" hidden="false" customHeight="true" outlineLevel="0" collapsed="false">
      <c r="B7" s="4" t="s">
        <v>4</v>
      </c>
    </row>
    <row r="8" customFormat="false" ht="15" hidden="false" customHeight="true" outlineLevel="0" collapsed="false">
      <c r="B8" s="4" t="s">
        <v>5</v>
      </c>
    </row>
    <row r="9" customFormat="false" ht="15" hidden="false" customHeight="true" outlineLevel="0" collapsed="false">
      <c r="B9" s="4" t="s">
        <v>6</v>
      </c>
    </row>
    <row r="10" customFormat="false" ht="15" hidden="false" customHeight="true" outlineLevel="0" collapsed="false">
      <c r="B10" s="4" t="s">
        <v>7</v>
      </c>
    </row>
    <row r="12" customFormat="false" ht="39" hidden="false" customHeight="true" outlineLevel="0" collapsed="false">
      <c r="B12" s="5"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4"/>
    <col collapsed="false" customWidth="true" hidden="false" outlineLevel="0" max="9" min="3" style="0" width="15"/>
    <col collapsed="false" customWidth="true" hidden="false" outlineLevel="0" max="10" min="10" style="0" width="14"/>
    <col collapsed="false" customWidth="true" hidden="false" outlineLevel="0" max="11" min="11" style="0" width="7"/>
    <col collapsed="false" customWidth="true" hidden="false" outlineLevel="0" max="12" min="12" style="0" width="17"/>
    <col collapsed="false" customWidth="true" hidden="false" outlineLevel="0" max="13" min="13" style="0" width="11"/>
  </cols>
  <sheetData>
    <row r="1" customFormat="false" ht="25.5" hidden="false" customHeight="true" outlineLevel="0" collapsed="false">
      <c r="A1" s="6" t="s">
        <v>9</v>
      </c>
      <c r="B1" s="6"/>
      <c r="C1" s="6"/>
      <c r="D1" s="6"/>
      <c r="E1" s="6"/>
      <c r="F1" s="6"/>
      <c r="G1" s="6"/>
      <c r="H1" s="6"/>
      <c r="I1" s="6"/>
      <c r="J1" s="6"/>
      <c r="K1" s="6"/>
      <c r="L1" s="6"/>
      <c r="M1" s="6"/>
    </row>
    <row r="2" customFormat="false" ht="27.75" hidden="false" customHeight="true" outlineLevel="0" collapsed="false">
      <c r="A2" s="7" t="s">
        <v>10</v>
      </c>
      <c r="B2" s="7"/>
      <c r="C2" s="7"/>
      <c r="D2" s="7"/>
      <c r="E2" s="7"/>
      <c r="F2" s="7"/>
      <c r="G2" s="7"/>
      <c r="H2" s="7"/>
      <c r="I2" s="7"/>
      <c r="J2" s="7"/>
      <c r="K2" s="7"/>
      <c r="L2" s="7"/>
      <c r="M2" s="7"/>
    </row>
    <row r="4" customFormat="false" ht="19.5" hidden="false" customHeight="true" outlineLevel="0" collapsed="false">
      <c r="A4" s="8" t="s">
        <v>11</v>
      </c>
      <c r="B4" s="8"/>
      <c r="C4" s="8"/>
      <c r="D4" s="8"/>
      <c r="E4" s="8"/>
      <c r="F4" s="8"/>
    </row>
    <row r="5" customFormat="false" ht="15" hidden="false" customHeight="false" outlineLevel="0" collapsed="false">
      <c r="A5" s="9" t="s">
        <v>12</v>
      </c>
      <c r="B5" s="10" t="s">
        <v>13</v>
      </c>
      <c r="C5" s="10"/>
      <c r="D5" s="10"/>
      <c r="E5" s="10"/>
      <c r="F5" s="10"/>
    </row>
    <row r="6" customFormat="false" ht="15" hidden="false" customHeight="false" outlineLevel="0" collapsed="false">
      <c r="A6" s="11" t="s">
        <v>14</v>
      </c>
      <c r="B6" s="10" t="s">
        <v>15</v>
      </c>
      <c r="C6" s="10"/>
      <c r="D6" s="10"/>
      <c r="E6" s="10"/>
      <c r="F6" s="10"/>
    </row>
    <row r="7" customFormat="false" ht="15" hidden="false" customHeight="false" outlineLevel="0" collapsed="false">
      <c r="A7" s="12" t="s">
        <v>16</v>
      </c>
      <c r="B7" s="10" t="s">
        <v>17</v>
      </c>
      <c r="C7" s="10"/>
      <c r="D7" s="10"/>
      <c r="E7" s="10"/>
      <c r="F7" s="10"/>
    </row>
    <row r="9" customFormat="false" ht="19.5" hidden="false" customHeight="true" outlineLevel="0" collapsed="false">
      <c r="A9" s="8" t="s">
        <v>18</v>
      </c>
      <c r="B9" s="8"/>
      <c r="C9" s="8"/>
      <c r="D9" s="8"/>
      <c r="E9" s="8"/>
      <c r="F9" s="8"/>
      <c r="G9" s="8"/>
      <c r="H9" s="8"/>
      <c r="I9" s="8"/>
      <c r="J9" s="8"/>
      <c r="K9" s="8"/>
      <c r="L9" s="8"/>
      <c r="M9" s="8"/>
    </row>
    <row r="10" customFormat="false" ht="15" hidden="false" customHeight="false" outlineLevel="0" collapsed="false">
      <c r="B10" s="13" t="s">
        <v>19</v>
      </c>
      <c r="C10" s="14" t="n">
        <v>0.25</v>
      </c>
      <c r="D10" s="14" t="n">
        <v>0.2</v>
      </c>
      <c r="E10" s="14" t="n">
        <v>0.15</v>
      </c>
      <c r="F10" s="14" t="n">
        <v>0.1</v>
      </c>
      <c r="G10" s="14" t="n">
        <v>0.1</v>
      </c>
      <c r="H10" s="14" t="n">
        <v>0.1</v>
      </c>
      <c r="I10" s="14" t="n">
        <v>0.1</v>
      </c>
      <c r="J10" s="15" t="n">
        <f aca="false">SUM(C10:I10)</f>
        <v>1</v>
      </c>
      <c r="K10" s="16" t="s">
        <v>20</v>
      </c>
    </row>
    <row r="12" customFormat="false" ht="19.5" hidden="false" customHeight="true" outlineLevel="0" collapsed="false">
      <c r="A12" s="8" t="s">
        <v>21</v>
      </c>
      <c r="B12" s="8"/>
      <c r="C12" s="8"/>
      <c r="D12" s="8"/>
      <c r="E12" s="8"/>
      <c r="F12" s="8"/>
      <c r="G12" s="8"/>
      <c r="H12" s="8"/>
      <c r="I12" s="8"/>
      <c r="J12" s="8"/>
      <c r="K12" s="8"/>
      <c r="L12" s="8"/>
      <c r="M12" s="8"/>
    </row>
    <row r="13" customFormat="false" ht="31.5" hidden="false" customHeight="true" outlineLevel="0" collapsed="false">
      <c r="A13" s="17" t="s">
        <v>22</v>
      </c>
      <c r="B13" s="17" t="s">
        <v>23</v>
      </c>
      <c r="C13" s="17" t="s">
        <v>24</v>
      </c>
      <c r="D13" s="17" t="s">
        <v>25</v>
      </c>
      <c r="E13" s="17" t="s">
        <v>26</v>
      </c>
      <c r="F13" s="17" t="s">
        <v>27</v>
      </c>
      <c r="G13" s="17" t="s">
        <v>28</v>
      </c>
      <c r="H13" s="17" t="s">
        <v>29</v>
      </c>
      <c r="I13" s="17" t="s">
        <v>30</v>
      </c>
      <c r="J13" s="17" t="s">
        <v>31</v>
      </c>
      <c r="K13" s="17" t="s">
        <v>32</v>
      </c>
      <c r="L13" s="17" t="s">
        <v>33</v>
      </c>
      <c r="M13" s="17" t="s">
        <v>34</v>
      </c>
    </row>
    <row r="14" customFormat="false" ht="23.85" hidden="false" customHeight="false" outlineLevel="0" collapsed="false">
      <c r="A14" s="18" t="s">
        <v>35</v>
      </c>
      <c r="B14" s="18" t="s">
        <v>36</v>
      </c>
      <c r="C14" s="18" t="n">
        <v>5</v>
      </c>
      <c r="D14" s="18" t="n">
        <v>5</v>
      </c>
      <c r="E14" s="18" t="n">
        <v>3</v>
      </c>
      <c r="F14" s="18" t="n">
        <v>4</v>
      </c>
      <c r="G14" s="18" t="n">
        <v>3</v>
      </c>
      <c r="H14" s="18" t="n">
        <v>4</v>
      </c>
      <c r="I14" s="18" t="n">
        <v>5</v>
      </c>
      <c r="J14" s="19" t="n">
        <f aca="false">IF(COUNT(C14:I14)=0,"",SUMPRODUCT(C14:I14,$C$10:$I$10))</f>
        <v>4.3</v>
      </c>
      <c r="K14" s="20" t="n">
        <f aca="false">IF(J14="","",RANK(J14,$J$14:$J$32))</f>
        <v>1</v>
      </c>
      <c r="L14" s="21" t="n">
        <v>2</v>
      </c>
      <c r="M14" s="21"/>
    </row>
    <row r="15" customFormat="false" ht="30" hidden="false" customHeight="true" outlineLevel="0" collapsed="false">
      <c r="A15" s="22"/>
      <c r="B15" s="22"/>
      <c r="C15" s="22"/>
      <c r="D15" s="22"/>
      <c r="E15" s="22"/>
      <c r="F15" s="22"/>
      <c r="G15" s="22"/>
      <c r="H15" s="22"/>
      <c r="I15" s="22"/>
      <c r="J15" s="19" t="str">
        <f aca="false">IF(COUNT(C15:I15)=0,"",SUMPRODUCT(C15:I15,$C$10:$I$10))</f>
        <v/>
      </c>
      <c r="K15" s="20" t="str">
        <f aca="false">IF(J15="","",RANK(J15,$J$14:$J$32))</f>
        <v/>
      </c>
      <c r="L15" s="21"/>
      <c r="M15" s="21"/>
    </row>
    <row r="16" customFormat="false" ht="30" hidden="false" customHeight="true" outlineLevel="0" collapsed="false">
      <c r="A16" s="22"/>
      <c r="B16" s="22"/>
      <c r="C16" s="22"/>
      <c r="D16" s="22"/>
      <c r="E16" s="22"/>
      <c r="F16" s="22"/>
      <c r="G16" s="22"/>
      <c r="H16" s="22"/>
      <c r="I16" s="22"/>
      <c r="J16" s="19" t="str">
        <f aca="false">IF(COUNT(C16:I16)=0,"",SUMPRODUCT(C16:I16,$C$10:$I$10))</f>
        <v/>
      </c>
      <c r="K16" s="20" t="str">
        <f aca="false">IF(J16="","",RANK(J16,$J$14:$J$32))</f>
        <v/>
      </c>
      <c r="L16" s="21"/>
      <c r="M16" s="21"/>
    </row>
    <row r="17" customFormat="false" ht="30" hidden="false" customHeight="true" outlineLevel="0" collapsed="false">
      <c r="A17" s="22"/>
      <c r="B17" s="22"/>
      <c r="C17" s="22"/>
      <c r="D17" s="22"/>
      <c r="E17" s="22"/>
      <c r="F17" s="22"/>
      <c r="G17" s="22"/>
      <c r="H17" s="22"/>
      <c r="I17" s="22"/>
      <c r="J17" s="19" t="str">
        <f aca="false">IF(COUNT(C17:I17)=0,"",SUMPRODUCT(C17:I17,$C$10:$I$10))</f>
        <v/>
      </c>
      <c r="K17" s="20" t="str">
        <f aca="false">IF(J17="","",RANK(J17,$J$14:$J$32))</f>
        <v/>
      </c>
      <c r="L17" s="21"/>
      <c r="M17" s="21"/>
    </row>
    <row r="18" customFormat="false" ht="30" hidden="false" customHeight="true" outlineLevel="0" collapsed="false">
      <c r="A18" s="22"/>
      <c r="B18" s="22"/>
      <c r="C18" s="22"/>
      <c r="D18" s="22"/>
      <c r="E18" s="22"/>
      <c r="F18" s="22"/>
      <c r="G18" s="22"/>
      <c r="H18" s="22"/>
      <c r="I18" s="22"/>
      <c r="J18" s="19" t="str">
        <f aca="false">IF(COUNT(C18:I18)=0,"",SUMPRODUCT(C18:I18,$C$10:$I$10))</f>
        <v/>
      </c>
      <c r="K18" s="20" t="str">
        <f aca="false">IF(J18="","",RANK(J18,$J$14:$J$32))</f>
        <v/>
      </c>
      <c r="L18" s="21"/>
      <c r="M18" s="21"/>
    </row>
    <row r="19" customFormat="false" ht="30" hidden="false" customHeight="true" outlineLevel="0" collapsed="false">
      <c r="A19" s="22"/>
      <c r="B19" s="22"/>
      <c r="C19" s="22"/>
      <c r="D19" s="22"/>
      <c r="E19" s="22"/>
      <c r="F19" s="22"/>
      <c r="G19" s="22"/>
      <c r="H19" s="22"/>
      <c r="I19" s="22"/>
      <c r="J19" s="19" t="str">
        <f aca="false">IF(COUNT(C19:I19)=0,"",SUMPRODUCT(C19:I19,$C$10:$I$10))</f>
        <v/>
      </c>
      <c r="K19" s="20" t="str">
        <f aca="false">IF(J19="","",RANK(J19,$J$14:$J$32))</f>
        <v/>
      </c>
      <c r="L19" s="21"/>
      <c r="M19" s="21"/>
    </row>
    <row r="20" customFormat="false" ht="30" hidden="false" customHeight="true" outlineLevel="0" collapsed="false">
      <c r="A20" s="22"/>
      <c r="B20" s="22"/>
      <c r="C20" s="22"/>
      <c r="D20" s="22"/>
      <c r="E20" s="22"/>
      <c r="F20" s="22"/>
      <c r="G20" s="22"/>
      <c r="H20" s="22"/>
      <c r="I20" s="22"/>
      <c r="J20" s="19" t="str">
        <f aca="false">IF(COUNT(C20:I20)=0,"",SUMPRODUCT(C20:I20,$C$10:$I$10))</f>
        <v/>
      </c>
      <c r="K20" s="20" t="str">
        <f aca="false">IF(J20="","",RANK(J20,$J$14:$J$32))</f>
        <v/>
      </c>
      <c r="L20" s="21"/>
      <c r="M20" s="21"/>
    </row>
    <row r="21" customFormat="false" ht="30" hidden="false" customHeight="true" outlineLevel="0" collapsed="false">
      <c r="A21" s="22"/>
      <c r="B21" s="22"/>
      <c r="C21" s="22"/>
      <c r="D21" s="22"/>
      <c r="E21" s="22"/>
      <c r="F21" s="22"/>
      <c r="G21" s="22"/>
      <c r="H21" s="22"/>
      <c r="I21" s="22"/>
      <c r="J21" s="19" t="str">
        <f aca="false">IF(COUNT(C21:I21)=0,"",SUMPRODUCT(C21:I21,$C$10:$I$10))</f>
        <v/>
      </c>
      <c r="K21" s="20" t="str">
        <f aca="false">IF(J21="","",RANK(J21,$J$14:$J$32))</f>
        <v/>
      </c>
      <c r="L21" s="21"/>
      <c r="M21" s="21"/>
    </row>
    <row r="22" customFormat="false" ht="30" hidden="false" customHeight="true" outlineLevel="0" collapsed="false">
      <c r="A22" s="22"/>
      <c r="B22" s="22"/>
      <c r="C22" s="22"/>
      <c r="D22" s="22"/>
      <c r="E22" s="22"/>
      <c r="F22" s="22"/>
      <c r="G22" s="22"/>
      <c r="H22" s="22"/>
      <c r="I22" s="22"/>
      <c r="J22" s="19" t="str">
        <f aca="false">IF(COUNT(C22:I22)=0,"",SUMPRODUCT(C22:I22,$C$10:$I$10))</f>
        <v/>
      </c>
      <c r="K22" s="20" t="str">
        <f aca="false">IF(J22="","",RANK(J22,$J$14:$J$32))</f>
        <v/>
      </c>
      <c r="L22" s="21"/>
      <c r="M22" s="21"/>
    </row>
    <row r="23" customFormat="false" ht="30" hidden="false" customHeight="true" outlineLevel="0" collapsed="false">
      <c r="A23" s="22"/>
      <c r="B23" s="22"/>
      <c r="C23" s="22"/>
      <c r="D23" s="22"/>
      <c r="E23" s="22"/>
      <c r="F23" s="22"/>
      <c r="G23" s="22"/>
      <c r="H23" s="22"/>
      <c r="I23" s="22"/>
      <c r="J23" s="19" t="str">
        <f aca="false">IF(COUNT(C23:I23)=0,"",SUMPRODUCT(C23:I23,$C$10:$I$10))</f>
        <v/>
      </c>
      <c r="K23" s="20" t="str">
        <f aca="false">IF(J23="","",RANK(J23,$J$14:$J$32))</f>
        <v/>
      </c>
      <c r="L23" s="21"/>
      <c r="M23" s="21"/>
    </row>
    <row r="24" customFormat="false" ht="30" hidden="false" customHeight="true" outlineLevel="0" collapsed="false">
      <c r="A24" s="22"/>
      <c r="B24" s="22"/>
      <c r="C24" s="22"/>
      <c r="D24" s="22"/>
      <c r="E24" s="22"/>
      <c r="F24" s="22"/>
      <c r="G24" s="22"/>
      <c r="H24" s="22"/>
      <c r="I24" s="22"/>
      <c r="J24" s="19" t="str">
        <f aca="false">IF(COUNT(C24:I24)=0,"",SUMPRODUCT(C24:I24,$C$10:$I$10))</f>
        <v/>
      </c>
      <c r="K24" s="20" t="str">
        <f aca="false">IF(J24="","",RANK(J24,$J$14:$J$32))</f>
        <v/>
      </c>
      <c r="L24" s="21"/>
      <c r="M24" s="21"/>
    </row>
    <row r="25" customFormat="false" ht="30" hidden="false" customHeight="true" outlineLevel="0" collapsed="false">
      <c r="A25" s="22"/>
      <c r="B25" s="22"/>
      <c r="C25" s="22"/>
      <c r="D25" s="22"/>
      <c r="E25" s="22"/>
      <c r="F25" s="22"/>
      <c r="G25" s="22"/>
      <c r="H25" s="22"/>
      <c r="I25" s="22"/>
      <c r="J25" s="19" t="str">
        <f aca="false">IF(COUNT(C25:I25)=0,"",SUMPRODUCT(C25:I25,$C$10:$I$10))</f>
        <v/>
      </c>
      <c r="K25" s="20" t="str">
        <f aca="false">IF(J25="","",RANK(J25,$J$14:$J$32))</f>
        <v/>
      </c>
      <c r="L25" s="21"/>
      <c r="M25" s="21"/>
    </row>
    <row r="26" customFormat="false" ht="30" hidden="false" customHeight="true" outlineLevel="0" collapsed="false">
      <c r="A26" s="22"/>
      <c r="B26" s="22"/>
      <c r="C26" s="22"/>
      <c r="D26" s="22"/>
      <c r="E26" s="22"/>
      <c r="F26" s="22"/>
      <c r="G26" s="22"/>
      <c r="H26" s="22"/>
      <c r="I26" s="22"/>
      <c r="J26" s="19" t="str">
        <f aca="false">IF(COUNT(C26:I26)=0,"",SUMPRODUCT(C26:I26,$C$10:$I$10))</f>
        <v/>
      </c>
      <c r="K26" s="20" t="str">
        <f aca="false">IF(J26="","",RANK(J26,$J$14:$J$32))</f>
        <v/>
      </c>
      <c r="L26" s="21"/>
      <c r="M26" s="21"/>
    </row>
    <row r="27" customFormat="false" ht="30" hidden="false" customHeight="true" outlineLevel="0" collapsed="false">
      <c r="A27" s="22"/>
      <c r="B27" s="22"/>
      <c r="C27" s="22"/>
      <c r="D27" s="22"/>
      <c r="E27" s="22"/>
      <c r="F27" s="22"/>
      <c r="G27" s="22"/>
      <c r="H27" s="22"/>
      <c r="I27" s="22"/>
      <c r="J27" s="19" t="str">
        <f aca="false">IF(COUNT(C27:I27)=0,"",SUMPRODUCT(C27:I27,$C$10:$I$10))</f>
        <v/>
      </c>
      <c r="K27" s="20" t="str">
        <f aca="false">IF(J27="","",RANK(J27,$J$14:$J$32))</f>
        <v/>
      </c>
      <c r="L27" s="21"/>
      <c r="M27" s="21"/>
    </row>
    <row r="28" customFormat="false" ht="30" hidden="false" customHeight="true" outlineLevel="0" collapsed="false">
      <c r="A28" s="22"/>
      <c r="B28" s="22"/>
      <c r="C28" s="22"/>
      <c r="D28" s="22"/>
      <c r="E28" s="22"/>
      <c r="F28" s="22"/>
      <c r="G28" s="22"/>
      <c r="H28" s="22"/>
      <c r="I28" s="22"/>
      <c r="J28" s="19" t="str">
        <f aca="false">IF(COUNT(C28:I28)=0,"",SUMPRODUCT(C28:I28,$C$10:$I$10))</f>
        <v/>
      </c>
      <c r="K28" s="20" t="str">
        <f aca="false">IF(J28="","",RANK(J28,$J$14:$J$32))</f>
        <v/>
      </c>
      <c r="L28" s="21"/>
      <c r="M28" s="21"/>
    </row>
    <row r="29" customFormat="false" ht="30" hidden="false" customHeight="true" outlineLevel="0" collapsed="false">
      <c r="A29" s="22"/>
      <c r="B29" s="22"/>
      <c r="C29" s="22"/>
      <c r="D29" s="22"/>
      <c r="E29" s="22"/>
      <c r="F29" s="22"/>
      <c r="G29" s="22"/>
      <c r="H29" s="22"/>
      <c r="I29" s="22"/>
      <c r="J29" s="19" t="str">
        <f aca="false">IF(COUNT(C29:I29)=0,"",SUMPRODUCT(C29:I29,$C$10:$I$10))</f>
        <v/>
      </c>
      <c r="K29" s="20" t="str">
        <f aca="false">IF(J29="","",RANK(J29,$J$14:$J$32))</f>
        <v/>
      </c>
      <c r="L29" s="21"/>
      <c r="M29" s="21"/>
    </row>
    <row r="30" customFormat="false" ht="30" hidden="false" customHeight="true" outlineLevel="0" collapsed="false">
      <c r="A30" s="22"/>
      <c r="B30" s="22"/>
      <c r="C30" s="22"/>
      <c r="D30" s="22"/>
      <c r="E30" s="22"/>
      <c r="F30" s="22"/>
      <c r="G30" s="22"/>
      <c r="H30" s="22"/>
      <c r="I30" s="22"/>
      <c r="J30" s="19" t="str">
        <f aca="false">IF(COUNT(C30:I30)=0,"",SUMPRODUCT(C30:I30,$C$10:$I$10))</f>
        <v/>
      </c>
      <c r="K30" s="20" t="str">
        <f aca="false">IF(J30="","",RANK(J30,$J$14:$J$32))</f>
        <v/>
      </c>
      <c r="L30" s="21"/>
      <c r="M30" s="21"/>
    </row>
    <row r="31" customFormat="false" ht="30" hidden="false" customHeight="true" outlineLevel="0" collapsed="false">
      <c r="A31" s="22"/>
      <c r="B31" s="22"/>
      <c r="C31" s="22"/>
      <c r="D31" s="22"/>
      <c r="E31" s="22"/>
      <c r="F31" s="22"/>
      <c r="G31" s="22"/>
      <c r="H31" s="22"/>
      <c r="I31" s="22"/>
      <c r="J31" s="19" t="str">
        <f aca="false">IF(COUNT(C31:I31)=0,"",SUMPRODUCT(C31:I31,$C$10:$I$10))</f>
        <v/>
      </c>
      <c r="K31" s="20" t="str">
        <f aca="false">IF(J31="","",RANK(J31,$J$14:$J$32))</f>
        <v/>
      </c>
      <c r="L31" s="21"/>
      <c r="M31" s="21"/>
    </row>
    <row r="32" customFormat="false" ht="30" hidden="false" customHeight="true" outlineLevel="0" collapsed="false">
      <c r="A32" s="22"/>
      <c r="B32" s="22"/>
      <c r="C32" s="22"/>
      <c r="D32" s="22"/>
      <c r="E32" s="22"/>
      <c r="F32" s="22"/>
      <c r="G32" s="22"/>
      <c r="H32" s="22"/>
      <c r="I32" s="22"/>
      <c r="J32" s="19" t="str">
        <f aca="false">IF(COUNT(C32:I32)=0,"",SUMPRODUCT(C32:I32,$C$10:$I$10))</f>
        <v/>
      </c>
      <c r="K32" s="20" t="str">
        <f aca="false">IF(J32="","",RANK(J32,$J$14:$J$32))</f>
        <v/>
      </c>
      <c r="L32" s="21"/>
      <c r="M32" s="21"/>
    </row>
    <row r="34" customFormat="false" ht="19.5" hidden="false" customHeight="true" outlineLevel="0" collapsed="false">
      <c r="A34" s="8" t="s">
        <v>37</v>
      </c>
      <c r="B34" s="8"/>
      <c r="C34" s="8"/>
      <c r="D34" s="8"/>
      <c r="E34" s="8"/>
      <c r="F34" s="8"/>
      <c r="G34" s="8"/>
      <c r="H34" s="8"/>
      <c r="I34" s="8"/>
      <c r="J34" s="8"/>
      <c r="K34" s="8"/>
      <c r="L34" s="8"/>
      <c r="M34" s="8"/>
    </row>
    <row r="35" customFormat="false" ht="15" hidden="false" customHeight="false" outlineLevel="0" collapsed="false">
      <c r="A35" s="23" t="s">
        <v>38</v>
      </c>
      <c r="B35" s="23"/>
      <c r="C35" s="23"/>
      <c r="D35" s="23"/>
      <c r="E35" s="24" t="n">
        <f aca="false">COUNTA(B14:B32)</f>
        <v>1</v>
      </c>
    </row>
    <row r="36" customFormat="false" ht="15" hidden="false" customHeight="false" outlineLevel="0" collapsed="false">
      <c r="A36" s="23" t="s">
        <v>39</v>
      </c>
      <c r="B36" s="23"/>
      <c r="C36" s="23"/>
      <c r="D36" s="23"/>
      <c r="E36" s="24" t="n">
        <f aca="false">COUNTIF(M14:M32,"Yes")</f>
        <v>0</v>
      </c>
    </row>
    <row r="37" customFormat="false" ht="15" hidden="false" customHeight="false" outlineLevel="0" collapsed="false">
      <c r="A37" s="23" t="s">
        <v>40</v>
      </c>
      <c r="B37" s="23"/>
      <c r="C37" s="23"/>
      <c r="D37" s="23"/>
      <c r="E37" s="24" t="n">
        <f aca="false">SUMPRODUCT((M14:M32="Yes")*(LEFT(L14:L32,1)&lt;&gt;"")*(VALUE(LEFT(L14:L32&amp;"9",1))&lt;=3))</f>
        <v>0</v>
      </c>
    </row>
    <row r="38" customFormat="false" ht="15" hidden="false" customHeight="false" outlineLevel="0" collapsed="false">
      <c r="A38" s="23" t="s">
        <v>41</v>
      </c>
      <c r="B38" s="23"/>
      <c r="C38" s="23"/>
      <c r="D38" s="23"/>
      <c r="E38" s="24" t="n">
        <f aca="false">SUMPRODUCT((M14:M32="Yes")*(VALUE(LEFT(L14:L32&amp;"0",1))&gt;=5))</f>
        <v>0</v>
      </c>
    </row>
    <row r="40" customFormat="false" ht="39" hidden="false" customHeight="true" outlineLevel="0" collapsed="false">
      <c r="A40" s="25" t="s">
        <v>42</v>
      </c>
      <c r="B40" s="25"/>
      <c r="C40" s="25"/>
      <c r="D40" s="25"/>
      <c r="E40" s="25"/>
      <c r="F40" s="25"/>
      <c r="G40" s="25"/>
      <c r="H40" s="25"/>
      <c r="I40" s="25"/>
      <c r="J40" s="25"/>
      <c r="K40" s="25"/>
      <c r="L40" s="25"/>
      <c r="M40" s="25"/>
    </row>
  </sheetData>
  <mergeCells count="14">
    <mergeCell ref="A1:M1"/>
    <mergeCell ref="A2:M2"/>
    <mergeCell ref="A4:F4"/>
    <mergeCell ref="B5:F5"/>
    <mergeCell ref="B6:F6"/>
    <mergeCell ref="B7:F7"/>
    <mergeCell ref="A9:M9"/>
    <mergeCell ref="A12:M12"/>
    <mergeCell ref="A34:M34"/>
    <mergeCell ref="A35:D35"/>
    <mergeCell ref="A36:D36"/>
    <mergeCell ref="A37:D37"/>
    <mergeCell ref="A38:D38"/>
    <mergeCell ref="A40:M40"/>
  </mergeCells>
  <dataValidations count="3">
    <dataValidation allowBlank="true" errorStyle="stop" operator="between" showDropDown="false" showErrorMessage="false" showInputMessage="false" sqref="C14:I32" type="list">
      <formula1>"1,2,3,4,5"</formula1>
      <formula2>0</formula2>
    </dataValidation>
    <dataValidation allowBlank="true" errorStyle="stop" operator="between" showDropDown="false" showErrorMessage="false" showInputMessage="false" sqref="L14:L32" type="list">
      <formula1>"1 Eliminate demand,2 Design it out,3 Guide it,4 Detect it,5 Standardise it,6 Train and remind"</formula1>
      <formula2>0</formula2>
    </dataValidation>
    <dataValidation allowBlank="true" errorStyle="stop" operator="between" showDropDown="false" showErrorMessage="false" showInputMessage="false" sqref="M14:M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68"/>
    <col collapsed="false" customWidth="true" hidden="false" outlineLevel="0" max="4" min="4" style="0" width="26"/>
  </cols>
  <sheetData>
    <row r="1" customFormat="false" ht="25.5" hidden="false" customHeight="true" outlineLevel="0" collapsed="false">
      <c r="A1" s="6" t="s">
        <v>43</v>
      </c>
      <c r="B1" s="6"/>
      <c r="C1" s="6"/>
      <c r="D1" s="6"/>
    </row>
    <row r="2" customFormat="false" ht="27.75" hidden="false" customHeight="true" outlineLevel="0" collapsed="false">
      <c r="A2" s="7" t="s">
        <v>44</v>
      </c>
      <c r="B2" s="7"/>
      <c r="C2" s="7"/>
      <c r="D2" s="7"/>
    </row>
    <row r="4" customFormat="false" ht="31.5" hidden="false" customHeight="true" outlineLevel="0" collapsed="false">
      <c r="A4" s="17" t="s">
        <v>45</v>
      </c>
      <c r="B4" s="17" t="s">
        <v>46</v>
      </c>
      <c r="C4" s="17" t="s">
        <v>47</v>
      </c>
      <c r="D4" s="17" t="s">
        <v>48</v>
      </c>
    </row>
    <row r="5" customFormat="false" ht="25.5" hidden="false" customHeight="true" outlineLevel="0" collapsed="false">
      <c r="A5" s="26" t="n">
        <v>1</v>
      </c>
      <c r="B5" s="27" t="s">
        <v>49</v>
      </c>
      <c r="C5" s="28" t="s">
        <v>50</v>
      </c>
      <c r="D5" s="27" t="s">
        <v>51</v>
      </c>
    </row>
    <row r="6" customFormat="false" ht="25.5" hidden="false" customHeight="true" outlineLevel="0" collapsed="false">
      <c r="A6" s="26" t="n">
        <v>2</v>
      </c>
      <c r="B6" s="27" t="s">
        <v>52</v>
      </c>
      <c r="C6" s="28" t="s">
        <v>53</v>
      </c>
      <c r="D6" s="27" t="s">
        <v>51</v>
      </c>
    </row>
    <row r="7" customFormat="false" ht="25.5" hidden="false" customHeight="true" outlineLevel="0" collapsed="false">
      <c r="A7" s="26" t="n">
        <v>3</v>
      </c>
      <c r="B7" s="27" t="s">
        <v>54</v>
      </c>
      <c r="C7" s="28" t="s">
        <v>55</v>
      </c>
      <c r="D7" s="27" t="s">
        <v>56</v>
      </c>
    </row>
    <row r="8" customFormat="false" ht="25.5" hidden="false" customHeight="true" outlineLevel="0" collapsed="false">
      <c r="A8" s="29" t="n">
        <v>4</v>
      </c>
      <c r="B8" s="30" t="s">
        <v>57</v>
      </c>
      <c r="C8" s="31" t="s">
        <v>58</v>
      </c>
      <c r="D8" s="30" t="s">
        <v>59</v>
      </c>
    </row>
    <row r="9" customFormat="false" ht="25.5" hidden="false" customHeight="true" outlineLevel="0" collapsed="false">
      <c r="A9" s="32" t="n">
        <v>5</v>
      </c>
      <c r="B9" s="33" t="s">
        <v>60</v>
      </c>
      <c r="C9" s="34" t="s">
        <v>61</v>
      </c>
      <c r="D9" s="33" t="s">
        <v>62</v>
      </c>
    </row>
    <row r="10" customFormat="false" ht="25.5" hidden="false" customHeight="true" outlineLevel="0" collapsed="false">
      <c r="A10" s="32" t="n">
        <v>6</v>
      </c>
      <c r="B10" s="33" t="s">
        <v>63</v>
      </c>
      <c r="C10" s="34" t="s">
        <v>64</v>
      </c>
      <c r="D10" s="33" t="s">
        <v>65</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2026-07-31T15:37:50Z</dcterms:created>
  <dc:creator>openpyxl</dc:creator>
  <dc:description/>
  <dc:language>en-US</dc:language>
  <cp:lastModifiedBy/>
  <dcterms:modified xsi:type="dcterms:W3CDTF">2026-07-31T15:37:50Z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