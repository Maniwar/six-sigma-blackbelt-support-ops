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How to use this" sheetId="1" state="visible" r:id="rId1"/>
    <sheet name="X-Y matrix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2937"/>
      <sz val="18"/>
    </font>
    <font>
      <name val="Arial"/>
      <charset val="1"/>
      <family val="0"/>
      <color rgb="FF1F2937"/>
      <sz val="10"/>
    </font>
    <font>
      <name val="Arial"/>
      <charset val="1"/>
      <family val="0"/>
      <b val="1"/>
      <color rgb="FFB45309"/>
      <sz val="12"/>
    </font>
    <font>
      <name val="Arial"/>
      <charset val="1"/>
      <family val="0"/>
      <b val="1"/>
      <color rgb="FFB91C1C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i val="1"/>
      <color rgb="FF657085"/>
      <sz val="9"/>
    </font>
    <font>
      <name val="Arial"/>
      <charset val="1"/>
      <family val="0"/>
      <b val="1"/>
      <color rgb="FFB45309"/>
      <sz val="9"/>
    </font>
    <font>
      <name val="Arial"/>
      <charset val="1"/>
      <family val="0"/>
      <color rgb="FF1F2937"/>
      <sz val="9"/>
    </font>
    <font>
      <name val="Arial"/>
      <charset val="1"/>
      <family val="0"/>
      <b val="1"/>
      <color rgb="FF1F2937"/>
      <sz val="10"/>
    </font>
    <font>
      <name val="Arial"/>
      <charset val="1"/>
      <family val="0"/>
      <color rgb="FF0000FF"/>
      <sz val="9"/>
    </font>
    <font>
      <name val="Arial"/>
      <charset val="1"/>
      <family val="0"/>
      <b val="1"/>
      <color rgb="FF0000FF"/>
      <sz val="11"/>
    </font>
    <font>
      <name val="Arial"/>
      <charset val="1"/>
      <family val="0"/>
      <b val="1"/>
      <color rgb="FFFFFFFF"/>
      <sz val="9"/>
    </font>
    <font>
      <name val="Arial"/>
      <charset val="1"/>
      <family val="0"/>
      <color rgb="FF006100"/>
      <sz val="10"/>
    </font>
    <font>
      <name val="Arial"/>
      <charset val="1"/>
      <family val="0"/>
      <b val="1"/>
      <color rgb="FF1F2937"/>
      <sz val="11"/>
    </font>
    <font>
      <name val="Arial"/>
      <charset val="1"/>
      <family val="0"/>
      <color rgb="FF0000FF"/>
      <sz val="10"/>
    </font>
    <font>
      <b val="1"/>
      <sz val="10"/>
    </font>
    <font>
      <i val="1"/>
      <color rgb="FF6B7280"/>
      <sz val="9"/>
    </font>
  </fonts>
  <fills count="11">
    <fill>
      <patternFill/>
    </fill>
    <fill>
      <patternFill patternType="gray125"/>
    </fill>
    <fill>
      <patternFill patternType="solid">
        <fgColor rgb="FFFDEEEE"/>
        <bgColor rgb="FFEEF1F6"/>
      </patternFill>
    </fill>
    <fill>
      <patternFill patternType="solid">
        <fgColor rgb="FF151B24"/>
        <bgColor rgb="FF1F2937"/>
      </patternFill>
    </fill>
    <fill>
      <patternFill patternType="solid">
        <fgColor rgb="FFEEF1F6"/>
        <bgColor rgb="FFF2F7FF"/>
      </patternFill>
    </fill>
    <fill>
      <patternFill patternType="solid">
        <fgColor rgb="FFFFF9E3"/>
        <bgColor rgb="FFFDEEEE"/>
      </patternFill>
    </fill>
    <fill>
      <patternFill patternType="solid">
        <fgColor rgb="FFF2F7FF"/>
        <bgColor rgb="FFEEF1F6"/>
      </patternFill>
    </fill>
    <fill>
      <patternFill patternType="solid">
        <fgColor rgb="FFECFAEF"/>
        <bgColor rgb="FFF2F7FF"/>
      </patternFill>
    </fill>
    <fill>
      <patternFill patternType="solid">
        <fgColor rgb="FF333C49"/>
        <bgColor rgb="FF1F2937"/>
      </patternFill>
    </fill>
    <fill>
      <patternFill patternType="solid">
        <fgColor rgb="FFECFAEF"/>
      </patternFill>
    </fill>
    <fill>
      <patternFill patternType="solid">
        <fgColor rgb="FFF2F7FF"/>
      </patternFill>
    </fill>
  </fills>
  <borders count="2">
    <border>
      <left/>
      <right/>
      <top/>
      <bottom/>
      <diagonal/>
    </border>
    <border>
      <left style="thin">
        <color rgb="FFD8DEE8"/>
      </left>
      <right style="thin">
        <color rgb="FFD8DEE8"/>
      </right>
      <top style="thin">
        <color rgb="FFD8DEE8"/>
      </top>
      <bottom style="thin">
        <color rgb="FFD8DEE8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 indent="1"/>
    </xf>
    <xf numFmtId="0" fontId="7" fillId="2" borderId="1" applyAlignment="1" pivotButton="0" quotePrefix="0" xfId="0">
      <alignment horizontal="general" vertical="top" wrapText="1" indent="1"/>
    </xf>
    <xf numFmtId="0" fontId="8" fillId="3" borderId="0" applyAlignment="1" pivotButton="0" quotePrefix="0" xfId="0">
      <alignment horizontal="general" vertical="center" indent="1"/>
    </xf>
    <xf numFmtId="0" fontId="9" fillId="0" borderId="0" applyAlignment="1" pivotButton="0" quotePrefix="0" xfId="0">
      <alignment horizontal="general" vertical="center" wrapText="1" indent="1"/>
    </xf>
    <xf numFmtId="0" fontId="10" fillId="4" borderId="0" applyAlignment="1" pivotButton="0" quotePrefix="0" xfId="0">
      <alignment horizontal="general" vertical="center" indent="1"/>
    </xf>
    <xf numFmtId="0" fontId="0" fillId="5" borderId="1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0" fillId="6" borderId="1" applyAlignment="1" pivotButton="0" quotePrefix="0" xfId="0">
      <alignment horizontal="general" vertical="bottom"/>
    </xf>
    <xf numFmtId="0" fontId="0" fillId="7" borderId="1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5" borderId="1" applyAlignment="1" pivotButton="0" quotePrefix="0" xfId="0">
      <alignment horizontal="general" vertical="center" wrapText="1"/>
    </xf>
    <xf numFmtId="0" fontId="14" fillId="5" borderId="1" applyAlignment="1" pivotButton="0" quotePrefix="0" xfId="0">
      <alignment horizontal="center" vertical="bottom"/>
    </xf>
    <xf numFmtId="0" fontId="15" fillId="8" borderId="1" applyAlignment="1" pivotButton="0" quotePrefix="0" xfId="0">
      <alignment horizontal="general" vertical="bottom" wrapText="1"/>
    </xf>
    <xf numFmtId="0" fontId="16" fillId="7" borderId="1" applyAlignment="1" pivotButton="0" quotePrefix="0" xfId="0">
      <alignment horizontal="general" vertical="top" wrapText="1"/>
    </xf>
    <xf numFmtId="0" fontId="17" fillId="6" borderId="1" applyAlignment="1" pivotButton="0" quotePrefix="0" xfId="0">
      <alignment horizontal="general" vertical="bottom"/>
    </xf>
    <xf numFmtId="0" fontId="17" fillId="6" borderId="1" applyAlignment="1" pivotButton="0" quotePrefix="0" xfId="0">
      <alignment horizontal="center" vertical="bottom"/>
    </xf>
    <xf numFmtId="0" fontId="18" fillId="5" borderId="1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top" wrapText="1" inden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 indent="1"/>
    </xf>
    <xf numFmtId="0" fontId="7" fillId="2" borderId="1" applyAlignment="1" pivotButton="0" quotePrefix="0" xfId="0">
      <alignment horizontal="general" vertical="top" wrapText="1" indent="1"/>
    </xf>
    <xf numFmtId="0" fontId="8" fillId="3" borderId="0" applyAlignment="1" pivotButton="0" quotePrefix="0" xfId="0">
      <alignment horizontal="general" vertical="center" indent="1"/>
    </xf>
    <xf numFmtId="0" fontId="9" fillId="0" borderId="0" applyAlignment="1" pivotButton="0" quotePrefix="0" xfId="0">
      <alignment horizontal="general" vertical="center" wrapText="1" indent="1"/>
    </xf>
    <xf numFmtId="0" fontId="10" fillId="4" borderId="0" applyAlignment="1" pivotButton="0" quotePrefix="0" xfId="0">
      <alignment horizontal="general" vertical="center" indent="1"/>
    </xf>
    <xf numFmtId="0" fontId="0" fillId="5" borderId="1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0" fillId="6" borderId="1" applyAlignment="1" pivotButton="0" quotePrefix="0" xfId="0">
      <alignment horizontal="general" vertical="bottom"/>
    </xf>
    <xf numFmtId="0" fontId="0" fillId="7" borderId="1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5" borderId="1" applyAlignment="1" pivotButton="0" quotePrefix="0" xfId="0">
      <alignment horizontal="general" vertical="center" wrapText="1"/>
    </xf>
    <xf numFmtId="0" fontId="14" fillId="5" borderId="1" applyAlignment="1" pivotButton="0" quotePrefix="0" xfId="0">
      <alignment horizontal="center" vertical="bottom"/>
    </xf>
    <xf numFmtId="0" fontId="15" fillId="8" borderId="1" applyAlignment="1" pivotButton="0" quotePrefix="0" xfId="0">
      <alignment horizontal="general" vertical="bottom" wrapText="1"/>
    </xf>
    <xf numFmtId="0" fontId="16" fillId="7" borderId="1" applyAlignment="1" pivotButton="0" quotePrefix="0" xfId="0">
      <alignment horizontal="general" vertical="top" wrapText="1"/>
    </xf>
    <xf numFmtId="0" fontId="17" fillId="6" borderId="1" applyAlignment="1" pivotButton="0" quotePrefix="0" xfId="0">
      <alignment horizontal="general" vertical="bottom"/>
    </xf>
    <xf numFmtId="0" fontId="17" fillId="6" borderId="1" applyAlignment="1" pivotButton="0" quotePrefix="0" xfId="0">
      <alignment horizontal="center" vertical="bottom"/>
    </xf>
    <xf numFmtId="0" fontId="18" fillId="5" borderId="1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top" wrapText="1" indent="1"/>
    </xf>
    <xf numFmtId="0" fontId="16" fillId="9" borderId="1" applyAlignment="1" pivotButton="0" quotePrefix="0" xfId="0">
      <alignment horizontal="general" vertical="top" wrapText="1"/>
    </xf>
    <xf numFmtId="0" fontId="18" fillId="9" borderId="1" applyAlignment="1" pivotButton="0" quotePrefix="0" xfId="0">
      <alignment horizontal="general" vertical="top" wrapText="1"/>
    </xf>
    <xf numFmtId="0" fontId="19" fillId="0" borderId="0" pivotButton="0" quotePrefix="0" xfId="0"/>
    <xf numFmtId="3" fontId="0" fillId="10" borderId="0" pivotButton="0" quotePrefix="0" xfId="0"/>
    <xf numFmtId="0" fontId="20" fillId="0" borderId="0" pivotButton="0" quotePrefix="0" xfId="0"/>
    <xf numFmtId="1" fontId="20" fillId="0" borderId="0" pivotButton="0" quotePrefix="0" xfId="0"/>
    <xf numFmtId="1" fontId="0" fillId="0" borderId="0" pivotButton="0" quotePrefix="0" xfId="0"/>
    <xf numFmtId="0" fontId="0" fillId="1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B45309"/>
      <rgbColor rgb="FFFFF9E3"/>
      <rgbColor rgb="FFECFAEF"/>
      <rgbColor rgb="FF660066"/>
      <rgbColor rgb="FFFF8080"/>
      <rgbColor rgb="FF0066CC"/>
      <rgbColor rgb="FFD8DE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7FF"/>
      <rgbColor rgb="FFEEF1F6"/>
      <rgbColor rgb="FFFDEEEE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57085"/>
      <rgbColor rgb="FF969696"/>
      <rgbColor rgb="FF003366"/>
      <rgbColor rgb="FF339966"/>
      <rgbColor rgb="FF151B24"/>
      <rgbColor rgb="FF1F2937"/>
      <rgbColor rgb="FFB91C1C"/>
      <rgbColor rgb="FF993366"/>
      <rgbColor rgb="FF333399"/>
      <rgbColor rgb="FF333C49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roundedCorners val="0"/>
  <style val="10"/>
  <chart>
    <title>
      <tx>
        <rich>
          <a:bodyPr/>
          <a:p>
            <a:pPr>
              <a:defRPr/>
            </a:pPr>
            <a:r>
              <a:t>Weighted total by candidate cause — the top three are where you start</a:t>
            </a:r>
          </a:p>
        </rich>
      </tx>
    </title>
    <plotArea>
      <barChart>
        <barDir val="bar"/>
        <grouping val="clustered"/>
        <ser>
          <idx val="0"/>
          <order val="0"/>
          <tx>
            <v>Weighted total</v>
          </tx>
          <spPr>
            <a:ln>
              <a:prstDash val="solid"/>
            </a:ln>
          </spPr>
          <invertIfNegative val="0"/>
          <dPt>
            <idx val="0"/>
            <spPr>
              <a:solidFill>
                <a:srgbClr val="B45309"/>
              </a:solidFill>
              <a:ln>
                <a:prstDash val="solid"/>
              </a:ln>
            </spPr>
          </dPt>
          <dPt>
            <idx val="1"/>
            <spPr>
              <a:solidFill>
                <a:srgbClr val="B45309"/>
              </a:solidFill>
              <a:ln>
                <a:prstDash val="solid"/>
              </a:ln>
            </spPr>
          </dPt>
          <dPt>
            <idx val="2"/>
            <spPr>
              <a:solidFill>
                <a:srgbClr val="B45309"/>
              </a:solidFill>
              <a:ln>
                <a:prstDash val="solid"/>
              </a:ln>
            </spPr>
          </dPt>
          <dPt>
            <idx val="3"/>
            <spPr>
              <a:solidFill>
                <a:srgbClr val="1F4E79"/>
              </a:solidFill>
              <a:ln>
                <a:prstDash val="solid"/>
              </a:ln>
            </spPr>
          </dPt>
          <dPt>
            <idx val="4"/>
            <spPr>
              <a:solidFill>
                <a:srgbClr val="1F4E79"/>
              </a:solidFill>
              <a:ln>
                <a:prstDash val="solid"/>
              </a:ln>
            </spPr>
          </dPt>
          <dPt>
            <idx val="5"/>
            <spPr>
              <a:solidFill>
                <a:srgbClr val="1F4E79"/>
              </a:solidFill>
              <a:ln>
                <a:prstDash val="solid"/>
              </a:ln>
            </spPr>
          </dPt>
          <dPt>
            <idx val="6"/>
            <spPr>
              <a:solidFill>
                <a:srgbClr val="1F4E79"/>
              </a:solidFill>
              <a:ln>
                <a:prstDash val="solid"/>
              </a:ln>
            </spPr>
          </dPt>
          <dPt>
            <idx val="7"/>
            <spPr>
              <a:solidFill>
                <a:srgbClr val="1F4E79"/>
              </a:solidFill>
              <a:ln>
                <a:prstDash val="solid"/>
              </a:ln>
            </spPr>
          </dPt>
          <dPt>
            <idx val="8"/>
            <spPr>
              <a:solidFill>
                <a:srgbClr val="1F4E79"/>
              </a:solidFill>
              <a:ln>
                <a:prstDash val="solid"/>
              </a:ln>
            </spPr>
          </dPt>
          <dPt>
            <idx val="9"/>
            <spPr>
              <a:solidFill>
                <a:srgbClr val="1F4E79"/>
              </a:solidFill>
              <a:ln>
                <a:prstDash val="solid"/>
              </a:ln>
            </spPr>
          </dPt>
          <cat>
            <numRef>
              <f>'X-Y matrix'!$M$15:$M$24</f>
            </numRef>
          </cat>
          <val>
            <numRef>
              <f>'X-Y matrix'!$N$15:$N$24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tickLblPos val="low"/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tickLblPos val="nextTo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15</col>
      <colOff>0</colOff>
      <row>2</row>
      <rowOff>0</rowOff>
    </from>
    <ext cx="61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B4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22" min="1" max="1"/>
    <col width="108" customWidth="1" style="22" min="2" max="2"/>
  </cols>
  <sheetData>
    <row r="1"/>
    <row r="2" ht="30" customHeight="1" s="23">
      <c r="B2" s="24" t="inlineStr">
        <is>
          <t>X-Y Matrix — deciding what to test first</t>
        </is>
      </c>
    </row>
    <row r="3" ht="25.5" customHeight="1" s="23">
      <c r="B3" s="25" t="inlineStr">
        <is>
          <t>You will finish brainstorming with thirty candidate causes and time to test perhaps eight. This sheet ranks them, using your customers' priorities rather than the loudest voice in the room.</t>
        </is>
      </c>
    </row>
    <row r="4"/>
    <row r="5" ht="24" customHeight="1" s="23">
      <c r="B5" s="26" t="inlineStr">
        <is>
          <t>What to do</t>
        </is>
      </c>
    </row>
    <row r="6" ht="15" customHeight="1" s="23">
      <c r="B6" s="27" t="inlineStr">
        <is>
          <t>1.  Type your CTQs across the top — the measurable customer requirements from your CTQ tree.</t>
        </is>
      </c>
    </row>
    <row r="7" ht="25.5" customHeight="1" s="23">
      <c r="B7" s="27" t="inlineStr">
        <is>
          <t>2.  Weight each one 1 to 10 by how much it matters to the customer. Force a spread; if everything is a 9, the matrix cannot rank anything.</t>
        </is>
      </c>
    </row>
    <row r="8" ht="15" customHeight="1" s="23">
      <c r="B8" s="27" t="inlineStr">
        <is>
          <t>3.  List your candidate causes down the left, grouped by category.</t>
        </is>
      </c>
    </row>
    <row r="9" ht="25.5" customHeight="1" s="23">
      <c r="B9" s="27" t="inlineStr">
        <is>
          <t>4.  Score each cause against each CTQ using the dropdown: 9 strong, 6 moderate, 3 weak, 1 none.</t>
        </is>
      </c>
    </row>
    <row r="10" ht="15" customHeight="1" s="23">
      <c r="B10" s="27" t="inlineStr">
        <is>
          <t>5.  Weighted total and rank calculate themselves. Sort by rank.</t>
        </is>
      </c>
    </row>
    <row r="11"/>
    <row r="12" ht="24" customHeight="1" s="23">
      <c r="B12" s="26" t="inlineStr">
        <is>
          <t>Two habits that make this work</t>
        </is>
      </c>
    </row>
    <row r="13" ht="25.5" customHeight="1" s="23">
      <c r="B13" s="27" t="inlineStr">
        <is>
          <t>Score in silence and reveal at the same time. Scoring one person at a time anchors everyone on the first number.</t>
        </is>
      </c>
    </row>
    <row r="14" ht="25.5" customHeight="1" s="23">
      <c r="B14" s="27" t="inlineStr">
        <is>
          <t>Weights come from the CTQ tree, which came from customers. If the team invents the weights in the room, you have built an opinion aggregator, not a prioritisation.</t>
        </is>
      </c>
    </row>
    <row r="15"/>
    <row r="16" ht="25.5" customHeight="1" s="23">
      <c r="B16" s="28" t="inlineStr">
        <is>
          <t>A ranking where everything scores about the same means your CTQ weights are undifferentiated. Go back and force a spread before you use the result.</t>
        </is>
      </c>
    </row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</sheetData>
  <printOptions horizontalCentered="1" verticalCentered="0" headings="0" gridLines="0" gridLinesSet="1"/>
  <pageMargins left="0.4" right="0.4" top="0.5" bottom="0.5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O3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14" topLeftCell="C15" activePane="bottomRight" state="frozen"/>
      <selection pane="topLeft" activeCell="A1" activeCellId="0" sqref="A1"/>
      <selection pane="topRight" activeCell="C1" activeCellId="0" sqref="C1"/>
      <selection pane="bottomLeft" activeCell="A15" activeCellId="0" sqref="A15"/>
      <selection pane="bottomRight" activeCell="A1" activeCellId="0" sqref="A1"/>
    </sheetView>
  </sheetViews>
  <sheetFormatPr baseColWidth="8" defaultColWidth="8.6796875" defaultRowHeight="15" zeroHeight="0" outlineLevelRow="0"/>
  <cols>
    <col width="40" customWidth="1" style="22" min="1" max="1"/>
    <col width="18" customWidth="1" style="22" min="2" max="2"/>
    <col width="13" customWidth="1" style="22" min="3" max="7"/>
    <col width="15" customWidth="1" style="22" min="8" max="8"/>
    <col width="8" customWidth="1" style="22" min="9" max="9"/>
  </cols>
  <sheetData>
    <row r="1" ht="25.5" customHeight="1" s="23">
      <c r="A1" s="29" t="inlineStr">
        <is>
          <t>X-Y Matrix  —  which causes should we test first?</t>
        </is>
      </c>
    </row>
    <row r="2" ht="27.75" customHeight="1" s="23">
      <c r="A2" s="30" t="inlineStr">
        <is>
          <t>Score every candidate cause against every customer requirement. The weighted total and rank calculate themselves.</t>
        </is>
      </c>
    </row>
    <row r="3"/>
    <row r="4" ht="19.5" customHeight="1" s="23">
      <c r="A4" s="31" t="inlineStr">
        <is>
          <t>HOW TO USE THIS SHEET</t>
        </is>
      </c>
    </row>
    <row r="5" ht="15" customHeight="1" s="23">
      <c r="A5" s="32" t="inlineStr">
        <is>
          <t>Yellow cells</t>
        </is>
      </c>
      <c r="B5" s="33" t="inlineStr">
        <is>
          <t>You fill these in. Blue text = a number you typed.</t>
        </is>
      </c>
    </row>
    <row r="6" ht="15" customHeight="1" s="23">
      <c r="A6" s="34" t="inlineStr">
        <is>
          <t>Blue cells</t>
        </is>
      </c>
      <c r="B6" s="33" t="inlineStr">
        <is>
          <t>Calculated for you. Do not type over these — they contain formulas.</t>
        </is>
      </c>
    </row>
    <row r="7" ht="15" customHeight="1" s="23">
      <c r="A7" s="35" t="inlineStr">
        <is>
          <t>Row 1 example</t>
        </is>
      </c>
      <c r="B7" s="33" t="inlineStr">
        <is>
          <t>A realistic worked example, so you can see the expected format. Delete or overwrite it.</t>
        </is>
      </c>
    </row>
    <row r="8"/>
    <row r="9" ht="19.5" customHeight="1" s="23">
      <c r="A9" s="31" t="inlineStr">
        <is>
          <t>STEP 1 — NAME YOUR CTQs AND WEIGHT THEM 1–10.  Weights come from your CTQ tree, not from opinion in the room.</t>
        </is>
      </c>
    </row>
    <row r="10" ht="31.5" customHeight="1" s="23">
      <c r="B10" s="36" t="inlineStr">
        <is>
          <t>CTQ name →</t>
        </is>
      </c>
      <c r="C10" s="37" t="inlineStr">
        <is>
          <t>Issue solved first time</t>
        </is>
      </c>
      <c r="D10" s="37" t="inlineStr">
        <is>
          <t>Not asked to repeat myself</t>
        </is>
      </c>
      <c r="E10" s="37" t="inlineStr">
        <is>
          <t>Resolved within SLA</t>
        </is>
      </c>
      <c r="F10" s="37" t="inlineStr">
        <is>
          <t>Kept informed</t>
        </is>
      </c>
      <c r="G10" s="37" t="inlineStr">
        <is>
          <t>Correct outcome</t>
        </is>
      </c>
    </row>
    <row r="11" ht="15" customHeight="1" s="23">
      <c r="B11" s="36" t="inlineStr">
        <is>
          <t>Weight (1–10) →</t>
        </is>
      </c>
      <c r="C11" s="38" t="n">
        <v>10</v>
      </c>
      <c r="D11" s="38" t="n">
        <v>7</v>
      </c>
      <c r="E11" s="38" t="n">
        <v>8</v>
      </c>
      <c r="F11" s="38" t="n">
        <v>5</v>
      </c>
      <c r="G11" s="38" t="n">
        <v>9</v>
      </c>
    </row>
    <row r="12"/>
    <row r="13" ht="19.5" customHeight="1" s="23">
      <c r="A13" s="31" t="inlineStr">
        <is>
          <t>STEP 2 — SCORE EACH CAUSE AGAINST EACH CTQ:  9 = strong  ·  6 = moderate  ·  3 = weak  ·  1 = none</t>
        </is>
      </c>
    </row>
    <row r="14" ht="31.5" customHeight="1" s="23">
      <c r="A14" s="39" t="inlineStr">
        <is>
          <t>Candidate cause (x)</t>
        </is>
      </c>
      <c r="B14" s="39" t="inlineStr">
        <is>
          <t>Category</t>
        </is>
      </c>
      <c r="C14" s="39" t="inlineStr">
        <is>
          <t>CTQ 1</t>
        </is>
      </c>
      <c r="D14" s="39" t="inlineStr">
        <is>
          <t>CTQ 2</t>
        </is>
      </c>
      <c r="E14" s="39" t="inlineStr">
        <is>
          <t>CTQ 3</t>
        </is>
      </c>
      <c r="F14" s="39" t="inlineStr">
        <is>
          <t>CTQ 4</t>
        </is>
      </c>
      <c r="G14" s="39" t="inlineStr">
        <is>
          <t>CTQ 5</t>
        </is>
      </c>
      <c r="H14" s="39" t="inlineStr">
        <is>
          <t>Weighted total</t>
        </is>
      </c>
      <c r="I14" s="39" t="inlineStr">
        <is>
          <t>Rank</t>
        </is>
      </c>
      <c r="J14" s="47" t="n"/>
      <c r="K14" s="49" t="inlineStr">
        <is>
          <t>rank</t>
        </is>
      </c>
      <c r="L14" s="47" t="inlineStr">
        <is>
          <t>#</t>
        </is>
      </c>
      <c r="M14" s="47" t="inlineStr">
        <is>
          <t>Candidate cause</t>
        </is>
      </c>
      <c r="N14" s="47" t="inlineStr">
        <is>
          <t>Weighted total</t>
        </is>
      </c>
      <c r="O14" s="47" t="n"/>
    </row>
    <row r="15" ht="15" customHeight="1" s="23">
      <c r="A15" s="45" t="inlineStr">
        <is>
          <t>Ticket closed before the adjustment posts</t>
        </is>
      </c>
      <c r="B15" s="45" t="inlineStr">
        <is>
          <t>Process</t>
        </is>
      </c>
      <c r="C15" s="45" t="n">
        <v>9</v>
      </c>
      <c r="D15" s="45" t="n">
        <v>3</v>
      </c>
      <c r="E15" s="45" t="n">
        <v>6</v>
      </c>
      <c r="F15" s="45" t="n">
        <v>6</v>
      </c>
      <c r="G15" s="45" t="n">
        <v>9</v>
      </c>
      <c r="H15" s="41">
        <f>IF(COUNT(C15:G15)=0,"",SUMPRODUCT(C15:G15,$C$11:$G$11))</f>
        <v/>
      </c>
      <c r="I15" s="42">
        <f>IF(H15="","",RANK(H15,$H$15:$H$35))</f>
        <v/>
      </c>
      <c r="J15" s="48" t="n"/>
      <c r="K15" s="50">
        <f>IF(H15="","",RANK(H15,$H$15:$H$36,0)+COUNTIF($H$15:H15,H15)-1)</f>
        <v/>
      </c>
      <c r="L15" s="51" t="n">
        <v>1</v>
      </c>
      <c r="M15" s="52">
        <f>IFERROR(INDEX($A$15:$A$36,MATCH(L15,$K$15:$K$36,0)),"")</f>
        <v/>
      </c>
      <c r="N15" s="48">
        <f>IFERROR(INDEX($H$15:$H$36,MATCH(L15,$K$15:$K$36,0)),"")</f>
        <v/>
      </c>
      <c r="O15" s="48" t="n"/>
    </row>
    <row r="16" ht="30" customHeight="1" s="23">
      <c r="A16" s="46" t="inlineStr">
        <is>
          <t>Contact reason mis-tagged at triage</t>
        </is>
      </c>
      <c r="B16" s="46" t="inlineStr">
        <is>
          <t>Process</t>
        </is>
      </c>
      <c r="C16" s="46" t="n">
        <v>6</v>
      </c>
      <c r="D16" s="46" t="n">
        <v>9</v>
      </c>
      <c r="E16" s="46" t="n">
        <v>8</v>
      </c>
      <c r="F16" s="46" t="n">
        <v>4</v>
      </c>
      <c r="G16" s="46" t="n">
        <v>6</v>
      </c>
      <c r="H16" s="41">
        <f>IF(COUNT(C16:G16)=0,"",SUMPRODUCT(C16:G16,$C$11:$G$11))</f>
        <v/>
      </c>
      <c r="I16" s="42">
        <f>IF(H16="","",RANK(H16,$H$15:$H$35))</f>
        <v/>
      </c>
      <c r="J16" s="48" t="n"/>
      <c r="K16" s="50">
        <f>IF(H16="","",RANK(H16,$H$15:$H$36,0)+COUNTIF($H$15:H16,H16)-1)</f>
        <v/>
      </c>
      <c r="L16" s="51" t="n">
        <v>2</v>
      </c>
      <c r="M16" s="52">
        <f>IFERROR(INDEX($A$15:$A$36,MATCH(L16,$K$15:$K$36,0)),"")</f>
        <v/>
      </c>
      <c r="N16" s="48">
        <f>IFERROR(INDEX($H$15:$H$36,MATCH(L16,$K$15:$K$36,0)),"")</f>
        <v/>
      </c>
      <c r="O16" s="48" t="n"/>
    </row>
    <row r="17" ht="30" customHeight="1" s="23">
      <c r="A17" s="46" t="inlineStr">
        <is>
          <t>Billing Ops sweep runs once a day</t>
        </is>
      </c>
      <c r="B17" s="46" t="inlineStr">
        <is>
          <t>Method</t>
        </is>
      </c>
      <c r="C17" s="46" t="n">
        <v>8</v>
      </c>
      <c r="D17" s="46" t="n">
        <v>4</v>
      </c>
      <c r="E17" s="46" t="n">
        <v>9</v>
      </c>
      <c r="F17" s="46" t="n">
        <v>7</v>
      </c>
      <c r="G17" s="46" t="n">
        <v>5</v>
      </c>
      <c r="H17" s="41">
        <f>IF(COUNT(C17:G17)=0,"",SUMPRODUCT(C17:G17,$C$11:$G$11))</f>
        <v/>
      </c>
      <c r="I17" s="42">
        <f>IF(H17="","",RANK(H17,$H$15:$H$35))</f>
        <v/>
      </c>
      <c r="J17" s="48" t="n"/>
      <c r="K17" s="50">
        <f>IF(H17="","",RANK(H17,$H$15:$H$36,0)+COUNTIF($H$15:H17,H17)-1)</f>
        <v/>
      </c>
      <c r="L17" s="51" t="n">
        <v>3</v>
      </c>
      <c r="M17" s="52">
        <f>IFERROR(INDEX($A$15:$A$36,MATCH(L17,$K$15:$K$36,0)),"")</f>
        <v/>
      </c>
      <c r="N17" s="48">
        <f>IFERROR(INDEX($H$15:$H$36,MATCH(L17,$K$15:$K$36,0)),"")</f>
        <v/>
      </c>
      <c r="O17" s="48" t="n"/>
    </row>
    <row r="18" ht="30" customHeight="1" s="23">
      <c r="A18" s="46" t="inlineStr">
        <is>
          <t>Evidence requirements not stated to Tier 1</t>
        </is>
      </c>
      <c r="B18" s="46" t="inlineStr">
        <is>
          <t>Method</t>
        </is>
      </c>
      <c r="C18" s="46" t="n">
        <v>5</v>
      </c>
      <c r="D18" s="46" t="n">
        <v>6</v>
      </c>
      <c r="E18" s="46" t="n">
        <v>7</v>
      </c>
      <c r="F18" s="46" t="n">
        <v>3</v>
      </c>
      <c r="G18" s="46" t="n">
        <v>4</v>
      </c>
      <c r="H18" s="41">
        <f>IF(COUNT(C18:G18)=0,"",SUMPRODUCT(C18:G18,$C$11:$G$11))</f>
        <v/>
      </c>
      <c r="I18" s="42">
        <f>IF(H18="","",RANK(H18,$H$15:$H$35))</f>
        <v/>
      </c>
      <c r="J18" s="48" t="n"/>
      <c r="K18" s="50">
        <f>IF(H18="","",RANK(H18,$H$15:$H$36,0)+COUNTIF($H$15:H18,H18)-1)</f>
        <v/>
      </c>
      <c r="L18" s="51" t="n">
        <v>4</v>
      </c>
      <c r="M18" s="52">
        <f>IFERROR(INDEX($A$15:$A$36,MATCH(L18,$K$15:$K$36,0)),"")</f>
        <v/>
      </c>
      <c r="N18" s="48">
        <f>IFERROR(INDEX($H$15:$H$36,MATCH(L18,$K$15:$K$36,0)),"")</f>
        <v/>
      </c>
      <c r="O18" s="48" t="n"/>
    </row>
    <row r="19" ht="30" customHeight="1" s="23">
      <c r="A19" s="46" t="inlineStr">
        <is>
          <t>Nightly batch has no failure alerting</t>
        </is>
      </c>
      <c r="B19" s="46" t="inlineStr">
        <is>
          <t>Machine</t>
        </is>
      </c>
      <c r="C19" s="46" t="n">
        <v>7</v>
      </c>
      <c r="D19" s="46" t="n">
        <v>2</v>
      </c>
      <c r="E19" s="46" t="n">
        <v>8</v>
      </c>
      <c r="F19" s="46" t="n">
        <v>9</v>
      </c>
      <c r="G19" s="46" t="n">
        <v>3</v>
      </c>
      <c r="H19" s="41">
        <f>IF(COUNT(C19:G19)=0,"",SUMPRODUCT(C19:G19,$C$11:$G$11))</f>
        <v/>
      </c>
      <c r="I19" s="42">
        <f>IF(H19="","",RANK(H19,$H$15:$H$35))</f>
        <v/>
      </c>
      <c r="J19" s="48" t="n"/>
      <c r="K19" s="50">
        <f>IF(H19="","",RANK(H19,$H$15:$H$36,0)+COUNTIF($H$15:H19,H19)-1)</f>
        <v/>
      </c>
      <c r="L19" s="51" t="n">
        <v>5</v>
      </c>
      <c r="M19" s="52">
        <f>IFERROR(INDEX($A$15:$A$36,MATCH(L19,$K$15:$K$36,0)),"")</f>
        <v/>
      </c>
      <c r="N19" s="48">
        <f>IFERROR(INDEX($H$15:$H$36,MATCH(L19,$K$15:$K$36,0)),"")</f>
        <v/>
      </c>
      <c r="O19" s="48" t="n"/>
    </row>
    <row r="20" ht="30" customHeight="1" s="23">
      <c r="A20" s="46" t="inlineStr">
        <is>
          <t>New-hire tenure under 90 days</t>
        </is>
      </c>
      <c r="B20" s="46" t="inlineStr">
        <is>
          <t>People</t>
        </is>
      </c>
      <c r="C20" s="46" t="n">
        <v>6</v>
      </c>
      <c r="D20" s="46" t="n">
        <v>7</v>
      </c>
      <c r="E20" s="46" t="n">
        <v>4</v>
      </c>
      <c r="F20" s="46" t="n">
        <v>5</v>
      </c>
      <c r="G20" s="46" t="n">
        <v>8</v>
      </c>
      <c r="H20" s="41">
        <f>IF(COUNT(C20:G20)=0,"",SUMPRODUCT(C20:G20,$C$11:$G$11))</f>
        <v/>
      </c>
      <c r="I20" s="42">
        <f>IF(H20="","",RANK(H20,$H$15:$H$35))</f>
        <v/>
      </c>
      <c r="J20" s="48" t="n"/>
      <c r="K20" s="50">
        <f>IF(H20="","",RANK(H20,$H$15:$H$36,0)+COUNTIF($H$15:H20,H20)-1)</f>
        <v/>
      </c>
      <c r="L20" s="51" t="n">
        <v>6</v>
      </c>
      <c r="M20" s="52">
        <f>IFERROR(INDEX($A$15:$A$36,MATCH(L20,$K$15:$K$36,0)),"")</f>
        <v/>
      </c>
      <c r="N20" s="48">
        <f>IFERROR(INDEX($H$15:$H$36,MATCH(L20,$K$15:$K$36,0)),"")</f>
        <v/>
      </c>
      <c r="O20" s="48" t="n"/>
    </row>
    <row r="21" ht="30" customHeight="1" s="23">
      <c r="A21" s="46" t="inlineStr">
        <is>
          <t>Credit authority not enforced in the tool</t>
        </is>
      </c>
      <c r="B21" s="46" t="inlineStr">
        <is>
          <t>Machine</t>
        </is>
      </c>
      <c r="C21" s="46" t="n">
        <v>3</v>
      </c>
      <c r="D21" s="46" t="n">
        <v>5</v>
      </c>
      <c r="E21" s="46" t="n">
        <v>3</v>
      </c>
      <c r="F21" s="46" t="n">
        <v>8</v>
      </c>
      <c r="G21" s="46" t="n">
        <v>4</v>
      </c>
      <c r="H21" s="41">
        <f>IF(COUNT(C21:G21)=0,"",SUMPRODUCT(C21:G21,$C$11:$G$11))</f>
        <v/>
      </c>
      <c r="I21" s="42">
        <f>IF(H21="","",RANK(H21,$H$15:$H$35))</f>
        <v/>
      </c>
      <c r="J21" s="48" t="n"/>
      <c r="K21" s="50">
        <f>IF(H21="","",RANK(H21,$H$15:$H$36,0)+COUNTIF($H$15:H21,H21)-1)</f>
        <v/>
      </c>
      <c r="L21" s="51" t="n">
        <v>7</v>
      </c>
      <c r="M21" s="52">
        <f>IFERROR(INDEX($A$15:$A$36,MATCH(L21,$K$15:$K$36,0)),"")</f>
        <v/>
      </c>
      <c r="N21" s="48">
        <f>IFERROR(INDEX($H$15:$H$36,MATCH(L21,$K$15:$K$36,0)),"")</f>
        <v/>
      </c>
      <c r="O21" s="48" t="n"/>
    </row>
    <row r="22" ht="30" customHeight="1" s="23">
      <c r="A22" s="46" t="inlineStr">
        <is>
          <t>Auto-close at 96 hours with no reminder</t>
        </is>
      </c>
      <c r="B22" s="46" t="inlineStr">
        <is>
          <t>Process</t>
        </is>
      </c>
      <c r="C22" s="46" t="n">
        <v>8</v>
      </c>
      <c r="D22" s="46" t="n">
        <v>3</v>
      </c>
      <c r="E22" s="46" t="n">
        <v>5</v>
      </c>
      <c r="F22" s="46" t="n">
        <v>6</v>
      </c>
      <c r="G22" s="46" t="n">
        <v>7</v>
      </c>
      <c r="H22" s="41">
        <f>IF(COUNT(C22:G22)=0,"",SUMPRODUCT(C22:G22,$C$11:$G$11))</f>
        <v/>
      </c>
      <c r="I22" s="42">
        <f>IF(H22="","",RANK(H22,$H$15:$H$35))</f>
        <v/>
      </c>
      <c r="J22" s="48" t="n"/>
      <c r="K22" s="50">
        <f>IF(H22="","",RANK(H22,$H$15:$H$36,0)+COUNTIF($H$15:H22,H22)-1)</f>
        <v/>
      </c>
      <c r="L22" s="51" t="n">
        <v>8</v>
      </c>
      <c r="M22" s="52">
        <f>IFERROR(INDEX($A$15:$A$36,MATCH(L22,$K$15:$K$36,0)),"")</f>
        <v/>
      </c>
      <c r="N22" s="48">
        <f>IFERROR(INDEX($H$15:$H$36,MATCH(L22,$K$15:$K$36,0)),"")</f>
        <v/>
      </c>
      <c r="O22" s="48" t="n"/>
    </row>
    <row r="23" ht="30" customHeight="1" s="23">
      <c r="A23" s="43" t="n"/>
      <c r="B23" s="43" t="n"/>
      <c r="C23" s="43" t="n"/>
      <c r="D23" s="43" t="n"/>
      <c r="E23" s="43" t="n"/>
      <c r="F23" s="43" t="n"/>
      <c r="G23" s="43" t="n"/>
      <c r="H23" s="41">
        <f>IF(COUNT(C23:G23)=0,"",SUMPRODUCT(C23:G23,$C$11:$G$11))</f>
        <v/>
      </c>
      <c r="I23" s="42">
        <f>IF(H23="","",RANK(H23,$H$15:$H$35))</f>
        <v/>
      </c>
      <c r="J23" s="48" t="n"/>
      <c r="K23" s="50">
        <f>IF(H23="","",RANK(H23,$H$15:$H$36,0)+COUNTIF($H$15:H23,H23)-1)</f>
        <v/>
      </c>
      <c r="L23" s="51" t="n">
        <v>9</v>
      </c>
      <c r="M23" s="52">
        <f>IFERROR(INDEX($A$15:$A$36,MATCH(L23,$K$15:$K$36,0)),"")</f>
        <v/>
      </c>
      <c r="N23" s="48">
        <f>IFERROR(INDEX($H$15:$H$36,MATCH(L23,$K$15:$K$36,0)),"")</f>
        <v/>
      </c>
      <c r="O23" s="48" t="n"/>
    </row>
    <row r="24" ht="30" customHeight="1" s="23">
      <c r="A24" s="43" t="n"/>
      <c r="B24" s="43" t="n"/>
      <c r="C24" s="43" t="n"/>
      <c r="D24" s="43" t="n"/>
      <c r="E24" s="43" t="n"/>
      <c r="F24" s="43" t="n"/>
      <c r="G24" s="43" t="n"/>
      <c r="H24" s="41">
        <f>IF(COUNT(C24:G24)=0,"",SUMPRODUCT(C24:G24,$C$11:$G$11))</f>
        <v/>
      </c>
      <c r="I24" s="42">
        <f>IF(H24="","",RANK(H24,$H$15:$H$35))</f>
        <v/>
      </c>
      <c r="J24" s="48" t="n"/>
      <c r="K24" s="50">
        <f>IF(H24="","",RANK(H24,$H$15:$H$36,0)+COUNTIF($H$15:H24,H24)-1)</f>
        <v/>
      </c>
      <c r="L24" s="51" t="n">
        <v>10</v>
      </c>
      <c r="M24" s="52">
        <f>IFERROR(INDEX($A$15:$A$36,MATCH(L24,$K$15:$K$36,0)),"")</f>
        <v/>
      </c>
      <c r="N24" s="48">
        <f>IFERROR(INDEX($H$15:$H$36,MATCH(L24,$K$15:$K$36,0)),"")</f>
        <v/>
      </c>
      <c r="O24" s="48" t="n"/>
    </row>
    <row r="25" ht="30" customHeight="1" s="23">
      <c r="A25" s="43" t="n"/>
      <c r="B25" s="43" t="n"/>
      <c r="C25" s="43" t="n"/>
      <c r="D25" s="43" t="n"/>
      <c r="E25" s="43" t="n"/>
      <c r="F25" s="43" t="n"/>
      <c r="G25" s="43" t="n"/>
      <c r="H25" s="41">
        <f>IF(COUNT(C25:G25)=0,"",SUMPRODUCT(C25:G25,$C$11:$G$11))</f>
        <v/>
      </c>
      <c r="I25" s="42">
        <f>IF(H25="","",RANK(H25,$H$15:$H$35))</f>
        <v/>
      </c>
      <c r="J25" s="48" t="n"/>
      <c r="K25" s="50">
        <f>IF(H25="","",RANK(H25,$H$15:$H$36,0)+COUNTIF($H$15:H25,H25)-1)</f>
        <v/>
      </c>
      <c r="L25" s="51" t="n">
        <v>11</v>
      </c>
      <c r="M25" s="52">
        <f>IFERROR(INDEX($A$15:$A$36,MATCH(L25,$K$15:$K$36,0)),"")</f>
        <v/>
      </c>
      <c r="N25" s="48">
        <f>IFERROR(INDEX($H$15:$H$36,MATCH(L25,$K$15:$K$36,0)),"")</f>
        <v/>
      </c>
      <c r="O25" s="48" t="n"/>
    </row>
    <row r="26" ht="30" customHeight="1" s="23">
      <c r="A26" s="43" t="n"/>
      <c r="B26" s="43" t="n"/>
      <c r="C26" s="43" t="n"/>
      <c r="D26" s="43" t="n"/>
      <c r="E26" s="43" t="n"/>
      <c r="F26" s="43" t="n"/>
      <c r="G26" s="43" t="n"/>
      <c r="H26" s="41">
        <f>IF(COUNT(C26:G26)=0,"",SUMPRODUCT(C26:G26,$C$11:$G$11))</f>
        <v/>
      </c>
      <c r="I26" s="42">
        <f>IF(H26="","",RANK(H26,$H$15:$H$35))</f>
        <v/>
      </c>
      <c r="J26" s="48" t="n"/>
      <c r="K26" s="50">
        <f>IF(H26="","",RANK(H26,$H$15:$H$36,0)+COUNTIF($H$15:H26,H26)-1)</f>
        <v/>
      </c>
      <c r="L26" s="51" t="n">
        <v>12</v>
      </c>
      <c r="M26" s="52">
        <f>IFERROR(INDEX($A$15:$A$36,MATCH(L26,$K$15:$K$36,0)),"")</f>
        <v/>
      </c>
      <c r="N26" s="48">
        <f>IFERROR(INDEX($H$15:$H$36,MATCH(L26,$K$15:$K$36,0)),"")</f>
        <v/>
      </c>
      <c r="O26" s="48" t="n"/>
    </row>
    <row r="27" ht="30" customHeight="1" s="23">
      <c r="A27" s="43" t="n"/>
      <c r="B27" s="43" t="n"/>
      <c r="C27" s="43" t="n"/>
      <c r="D27" s="43" t="n"/>
      <c r="E27" s="43" t="n"/>
      <c r="F27" s="43" t="n"/>
      <c r="G27" s="43" t="n"/>
      <c r="H27" s="41">
        <f>IF(COUNT(C27:G27)=0,"",SUMPRODUCT(C27:G27,$C$11:$G$11))</f>
        <v/>
      </c>
      <c r="I27" s="42">
        <f>IF(H27="","",RANK(H27,$H$15:$H$35))</f>
        <v/>
      </c>
      <c r="J27" s="48" t="n"/>
      <c r="K27" s="50">
        <f>IF(H27="","",RANK(H27,$H$15:$H$36,0)+COUNTIF($H$15:H27,H27)-1)</f>
        <v/>
      </c>
      <c r="L27" s="51" t="n">
        <v>13</v>
      </c>
      <c r="M27" s="52">
        <f>IFERROR(INDEX($A$15:$A$36,MATCH(L27,$K$15:$K$36,0)),"")</f>
        <v/>
      </c>
      <c r="N27" s="48">
        <f>IFERROR(INDEX($H$15:$H$36,MATCH(L27,$K$15:$K$36,0)),"")</f>
        <v/>
      </c>
      <c r="O27" s="48" t="n"/>
    </row>
    <row r="28" ht="30" customHeight="1" s="23">
      <c r="A28" s="43" t="n"/>
      <c r="B28" s="43" t="n"/>
      <c r="C28" s="43" t="n"/>
      <c r="D28" s="43" t="n"/>
      <c r="E28" s="43" t="n"/>
      <c r="F28" s="43" t="n"/>
      <c r="G28" s="43" t="n"/>
      <c r="H28" s="41">
        <f>IF(COUNT(C28:G28)=0,"",SUMPRODUCT(C28:G28,$C$11:$G$11))</f>
        <v/>
      </c>
      <c r="I28" s="42">
        <f>IF(H28="","",RANK(H28,$H$15:$H$35))</f>
        <v/>
      </c>
      <c r="J28" s="48" t="n"/>
      <c r="K28" s="50">
        <f>IF(H28="","",RANK(H28,$H$15:$H$36,0)+COUNTIF($H$15:H28,H28)-1)</f>
        <v/>
      </c>
      <c r="L28" s="51" t="n">
        <v>14</v>
      </c>
      <c r="M28" s="52">
        <f>IFERROR(INDEX($A$15:$A$36,MATCH(L28,$K$15:$K$36,0)),"")</f>
        <v/>
      </c>
      <c r="N28" s="48">
        <f>IFERROR(INDEX($H$15:$H$36,MATCH(L28,$K$15:$K$36,0)),"")</f>
        <v/>
      </c>
      <c r="O28" s="48" t="n"/>
    </row>
    <row r="29" ht="30" customHeight="1" s="23">
      <c r="A29" s="43" t="n"/>
      <c r="B29" s="43" t="n"/>
      <c r="C29" s="43" t="n"/>
      <c r="D29" s="43" t="n"/>
      <c r="E29" s="43" t="n"/>
      <c r="F29" s="43" t="n"/>
      <c r="G29" s="43" t="n"/>
      <c r="H29" s="41">
        <f>IF(COUNT(C29:G29)=0,"",SUMPRODUCT(C29:G29,$C$11:$G$11))</f>
        <v/>
      </c>
      <c r="I29" s="42">
        <f>IF(H29="","",RANK(H29,$H$15:$H$35))</f>
        <v/>
      </c>
      <c r="J29" s="48" t="n"/>
      <c r="K29" s="50">
        <f>IF(H29="","",RANK(H29,$H$15:$H$36,0)+COUNTIF($H$15:H29,H29)-1)</f>
        <v/>
      </c>
      <c r="L29" s="51" t="n">
        <v>15</v>
      </c>
      <c r="M29" s="52">
        <f>IFERROR(INDEX($A$15:$A$36,MATCH(L29,$K$15:$K$36,0)),"")</f>
        <v/>
      </c>
      <c r="N29" s="48">
        <f>IFERROR(INDEX($H$15:$H$36,MATCH(L29,$K$15:$K$36,0)),"")</f>
        <v/>
      </c>
      <c r="O29" s="48" t="n"/>
    </row>
    <row r="30" ht="30" customHeight="1" s="23">
      <c r="A30" s="43" t="n"/>
      <c r="B30" s="43" t="n"/>
      <c r="C30" s="43" t="n"/>
      <c r="D30" s="43" t="n"/>
      <c r="E30" s="43" t="n"/>
      <c r="F30" s="43" t="n"/>
      <c r="G30" s="43" t="n"/>
      <c r="H30" s="41">
        <f>IF(COUNT(C30:G30)=0,"",SUMPRODUCT(C30:G30,$C$11:$G$11))</f>
        <v/>
      </c>
      <c r="I30" s="42">
        <f>IF(H30="","",RANK(H30,$H$15:$H$35))</f>
        <v/>
      </c>
      <c r="J30" s="48" t="n"/>
      <c r="K30" s="50">
        <f>IF(H30="","",RANK(H30,$H$15:$H$36,0)+COUNTIF($H$15:H30,H30)-1)</f>
        <v/>
      </c>
      <c r="L30" s="51" t="n">
        <v>16</v>
      </c>
      <c r="M30" s="52">
        <f>IFERROR(INDEX($A$15:$A$36,MATCH(L30,$K$15:$K$36,0)),"")</f>
        <v/>
      </c>
      <c r="N30" s="48">
        <f>IFERROR(INDEX($H$15:$H$36,MATCH(L30,$K$15:$K$36,0)),"")</f>
        <v/>
      </c>
      <c r="O30" s="48" t="n"/>
    </row>
    <row r="31" ht="30" customHeight="1" s="23">
      <c r="A31" s="43" t="n"/>
      <c r="B31" s="43" t="n"/>
      <c r="C31" s="43" t="n"/>
      <c r="D31" s="43" t="n"/>
      <c r="E31" s="43" t="n"/>
      <c r="F31" s="43" t="n"/>
      <c r="G31" s="43" t="n"/>
      <c r="H31" s="41">
        <f>IF(COUNT(C31:G31)=0,"",SUMPRODUCT(C31:G31,$C$11:$G$11))</f>
        <v/>
      </c>
      <c r="I31" s="42">
        <f>IF(H31="","",RANK(H31,$H$15:$H$35))</f>
        <v/>
      </c>
      <c r="J31" s="48" t="n"/>
      <c r="K31" s="50">
        <f>IF(H31="","",RANK(H31,$H$15:$H$36,0)+COUNTIF($H$15:H31,H31)-1)</f>
        <v/>
      </c>
      <c r="L31" s="51" t="n">
        <v>17</v>
      </c>
      <c r="M31" s="52">
        <f>IFERROR(INDEX($A$15:$A$36,MATCH(L31,$K$15:$K$36,0)),"")</f>
        <v/>
      </c>
      <c r="N31" s="48">
        <f>IFERROR(INDEX($H$15:$H$36,MATCH(L31,$K$15:$K$36,0)),"")</f>
        <v/>
      </c>
      <c r="O31" s="48" t="n"/>
    </row>
    <row r="32" ht="30" customHeight="1" s="23">
      <c r="A32" s="43" t="n"/>
      <c r="B32" s="43" t="n"/>
      <c r="C32" s="43" t="n"/>
      <c r="D32" s="43" t="n"/>
      <c r="E32" s="43" t="n"/>
      <c r="F32" s="43" t="n"/>
      <c r="G32" s="43" t="n"/>
      <c r="H32" s="41">
        <f>IF(COUNT(C32:G32)=0,"",SUMPRODUCT(C32:G32,$C$11:$G$11))</f>
        <v/>
      </c>
      <c r="I32" s="42">
        <f>IF(H32="","",RANK(H32,$H$15:$H$35))</f>
        <v/>
      </c>
      <c r="J32" s="48" t="n"/>
      <c r="K32" s="50">
        <f>IF(H32="","",RANK(H32,$H$15:$H$36,0)+COUNTIF($H$15:H32,H32)-1)</f>
        <v/>
      </c>
      <c r="L32" s="51" t="n">
        <v>18</v>
      </c>
      <c r="M32" s="52">
        <f>IFERROR(INDEX($A$15:$A$36,MATCH(L32,$K$15:$K$36,0)),"")</f>
        <v/>
      </c>
      <c r="N32" s="48">
        <f>IFERROR(INDEX($H$15:$H$36,MATCH(L32,$K$15:$K$36,0)),"")</f>
        <v/>
      </c>
      <c r="O32" s="48" t="n"/>
    </row>
    <row r="33" ht="30" customHeight="1" s="23">
      <c r="A33" s="43" t="n"/>
      <c r="B33" s="43" t="n"/>
      <c r="C33" s="43" t="n"/>
      <c r="D33" s="43" t="n"/>
      <c r="E33" s="43" t="n"/>
      <c r="F33" s="43" t="n"/>
      <c r="G33" s="43" t="n"/>
      <c r="H33" s="41">
        <f>IF(COUNT(C33:G33)=0,"",SUMPRODUCT(C33:G33,$C$11:$G$11))</f>
        <v/>
      </c>
      <c r="I33" s="42">
        <f>IF(H33="","",RANK(H33,$H$15:$H$35))</f>
        <v/>
      </c>
      <c r="J33" s="48" t="n"/>
      <c r="K33" s="50">
        <f>IF(H33="","",RANK(H33,$H$15:$H$36,0)+COUNTIF($H$15:H33,H33)-1)</f>
        <v/>
      </c>
      <c r="L33" s="51" t="n">
        <v>19</v>
      </c>
      <c r="M33" s="52">
        <f>IFERROR(INDEX($A$15:$A$36,MATCH(L33,$K$15:$K$36,0)),"")</f>
        <v/>
      </c>
      <c r="N33" s="48">
        <f>IFERROR(INDEX($H$15:$H$36,MATCH(L33,$K$15:$K$36,0)),"")</f>
        <v/>
      </c>
      <c r="O33" s="48" t="n"/>
    </row>
    <row r="34" ht="30" customHeight="1" s="23">
      <c r="A34" s="43" t="n"/>
      <c r="B34" s="43" t="n"/>
      <c r="C34" s="43" t="n"/>
      <c r="D34" s="43" t="n"/>
      <c r="E34" s="43" t="n"/>
      <c r="F34" s="43" t="n"/>
      <c r="G34" s="43" t="n"/>
      <c r="H34" s="41">
        <f>IF(COUNT(C34:G34)=0,"",SUMPRODUCT(C34:G34,$C$11:$G$11))</f>
        <v/>
      </c>
      <c r="I34" s="42">
        <f>IF(H34="","",RANK(H34,$H$15:$H$35))</f>
        <v/>
      </c>
      <c r="J34" s="48" t="n"/>
      <c r="K34" s="50">
        <f>IF(H34="","",RANK(H34,$H$15:$H$36,0)+COUNTIF($H$15:H34,H34)-1)</f>
        <v/>
      </c>
      <c r="L34" s="51" t="n">
        <v>20</v>
      </c>
      <c r="M34" s="52">
        <f>IFERROR(INDEX($A$15:$A$36,MATCH(L34,$K$15:$K$36,0)),"")</f>
        <v/>
      </c>
      <c r="N34" s="48">
        <f>IFERROR(INDEX($H$15:$H$36,MATCH(L34,$K$15:$K$36,0)),"")</f>
        <v/>
      </c>
      <c r="O34" s="48" t="n"/>
    </row>
    <row r="35" ht="30" customHeight="1" s="23">
      <c r="A35" s="43" t="n"/>
      <c r="B35" s="43" t="n"/>
      <c r="C35" s="43" t="n"/>
      <c r="D35" s="43" t="n"/>
      <c r="E35" s="43" t="n"/>
      <c r="F35" s="43" t="n"/>
      <c r="G35" s="43" t="n"/>
      <c r="H35" s="41">
        <f>IF(COUNT(C35:G35)=0,"",SUMPRODUCT(C35:G35,$C$11:$G$11))</f>
        <v/>
      </c>
      <c r="I35" s="42">
        <f>IF(H35="","",RANK(H35,$H$15:$H$35))</f>
        <v/>
      </c>
      <c r="J35" s="48" t="n"/>
      <c r="K35" s="50">
        <f>IF(H35="","",RANK(H35,$H$15:$H$36,0)+COUNTIF($H$15:H35,H35)-1)</f>
        <v/>
      </c>
      <c r="L35" s="51" t="n">
        <v>21</v>
      </c>
      <c r="M35" s="52">
        <f>IFERROR(INDEX($A$15:$A$36,MATCH(L35,$K$15:$K$36,0)),"")</f>
        <v/>
      </c>
      <c r="N35" s="48">
        <f>IFERROR(INDEX($H$15:$H$36,MATCH(L35,$K$15:$K$36,0)),"")</f>
        <v/>
      </c>
      <c r="O35" s="48" t="n"/>
    </row>
    <row r="36">
      <c r="J36" s="48" t="n"/>
      <c r="K36" s="50">
        <f>IF(H36="","",RANK(H36,$H$15:$H$36,0)+COUNTIF($H$15:H36,H36)-1)</f>
        <v/>
      </c>
      <c r="L36" s="51" t="n">
        <v>22</v>
      </c>
      <c r="M36" s="52">
        <f>IFERROR(INDEX($A$15:$A$36,MATCH(L36,$K$15:$K$36,0)),"")</f>
        <v/>
      </c>
      <c r="N36" s="48">
        <f>IFERROR(INDEX($H$15:$H$36,MATCH(L36,$K$15:$K$36,0)),"")</f>
        <v/>
      </c>
      <c r="O36" s="48" t="n"/>
    </row>
    <row r="37" ht="25.5" customHeight="1" s="23">
      <c r="A37" s="44" t="inlineStr">
        <is>
          <t>Take the top 8–10 by weighted total into your hypothesis test log. Everything below that is a hypothesis you have chosen not to test yet — write it down so nobody re-litigates it later.</t>
        </is>
      </c>
    </row>
  </sheetData>
  <mergeCells count="9">
    <mergeCell ref="B7:F7"/>
    <mergeCell ref="A2:I2"/>
    <mergeCell ref="B6:F6"/>
    <mergeCell ref="A37:I37"/>
    <mergeCell ref="A13:I13"/>
    <mergeCell ref="B5:F5"/>
    <mergeCell ref="A1:I1"/>
    <mergeCell ref="A9:I9"/>
    <mergeCell ref="A4:F4"/>
  </mergeCells>
  <conditionalFormatting sqref="H15:H35">
    <cfRule type="colorScale" priority="2">
      <colorScale>
        <cfvo type="min" val="0"/>
        <cfvo type="max" val="0"/>
        <color rgb="FFFFFFFF"/>
        <color rgb="FFF6C77A"/>
      </colorScale>
    </cfRule>
  </conditionalFormatting>
  <dataValidations count="2">
    <dataValidation sqref="C15:G35" showDropDown="0" showInputMessage="0" showErrorMessage="0" allowBlank="1" errorTitle="Use 1, 3, 6 or 9" error="Score the relationship: 9 strong, 6 moderate, 3 weak, 1 none." type="list" errorStyle="stop" operator="between">
      <formula1>"1,3,6,9"</formula1>
      <formula2>0</formula2>
    </dataValidation>
    <dataValidation sqref="B15:B35" showDropDown="0" showInputMessage="0" showErrorMessage="0" allowBlank="1" type="list" errorStyle="stop" operator="between">
      <formula1>"People,Process,Systems,Knowledge,Routing &amp;amp; demand,Product / upstream,Measurement"</formula1>
      <formula2>0</formula2>
    </dataValidation>
  </dataValidations>
  <printOptions horizontalCentered="1" verticalCentered="0" headings="0" gridLines="0" gridLinesSet="1"/>
  <pageMargins left="0.4" right="0.4" top="0.5" bottom="0.5" header="0.511811023622047" footer="0.511811023622047"/>
  <pageSetup orientation="landscape" paperSize="9" scale="100" fitToHeight="0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2026-07-31T15:37:50Z</dcterms:created>
  <dcterms:modified xsi:type="dcterms:W3CDTF">2026-08-01T04:01:06Z</dcterms:modified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hartspec" fmtid="{D5CDD505-2E9C-101B-9397-08002B2CF9AE}" pid="2">
    <vt:lpwstr>058f0e1a527b</vt:lpwstr>
  </property>
</Properties>
</file>