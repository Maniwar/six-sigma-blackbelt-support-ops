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WIP and lea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sz val="11"/>
    </font>
    <font>
      <color rgb="FF1D4ED8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EEF1F6"/>
      </patternFill>
    </fill>
    <fill>
      <patternFill patternType="solid">
        <fgColor rgb="FFFFF9E3"/>
      </patternFill>
    </fill>
    <fill>
      <patternFill patternType="solid">
        <fgColor rgb="FFF2F7FF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2" fillId="0" borderId="0" applyAlignment="1" pivotButton="0" quotePrefix="0" xfId="0">
      <alignment vertical="top" wrapText="1"/>
    </xf>
    <xf numFmtId="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Where you are against what you promised (days)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invertIfNegative val="0"/>
          <dPt>
            <idx val="0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1"/>
            <spPr>
              <a:solidFill>
                <a:srgbClr val="3F8F5A"/>
              </a:solidFill>
              <a:ln>
                <a:prstDash val="solid"/>
              </a:ln>
            </spPr>
          </dPt>
          <cat>
            <numRef>
              <f>'WIP and lead time'!$A$21:$A$22</f>
            </numRef>
          </cat>
          <val>
            <numRef>
              <f>'WIP and lead time'!$B$21:$B$22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15" customHeight="1">
      <c r="B9" s="2" t="inlineStr">
        <is>
          <t>Turning a lead-time promise into a work-in-progress limit you can actually enforce.</t>
        </is>
      </c>
    </row>
    <row r="10">
      <c r="B10" s="1" t="inlineStr">
        <is>
          <t>How to use it</t>
        </is>
      </c>
    </row>
    <row r="11" ht="30" customHeight="1">
      <c r="B11" s="2" t="inlineStr">
        <is>
          <t>Enter your open count, your closing rate and the wait you want to promise. The cap that follows is arithmetic — Little's Law — not an opinion.</t>
        </is>
      </c>
    </row>
    <row r="12">
      <c r="B12" s="1" t="inlineStr">
        <is>
          <t>The part people skip</t>
        </is>
      </c>
    </row>
    <row r="13" ht="30" customHeight="1">
      <c r="B13" s="2" t="inlineStr">
        <is>
          <t>You usually have to clear the excess backlog before the cap can hold. Plan that as a separate push with a start and an end, or the limit gets abandoned in week one.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64" customWidth="1" min="4" max="4"/>
  </cols>
  <sheetData>
    <row r="1" ht="26" customHeight="1">
      <c r="A1" s="3" t="inlineStr">
        <is>
          <t>Kanban sizing — pick a wait, get the WIP limit</t>
        </is>
      </c>
      <c r="B1" s="4" t="n"/>
      <c r="C1" s="4" t="n"/>
      <c r="D1" s="4" t="n"/>
    </row>
    <row r="2">
      <c r="A2" s="5" t="inlineStr">
        <is>
          <t>Little's Law is arithmetic, not a theory. If the closing rate is fixed and you want shorter waits, you must cap the work in progress.</t>
        </is>
      </c>
    </row>
    <row r="3"/>
    <row r="4">
      <c r="A4" s="6" t="inlineStr">
        <is>
          <t>YOUR NUMBERS</t>
        </is>
      </c>
      <c r="B4" s="7" t="n"/>
      <c r="C4" s="7" t="n"/>
      <c r="D4" s="7" t="n"/>
    </row>
    <row r="5">
      <c r="A5" s="8" t="inlineStr">
        <is>
          <t>Open items right now</t>
        </is>
      </c>
      <c r="B5" s="9" t="n">
        <v>4200</v>
      </c>
      <c r="D5" s="10" t="inlineStr">
        <is>
          <t>Live count from your ticketing system, same time of day each time.</t>
        </is>
      </c>
    </row>
    <row r="6">
      <c r="A6" s="8" t="inlineStr">
        <is>
          <t>Items closed per day</t>
        </is>
      </c>
      <c r="B6" s="9" t="n">
        <v>1100</v>
      </c>
      <c r="D6" s="10" t="inlineStr">
        <is>
          <t>Average daily closing rate over a stable period.</t>
        </is>
      </c>
    </row>
    <row r="7">
      <c r="A7" s="8" t="inlineStr">
        <is>
          <t>Lead time you want to promise (days)</t>
        </is>
      </c>
      <c r="B7" s="9" t="n">
        <v>2</v>
      </c>
      <c r="D7" s="10" t="inlineStr">
        <is>
          <t>What you want customers to wait.</t>
        </is>
      </c>
    </row>
    <row r="8">
      <c r="A8" s="8" t="inlineStr">
        <is>
          <t>Agents working this queue</t>
        </is>
      </c>
      <c r="B8" s="9" t="n">
        <v>40</v>
      </c>
      <c r="D8" s="10" t="inlineStr">
        <is>
          <t>Used to turn the queue-level cap into a per-agent limit.</t>
        </is>
      </c>
    </row>
    <row r="9"/>
    <row r="10">
      <c r="A10" s="6" t="inlineStr">
        <is>
          <t>WHAT THAT MEANS</t>
        </is>
      </c>
      <c r="B10" s="7" t="n"/>
      <c r="C10" s="7" t="n"/>
      <c r="D10" s="7" t="n"/>
    </row>
    <row r="11" ht="28" customHeight="1">
      <c r="A11" s="8" t="inlineStr">
        <is>
          <t>Lead time today (days)</t>
        </is>
      </c>
      <c r="B11" s="11">
        <f>IFERROR(B5/B6,"")</f>
        <v/>
      </c>
      <c r="D11" s="10" t="inlineStr">
        <is>
          <t>Backlog ÷ closing rate. Nothing else affects it.</t>
        </is>
      </c>
    </row>
    <row r="12">
      <c r="A12" s="8" t="inlineStr">
        <is>
          <t>Lead time today (hours)</t>
        </is>
      </c>
      <c r="B12" s="11">
        <f>IFERROR(B5/B6*24,"")</f>
        <v/>
      </c>
    </row>
    <row r="13" ht="28" customHeight="1">
      <c r="A13" s="8" t="inlineStr">
        <is>
          <t>Backlog cap to hit your target</t>
        </is>
      </c>
      <c r="B13" s="11">
        <f>IFERROR(B6*B7,"")</f>
        <v/>
      </c>
      <c r="D13" s="10" t="inlineStr">
        <is>
          <t>This is your queue-level WIP limit.</t>
        </is>
      </c>
    </row>
    <row r="14" ht="28" customHeight="1">
      <c r="A14" s="8" t="inlineStr">
        <is>
          <t>Backlog you must remove first</t>
        </is>
      </c>
      <c r="B14" s="11">
        <f>IFERROR(MAX(0,B5-B6*B7),"")</f>
        <v/>
      </c>
      <c r="D14" s="10" t="inlineStr">
        <is>
          <t>Until this is cleared the cap cannot hold.</t>
        </is>
      </c>
    </row>
    <row r="15" ht="28" customHeight="1">
      <c r="A15" s="8" t="inlineStr">
        <is>
          <t>WIP limit per agent</t>
        </is>
      </c>
      <c r="B15" s="11">
        <f>IFERROR(ROUND(B6*B7/B8,0),"")</f>
        <v/>
      </c>
      <c r="D15" s="10" t="inlineStr">
        <is>
          <t>Enforce this in the tool, not in a briefing. A limit nobody can exceed is a control; a limit in a document is a suggestion.</t>
        </is>
      </c>
    </row>
    <row r="16" ht="28" customHeight="1">
      <c r="A16" s="8" t="inlineStr">
        <is>
          <t>Days to clear the excess at current rate</t>
        </is>
      </c>
      <c r="B16" s="11">
        <f>IFERROR(MAX(0,B5-B6*B7)/B6,"")</f>
        <v/>
      </c>
      <c r="D16" s="10" t="inlineStr">
        <is>
          <t>Assumes arrivals stop, which they will not — plan a temporary lift in closing rate instead.</t>
        </is>
      </c>
    </row>
    <row r="17"/>
    <row r="18"/>
    <row r="19">
      <c r="A19" s="5" t="inlineStr">
        <is>
          <t>There is no third option. If you cannot cap the work and cannot raise the closing rate, the wait will not fall — and saying so early is more useful than promising otherwise.</t>
        </is>
      </c>
    </row>
    <row r="20"/>
    <row r="21">
      <c r="A21" s="8" t="inlineStr">
        <is>
          <t>Lead time today</t>
        </is>
      </c>
      <c r="B21" s="11">
        <f>B11</f>
        <v/>
      </c>
    </row>
    <row r="22">
      <c r="A22" s="8" t="inlineStr">
        <is>
          <t>Lead time promised</t>
        </is>
      </c>
      <c r="B22" s="11">
        <f>B7</f>
        <v/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5">
    <mergeCell ref="A1:D1"/>
    <mergeCell ref="A4:D4"/>
    <mergeCell ref="A19:D19"/>
    <mergeCell ref="A2:D2"/>
    <mergeCell ref="A10:D10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2026-08-01T03:14:51Z</dcterms:created>
  <dcterms:modified xsi:type="dcterms:W3CDTF">2026-08-01T03:14:51Z</dcterms:modified>
</cp:coreProperties>
</file>