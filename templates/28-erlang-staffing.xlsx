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 this" sheetId="1" state="visible" r:id="rId1"/>
    <sheet name="Staff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000"/>
  </numFmts>
  <fonts count="9">
    <font>
      <name val="Calibri"/>
      <family val="2"/>
      <color theme="1"/>
      <sz val="11"/>
      <scheme val="minor"/>
    </font>
    <font>
      <b val="1"/>
      <color rgb="FFFFFFFF"/>
      <sz val="15"/>
    </font>
    <font>
      <i val="1"/>
      <color rgb="FF6B7280"/>
      <sz val="9"/>
    </font>
    <font>
      <b val="1"/>
      <sz val="11"/>
    </font>
    <font>
      <color rgb="FF1D4ED8"/>
      <sz val="11"/>
    </font>
    <font>
      <b val="1"/>
      <color rgb="FFB45309"/>
      <sz val="11"/>
    </font>
    <font>
      <b val="1"/>
      <color rgb="FFFFFFFF"/>
      <sz val="10"/>
    </font>
    <font>
      <color rgb="FFFFFFFF"/>
      <sz val="9"/>
    </font>
    <font>
      <sz val="11"/>
    </font>
  </fonts>
  <fills count="7">
    <fill>
      <patternFill/>
    </fill>
    <fill>
      <patternFill patternType="gray125"/>
    </fill>
    <fill>
      <patternFill patternType="solid">
        <fgColor rgb="FF151B24"/>
      </patternFill>
    </fill>
    <fill>
      <patternFill patternType="solid">
        <fgColor rgb="FFEEF1F6"/>
      </patternFill>
    </fill>
    <fill>
      <patternFill patternType="solid">
        <fgColor rgb="FFFFF9E3"/>
      </patternFill>
    </fill>
    <fill>
      <patternFill patternType="solid">
        <fgColor rgb="FFF2F7FF"/>
      </patternFill>
    </fill>
    <fill>
      <patternFill patternType="solid">
        <fgColor rgb="FF333C49"/>
      </patternFill>
    </fill>
  </fills>
  <borders count="2">
    <border>
      <left/>
      <right/>
      <top/>
      <bottom/>
      <diagonal/>
    </border>
    <border>
      <bottom style="thin">
        <color rgb="FFD8DEE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1" fontId="0" fillId="4" borderId="1" pivotButton="0" quotePrefix="0" xfId="0"/>
    <xf numFmtId="0" fontId="2" fillId="0" borderId="0" applyAlignment="1" pivotButton="0" quotePrefix="0" xfId="0">
      <alignment vertical="center" wrapText="1"/>
    </xf>
    <xf numFmtId="9" fontId="0" fillId="4" borderId="1" pivotButton="0" quotePrefix="0" xfId="0"/>
    <xf numFmtId="4" fontId="4" fillId="5" borderId="1" pivotButton="0" quotePrefix="0" xfId="0"/>
    <xf numFmtId="0" fontId="5" fillId="0" borderId="0" pivotButton="0" quotePrefix="0" xfId="0"/>
    <xf numFmtId="1" fontId="4" fillId="5" borderId="1" pivotButton="0" quotePrefix="0" xfId="0"/>
    <xf numFmtId="164" fontId="4" fillId="5" borderId="1" pivotButton="0" quotePrefix="0" xfId="0"/>
    <xf numFmtId="165" fontId="4" fillId="5" borderId="1" pivotButton="0" quotePrefix="0" xfId="0"/>
    <xf numFmtId="0" fontId="6" fillId="6" borderId="0" applyAlignment="1" pivotButton="0" quotePrefix="0" xfId="0">
      <alignment vertical="center" wrapText="1"/>
    </xf>
    <xf numFmtId="166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7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roundedCorners val="0"/>
  <style val="2"/>
  <chart>
    <title>
      <tx>
        <rich>
          <a:bodyPr/>
          <a:p>
            <a:pPr>
              <a:defRPr/>
            </a:pPr>
            <a:r>
              <a:t>Service level against agents — the cliff, and where it flattens</a:t>
            </a:r>
          </a:p>
        </rich>
      </tx>
    </title>
    <plotArea>
      <lineChart>
        <grouping val="standard"/>
        <ser>
          <idx val="0"/>
          <order val="0"/>
          <tx>
            <v>Erlang C (nobody abandons)</v>
          </tx>
          <spPr>
            <a:ln w="28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'Staffing'!$F$52:$F$101</f>
            </numRef>
          </cat>
          <val>
            <numRef>
              <f>'Staffing'!$J$52:$J$101</f>
            </numRef>
          </val>
          <smooth val="0"/>
        </ser>
        <ser>
          <idx val="1"/>
          <order val="1"/>
          <tx>
            <v>Erlang A (callers hang up)</v>
          </tx>
          <spPr>
            <a:ln w="28000">
              <a:solidFill>
                <a:srgbClr val="3F8F5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'Staffing'!$F$52:$F$101</f>
            </numRef>
          </cat>
          <val>
            <numRef>
              <f>'Staffing'!$N$52:$N$101</f>
            </numRef>
          </val>
          <smooth val="0"/>
        </ser>
        <ser>
          <idx val="2"/>
          <order val="2"/>
          <tx>
            <v>Your target service level</v>
          </tx>
          <spPr>
            <a:ln w="16000">
              <a:solidFill>
                <a:srgbClr val="C0392B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'Staffing'!$F$52:$F$101</f>
            </numRef>
          </cat>
          <val>
            <numRef>
              <f>'Staffing'!$Q$52:$Q$101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Service level</a:t>
                </a:r>
              </a:p>
            </rich>
          </tx>
        </title>
        <numFmt formatCode="0.0%" sourceLinked="0"/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18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8" customWidth="1" min="2" max="2"/>
  </cols>
  <sheetData>
    <row r="1"/>
    <row r="2">
      <c r="B2" s="1" t="inlineStr">
        <is>
          <t>Yellow cells</t>
        </is>
      </c>
    </row>
    <row r="3" ht="15" customHeight="1">
      <c r="B3" s="2" t="inlineStr">
        <is>
          <t>You fill these in.</t>
        </is>
      </c>
    </row>
    <row r="4">
      <c r="B4" s="1" t="inlineStr">
        <is>
          <t>Blue cells</t>
        </is>
      </c>
    </row>
    <row r="5" ht="15" customHeight="1">
      <c r="B5" s="2" t="inlineStr">
        <is>
          <t>Calculated for you. Do not type over them — they contain formulas.</t>
        </is>
      </c>
    </row>
    <row r="6">
      <c r="B6" s="1" t="inlineStr">
        <is>
          <t>Green row</t>
        </is>
      </c>
    </row>
    <row r="7" ht="15" customHeight="1">
      <c r="B7" s="2" t="inlineStr">
        <is>
          <t>A worked example so you can see the expected format. Delete it when you start.</t>
        </is>
      </c>
    </row>
    <row r="8">
      <c r="B8" s="1" t="inlineStr">
        <is>
          <t>What this is for</t>
        </is>
      </c>
    </row>
    <row r="9" ht="30" customHeight="1">
      <c r="B9" s="2" t="inlineStr">
        <is>
          <t>Answering “how many agents do we need to hit 80% in 20 seconds?”, which offered load alone cannot tell you.</t>
        </is>
      </c>
    </row>
    <row r="10">
      <c r="B10" s="1" t="inlineStr">
        <is>
          <t>Why the offered load is not the answer</t>
        </is>
      </c>
    </row>
    <row r="11" ht="45" customHeight="1">
      <c r="B11" s="2" t="inlineStr">
        <is>
          <t>Offered load is how many agents would be busy if nobody ever waited. Real arrivals cluster, so a queue forms even when there is spare capacity on average. At 60 Erlangs of load you do not need 60 agents, you need 68 — and those eight are not slack, they are what stops the queue running away.</t>
        </is>
      </c>
    </row>
    <row r="12">
      <c r="B12" s="1" t="inlineStr">
        <is>
          <t>Erlang C against Erlang A</t>
        </is>
      </c>
    </row>
    <row r="13" ht="45" customHeight="1">
      <c r="B13" s="2" t="inlineStr">
        <is>
          <t>Erlang C assumes every caller waits forever. Nobody does. Erlang A credits the callers who abandon and so asks for slightly fewer agents. Plan with C because it is conservative; look at A to see how much of your measured service level is actually people giving up.</t>
        </is>
      </c>
    </row>
    <row r="14">
      <c r="B14" s="1" t="inlineStr">
        <is>
          <t>Where it stops being true</t>
        </is>
      </c>
    </row>
    <row r="15" ht="45" customHeight="1">
      <c r="B15" s="2" t="inlineStr">
        <is>
          <t>Erlang assumes a steady arrival rate, one skill, no concurrency and no callbacks. Staff each interval separately. For chat at three concurrent sessions, divide handle time by a realistic concurrency first — and know that this still understates the tail.</t>
        </is>
      </c>
    </row>
    <row r="16">
      <c r="B16" s="1" t="inlineStr">
        <is>
          <t>The order that matters</t>
        </is>
      </c>
    </row>
    <row r="17" ht="30" customHeight="1">
      <c r="B17" s="2" t="inlineStr">
        <is>
          <t>Shrinkage is applied to the answer, not to the load. Inflating the load by shrinkage and then running Erlang produces a different and wrong number.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printOptions horizontalCentered="1"/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23"/>
  <sheetViews>
    <sheetView showGridLines="0"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3" customWidth="1" min="3" max="3"/>
    <col width="9" customWidth="1" min="4" max="4"/>
    <col width="11" customWidth="1" min="5" max="5"/>
    <col width="8" customWidth="1" min="6" max="6"/>
    <col width="11" customWidth="1" min="7" max="7"/>
    <col width="11" customWidth="1" min="8" max="8"/>
    <col width="3" customWidth="1" min="9" max="9"/>
    <col width="12" customWidth="1" min="10" max="10"/>
    <col width="11" customWidth="1" min="11" max="11"/>
    <col width="11" customWidth="1" min="12" max="12"/>
    <col width="3" customWidth="1" min="13" max="13"/>
    <col width="12" customWidth="1" min="14" max="14"/>
    <col width="3" customWidth="1" min="15" max="15"/>
    <col width="3" customWidth="1" min="16" max="16"/>
    <col width="4" customWidth="1" min="17" max="17"/>
  </cols>
  <sheetData>
    <row r="1" ht="26" customHeight="1">
      <c r="A1" s="3" t="inlineStr">
        <is>
          <t>How many agents? — Erlang C, and Erlang A when people hang up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</row>
    <row r="2">
      <c r="A2" s="5" t="inlineStr">
        <is>
          <t>Offered load alone cannot answer this. Queueing is not linear: the first agent past the load buys a great deal of service level and the tenth buys almost none.</t>
        </is>
      </c>
    </row>
    <row r="3"/>
    <row r="4">
      <c r="A4" s="6" t="inlineStr">
        <is>
          <t>YOUR NUMBERS — one planning interval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</row>
    <row r="5" ht="30" customHeight="1">
      <c r="A5" s="8" t="inlineStr">
        <is>
          <t>Contacts arriving in the interval</t>
        </is>
      </c>
      <c r="B5" s="9" t="n">
        <v>360</v>
      </c>
      <c r="D5" s="10" t="inlineStr">
        <is>
          <t>From your ACD, for the interval you are staffing. Erlang assumes a steady arrival rate, so staff each interval separately — a whole day is never steady.</t>
        </is>
      </c>
    </row>
    <row r="6" ht="15" customHeight="1">
      <c r="A6" s="8" t="inlineStr">
        <is>
          <t>Interval length (minutes)</t>
        </is>
      </c>
      <c r="B6" s="9" t="n">
        <v>30</v>
      </c>
      <c r="D6" s="10" t="inlineStr">
        <is>
          <t>30 minutes is the WFM standard. Below 15 the arrivals are too lumpy for the maths.</t>
        </is>
      </c>
    </row>
    <row r="7" ht="30" customHeight="1">
      <c r="A7" s="8" t="inlineStr">
        <is>
          <t>Average handle time (seconds)</t>
        </is>
      </c>
      <c r="B7" s="9" t="n">
        <v>300</v>
      </c>
      <c r="D7" s="10" t="inlineStr">
        <is>
          <t>Talk + hold + after-call work. Leaving ACW out is the most common staffing error, and it understates the requirement by whatever ACW actually is.</t>
        </is>
      </c>
    </row>
    <row r="8" ht="15" customHeight="1">
      <c r="A8" s="8" t="inlineStr">
        <is>
          <t>Answer target (seconds)</t>
        </is>
      </c>
      <c r="B8" s="9" t="n">
        <v>20</v>
      </c>
      <c r="D8" s="10" t="inlineStr">
        <is>
          <t>The 20 in '80% in 20 seconds'.</t>
        </is>
      </c>
    </row>
    <row r="9" ht="15" customHeight="1">
      <c r="A9" s="8" t="inlineStr">
        <is>
          <t>Target service level</t>
        </is>
      </c>
      <c r="B9" s="11" t="n">
        <v>0.8</v>
      </c>
      <c r="D9" s="10" t="inlineStr">
        <is>
          <t>The 80.</t>
        </is>
      </c>
    </row>
    <row r="10" ht="30" customHeight="1">
      <c r="A10" s="8" t="inlineStr">
        <is>
          <t>Shrinkage</t>
        </is>
      </c>
      <c r="B10" s="11" t="n">
        <v>0.3</v>
      </c>
      <c r="D10" s="10" t="inlineStr">
        <is>
          <t>Everything you pay for that is not on the phone: breaks, training, meetings, coaching, absence. 26-30% is typical. Measure yours rather than borrowing this number.</t>
        </is>
      </c>
    </row>
    <row r="11" ht="30" customHeight="1">
      <c r="A11" s="8" t="inlineStr">
        <is>
          <t>Average patience (seconds)</t>
        </is>
      </c>
      <c r="B11" s="9" t="n">
        <v>90</v>
      </c>
      <c r="D11" s="10" t="inlineStr">
        <is>
          <t>How long a caller waits before hanging up, from your ACD's abandon-time distribution. Only the Erlang A line uses it.</t>
        </is>
      </c>
    </row>
    <row r="12">
      <c r="A12" s="6" t="inlineStr">
        <is>
          <t>WHAT THAT MEANS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 ht="30" customHeight="1">
      <c r="A13" s="8" t="inlineStr">
        <is>
          <t>Offered load (Erlangs)</t>
        </is>
      </c>
      <c r="B13" s="12">
        <f>$B$5*$B$7/($B$6*60)</f>
        <v/>
      </c>
      <c r="D13" s="10" t="inlineStr">
        <is>
          <t>Arrival rate x handle time. The number of agents that would be busy if nobody ever queued. It is the floor, never the answer.</t>
        </is>
      </c>
    </row>
    <row r="14" ht="15" customHeight="1">
      <c r="A14" s="13" t="inlineStr">
        <is>
          <t>AGENTS REQUIRED (Erlang C)</t>
        </is>
      </c>
      <c r="B14" s="14">
        <f>IFERROR(INDEX($F$22:$F$121,MATCH(1,$O$22:$O$121,0)),"raise the range")</f>
        <v/>
      </c>
      <c r="D14" s="10" t="inlineStr">
        <is>
          <t>The smallest number of agents that meets your target.</t>
        </is>
      </c>
    </row>
    <row r="15">
      <c r="A15" s="8" t="inlineStr">
        <is>
          <t>Service level at that staffing</t>
        </is>
      </c>
      <c r="B15" s="15">
        <f>IFERROR(INDEX($J$22:$J$121,MATCH($B$14,$F$22:$F$121,0)),"")</f>
        <v/>
      </c>
    </row>
    <row r="16">
      <c r="A16" s="8" t="inlineStr">
        <is>
          <t>Average speed of answer (seconds)</t>
        </is>
      </c>
      <c r="B16" s="16">
        <f>IFERROR(INDEX($K$22:$K$121,MATCH($B$14,$F$22:$F$121,0)),"")</f>
        <v/>
      </c>
    </row>
    <row r="17" ht="30" customHeight="1">
      <c r="A17" s="8" t="inlineStr">
        <is>
          <t>Occupancy at that staffing</t>
        </is>
      </c>
      <c r="B17" s="15">
        <f>IFERROR(INDEX($L$22:$L$121,MATCH($B$14,$F$22:$F$121,0)),"")</f>
        <v/>
      </c>
      <c r="D17" s="10" t="inlineStr">
        <is>
          <t>Sustained above about 85% and attrition rises while handle time drifts up. If this is high the answer is more agents, not more discipline.</t>
        </is>
      </c>
    </row>
    <row r="18" ht="30" customHeight="1">
      <c r="A18" s="13" t="inlineStr">
        <is>
          <t>PAID FTE (after shrinkage)</t>
        </is>
      </c>
      <c r="B18" s="16">
        <f>IFERROR($B$14/(1-$B$10),"")</f>
        <v/>
      </c>
      <c r="D18" s="10" t="inlineStr">
        <is>
          <t>What you actually roster. Shrinkage is applied to the ANSWER, never to the load — inflating the load first and then running Erlang gives a different and wrong number.</t>
        </is>
      </c>
    </row>
    <row r="19" ht="30" customHeight="1">
      <c r="A19" s="8" t="inlineStr">
        <is>
          <t>Agents if you credit abandonment (Erlang A)</t>
        </is>
      </c>
      <c r="B19" s="14">
        <f>IFERROR(INDEX($F$22:$F$121,MATCH(1,$P$22:$P$121,0)),"")</f>
        <v/>
      </c>
      <c r="D19" s="10" t="inlineStr">
        <is>
          <t>Erlang C assumes nobody ever hangs up, which is false and makes it conservative. Erlang A credits the callers who abandon and usually asks for one or two fewer.</t>
        </is>
      </c>
    </row>
    <row r="20">
      <c r="A20" s="6" t="inlineStr">
        <is>
          <t>THE CURVE — every agent count, so you can see the shape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</row>
    <row r="21">
      <c r="F21" s="17" t="inlineStr">
        <is>
          <t>Agents</t>
        </is>
      </c>
      <c r="G21" s="17" t="inlineStr">
        <is>
          <t>Erlang B</t>
        </is>
      </c>
      <c r="H21" s="17" t="inlineStr">
        <is>
          <t>Erlang C</t>
        </is>
      </c>
      <c r="J21" s="17" t="inlineStr">
        <is>
          <t>Service level</t>
        </is>
      </c>
      <c r="K21" s="17" t="inlineStr">
        <is>
          <t>ASA (s)</t>
        </is>
      </c>
      <c r="L21" s="17" t="inlineStr">
        <is>
          <t>Occupancy</t>
        </is>
      </c>
      <c r="N21" s="17" t="inlineStr">
        <is>
          <t>Erlang A SL</t>
        </is>
      </c>
      <c r="Q21" s="5" t="inlineStr">
        <is>
          <t>target</t>
        </is>
      </c>
    </row>
    <row r="22">
      <c r="F22" s="5" t="n">
        <v>1</v>
      </c>
      <c r="G22" s="18">
        <f>IFERROR($B$13/(1+$B$13),"")</f>
        <v/>
      </c>
      <c r="H22" s="18">
        <f>IFERROR(G22/(1-($B$13/F22)*(1-G22)),"")</f>
        <v/>
      </c>
      <c r="J22" s="19">
        <f>IF(F22&lt;=$B$13,0,IFERROR(1-H22*EXP(-(F22-$B$13)*$B$8/$B$7),""))</f>
        <v/>
      </c>
      <c r="K22" s="20">
        <f>IF(F22&lt;=$B$13,"",IFERROR(H22*$B$7/(F22-$B$13),""))</f>
        <v/>
      </c>
      <c r="L22" s="19">
        <f>IFERROR($B$13/F22,"")</f>
        <v/>
      </c>
      <c r="N22" s="19">
        <f>IF(F22&lt;=$B$13,0,IFERROR(1-H22*EXP(-(F22-$B$13)*$B$8/$B$7)*EXP(-$B$8/$B$11),""))</f>
        <v/>
      </c>
      <c r="O22" s="21">
        <f>IF(J22="","",IF(J22&gt;=$B$9,1,0))</f>
        <v/>
      </c>
      <c r="P22" s="21">
        <f>IF(N22="","",IF(N22&gt;=$B$9,1,0))</f>
        <v/>
      </c>
      <c r="Q22" s="22">
        <f>IF(J22="","",$B$9)</f>
        <v/>
      </c>
    </row>
    <row r="23">
      <c r="F23" s="5" t="n">
        <v>2</v>
      </c>
      <c r="G23" s="18">
        <f>IFERROR($B$13*G22/(F23+$B$13*G22),"")</f>
        <v/>
      </c>
      <c r="H23" s="18">
        <f>IFERROR(G23/(1-($B$13/F23)*(1-G23)),"")</f>
        <v/>
      </c>
      <c r="J23" s="19">
        <f>IF(F23&lt;=$B$13,0,IFERROR(1-H23*EXP(-(F23-$B$13)*$B$8/$B$7),""))</f>
        <v/>
      </c>
      <c r="K23" s="20">
        <f>IF(F23&lt;=$B$13,"",IFERROR(H23*$B$7/(F23-$B$13),""))</f>
        <v/>
      </c>
      <c r="L23" s="19">
        <f>IFERROR($B$13/F23,"")</f>
        <v/>
      </c>
      <c r="N23" s="19">
        <f>IF(F23&lt;=$B$13,0,IFERROR(1-H23*EXP(-(F23-$B$13)*$B$8/$B$7)*EXP(-$B$8/$B$11),""))</f>
        <v/>
      </c>
      <c r="O23" s="21">
        <f>IF(J23="","",IF(J23&gt;=$B$9,1,0))</f>
        <v/>
      </c>
      <c r="P23" s="21">
        <f>IF(N23="","",IF(N23&gt;=$B$9,1,0))</f>
        <v/>
      </c>
      <c r="Q23" s="22">
        <f>IF(J23="","",$B$9)</f>
        <v/>
      </c>
    </row>
    <row r="24">
      <c r="F24" s="5" t="n">
        <v>3</v>
      </c>
      <c r="G24" s="18">
        <f>IFERROR($B$13*G23/(F24+$B$13*G23),"")</f>
        <v/>
      </c>
      <c r="H24" s="18">
        <f>IFERROR(G24/(1-($B$13/F24)*(1-G24)),"")</f>
        <v/>
      </c>
      <c r="J24" s="19">
        <f>IF(F24&lt;=$B$13,0,IFERROR(1-H24*EXP(-(F24-$B$13)*$B$8/$B$7),""))</f>
        <v/>
      </c>
      <c r="K24" s="20">
        <f>IF(F24&lt;=$B$13,"",IFERROR(H24*$B$7/(F24-$B$13),""))</f>
        <v/>
      </c>
      <c r="L24" s="19">
        <f>IFERROR($B$13/F24,"")</f>
        <v/>
      </c>
      <c r="N24" s="19">
        <f>IF(F24&lt;=$B$13,0,IFERROR(1-H24*EXP(-(F24-$B$13)*$B$8/$B$7)*EXP(-$B$8/$B$11),""))</f>
        <v/>
      </c>
      <c r="O24" s="21">
        <f>IF(J24="","",IF(J24&gt;=$B$9,1,0))</f>
        <v/>
      </c>
      <c r="P24" s="21">
        <f>IF(N24="","",IF(N24&gt;=$B$9,1,0))</f>
        <v/>
      </c>
      <c r="Q24" s="22">
        <f>IF(J24="","",$B$9)</f>
        <v/>
      </c>
    </row>
    <row r="25">
      <c r="F25" s="5" t="n">
        <v>4</v>
      </c>
      <c r="G25" s="18">
        <f>IFERROR($B$13*G24/(F25+$B$13*G24),"")</f>
        <v/>
      </c>
      <c r="H25" s="18">
        <f>IFERROR(G25/(1-($B$13/F25)*(1-G25)),"")</f>
        <v/>
      </c>
      <c r="J25" s="19">
        <f>IF(F25&lt;=$B$13,0,IFERROR(1-H25*EXP(-(F25-$B$13)*$B$8/$B$7),""))</f>
        <v/>
      </c>
      <c r="K25" s="20">
        <f>IF(F25&lt;=$B$13,"",IFERROR(H25*$B$7/(F25-$B$13),""))</f>
        <v/>
      </c>
      <c r="L25" s="19">
        <f>IFERROR($B$13/F25,"")</f>
        <v/>
      </c>
      <c r="N25" s="19">
        <f>IF(F25&lt;=$B$13,0,IFERROR(1-H25*EXP(-(F25-$B$13)*$B$8/$B$7)*EXP(-$B$8/$B$11),""))</f>
        <v/>
      </c>
      <c r="O25" s="21">
        <f>IF(J25="","",IF(J25&gt;=$B$9,1,0))</f>
        <v/>
      </c>
      <c r="P25" s="21">
        <f>IF(N25="","",IF(N25&gt;=$B$9,1,0))</f>
        <v/>
      </c>
      <c r="Q25" s="22">
        <f>IF(J25="","",$B$9)</f>
        <v/>
      </c>
    </row>
    <row r="26">
      <c r="F26" s="5" t="n">
        <v>5</v>
      </c>
      <c r="G26" s="18">
        <f>IFERROR($B$13*G25/(F26+$B$13*G25),"")</f>
        <v/>
      </c>
      <c r="H26" s="18">
        <f>IFERROR(G26/(1-($B$13/F26)*(1-G26)),"")</f>
        <v/>
      </c>
      <c r="J26" s="19">
        <f>IF(F26&lt;=$B$13,0,IFERROR(1-H26*EXP(-(F26-$B$13)*$B$8/$B$7),""))</f>
        <v/>
      </c>
      <c r="K26" s="20">
        <f>IF(F26&lt;=$B$13,"",IFERROR(H26*$B$7/(F26-$B$13),""))</f>
        <v/>
      </c>
      <c r="L26" s="19">
        <f>IFERROR($B$13/F26,"")</f>
        <v/>
      </c>
      <c r="N26" s="19">
        <f>IF(F26&lt;=$B$13,0,IFERROR(1-H26*EXP(-(F26-$B$13)*$B$8/$B$7)*EXP(-$B$8/$B$11),""))</f>
        <v/>
      </c>
      <c r="O26" s="21">
        <f>IF(J26="","",IF(J26&gt;=$B$9,1,0))</f>
        <v/>
      </c>
      <c r="P26" s="21">
        <f>IF(N26="","",IF(N26&gt;=$B$9,1,0))</f>
        <v/>
      </c>
      <c r="Q26" s="22">
        <f>IF(J26="","",$B$9)</f>
        <v/>
      </c>
    </row>
    <row r="27">
      <c r="F27" s="5" t="n">
        <v>6</v>
      </c>
      <c r="G27" s="18">
        <f>IFERROR($B$13*G26/(F27+$B$13*G26),"")</f>
        <v/>
      </c>
      <c r="H27" s="18">
        <f>IFERROR(G27/(1-($B$13/F27)*(1-G27)),"")</f>
        <v/>
      </c>
      <c r="J27" s="19">
        <f>IF(F27&lt;=$B$13,0,IFERROR(1-H27*EXP(-(F27-$B$13)*$B$8/$B$7),""))</f>
        <v/>
      </c>
      <c r="K27" s="20">
        <f>IF(F27&lt;=$B$13,"",IFERROR(H27*$B$7/(F27-$B$13),""))</f>
        <v/>
      </c>
      <c r="L27" s="19">
        <f>IFERROR($B$13/F27,"")</f>
        <v/>
      </c>
      <c r="N27" s="19">
        <f>IF(F27&lt;=$B$13,0,IFERROR(1-H27*EXP(-(F27-$B$13)*$B$8/$B$7)*EXP(-$B$8/$B$11),""))</f>
        <v/>
      </c>
      <c r="O27" s="21">
        <f>IF(J27="","",IF(J27&gt;=$B$9,1,0))</f>
        <v/>
      </c>
      <c r="P27" s="21">
        <f>IF(N27="","",IF(N27&gt;=$B$9,1,0))</f>
        <v/>
      </c>
      <c r="Q27" s="22">
        <f>IF(J27="","",$B$9)</f>
        <v/>
      </c>
    </row>
    <row r="28">
      <c r="F28" s="5" t="n">
        <v>7</v>
      </c>
      <c r="G28" s="18">
        <f>IFERROR($B$13*G27/(F28+$B$13*G27),"")</f>
        <v/>
      </c>
      <c r="H28" s="18">
        <f>IFERROR(G28/(1-($B$13/F28)*(1-G28)),"")</f>
        <v/>
      </c>
      <c r="J28" s="19">
        <f>IF(F28&lt;=$B$13,0,IFERROR(1-H28*EXP(-(F28-$B$13)*$B$8/$B$7),""))</f>
        <v/>
      </c>
      <c r="K28" s="20">
        <f>IF(F28&lt;=$B$13,"",IFERROR(H28*$B$7/(F28-$B$13),""))</f>
        <v/>
      </c>
      <c r="L28" s="19">
        <f>IFERROR($B$13/F28,"")</f>
        <v/>
      </c>
      <c r="N28" s="19">
        <f>IF(F28&lt;=$B$13,0,IFERROR(1-H28*EXP(-(F28-$B$13)*$B$8/$B$7)*EXP(-$B$8/$B$11),""))</f>
        <v/>
      </c>
      <c r="O28" s="21">
        <f>IF(J28="","",IF(J28&gt;=$B$9,1,0))</f>
        <v/>
      </c>
      <c r="P28" s="21">
        <f>IF(N28="","",IF(N28&gt;=$B$9,1,0))</f>
        <v/>
      </c>
      <c r="Q28" s="22">
        <f>IF(J28="","",$B$9)</f>
        <v/>
      </c>
    </row>
    <row r="29">
      <c r="F29" s="5" t="n">
        <v>8</v>
      </c>
      <c r="G29" s="18">
        <f>IFERROR($B$13*G28/(F29+$B$13*G28),"")</f>
        <v/>
      </c>
      <c r="H29" s="18">
        <f>IFERROR(G29/(1-($B$13/F29)*(1-G29)),"")</f>
        <v/>
      </c>
      <c r="J29" s="19">
        <f>IF(F29&lt;=$B$13,0,IFERROR(1-H29*EXP(-(F29-$B$13)*$B$8/$B$7),""))</f>
        <v/>
      </c>
      <c r="K29" s="20">
        <f>IF(F29&lt;=$B$13,"",IFERROR(H29*$B$7/(F29-$B$13),""))</f>
        <v/>
      </c>
      <c r="L29" s="19">
        <f>IFERROR($B$13/F29,"")</f>
        <v/>
      </c>
      <c r="N29" s="19">
        <f>IF(F29&lt;=$B$13,0,IFERROR(1-H29*EXP(-(F29-$B$13)*$B$8/$B$7)*EXP(-$B$8/$B$11),""))</f>
        <v/>
      </c>
      <c r="O29" s="21">
        <f>IF(J29="","",IF(J29&gt;=$B$9,1,0))</f>
        <v/>
      </c>
      <c r="P29" s="21">
        <f>IF(N29="","",IF(N29&gt;=$B$9,1,0))</f>
        <v/>
      </c>
      <c r="Q29" s="22">
        <f>IF(J29="","",$B$9)</f>
        <v/>
      </c>
    </row>
    <row r="30">
      <c r="F30" s="5" t="n">
        <v>9</v>
      </c>
      <c r="G30" s="18">
        <f>IFERROR($B$13*G29/(F30+$B$13*G29),"")</f>
        <v/>
      </c>
      <c r="H30" s="18">
        <f>IFERROR(G30/(1-($B$13/F30)*(1-G30)),"")</f>
        <v/>
      </c>
      <c r="J30" s="19">
        <f>IF(F30&lt;=$B$13,0,IFERROR(1-H30*EXP(-(F30-$B$13)*$B$8/$B$7),""))</f>
        <v/>
      </c>
      <c r="K30" s="20">
        <f>IF(F30&lt;=$B$13,"",IFERROR(H30*$B$7/(F30-$B$13),""))</f>
        <v/>
      </c>
      <c r="L30" s="19">
        <f>IFERROR($B$13/F30,"")</f>
        <v/>
      </c>
      <c r="N30" s="19">
        <f>IF(F30&lt;=$B$13,0,IFERROR(1-H30*EXP(-(F30-$B$13)*$B$8/$B$7)*EXP(-$B$8/$B$11),""))</f>
        <v/>
      </c>
      <c r="O30" s="21">
        <f>IF(J30="","",IF(J30&gt;=$B$9,1,0))</f>
        <v/>
      </c>
      <c r="P30" s="21">
        <f>IF(N30="","",IF(N30&gt;=$B$9,1,0))</f>
        <v/>
      </c>
      <c r="Q30" s="22">
        <f>IF(J30="","",$B$9)</f>
        <v/>
      </c>
    </row>
    <row r="31">
      <c r="F31" s="5" t="n">
        <v>10</v>
      </c>
      <c r="G31" s="18">
        <f>IFERROR($B$13*G30/(F31+$B$13*G30),"")</f>
        <v/>
      </c>
      <c r="H31" s="18">
        <f>IFERROR(G31/(1-($B$13/F31)*(1-G31)),"")</f>
        <v/>
      </c>
      <c r="J31" s="19">
        <f>IF(F31&lt;=$B$13,0,IFERROR(1-H31*EXP(-(F31-$B$13)*$B$8/$B$7),""))</f>
        <v/>
      </c>
      <c r="K31" s="20">
        <f>IF(F31&lt;=$B$13,"",IFERROR(H31*$B$7/(F31-$B$13),""))</f>
        <v/>
      </c>
      <c r="L31" s="19">
        <f>IFERROR($B$13/F31,"")</f>
        <v/>
      </c>
      <c r="N31" s="19">
        <f>IF(F31&lt;=$B$13,0,IFERROR(1-H31*EXP(-(F31-$B$13)*$B$8/$B$7)*EXP(-$B$8/$B$11),""))</f>
        <v/>
      </c>
      <c r="O31" s="21">
        <f>IF(J31="","",IF(J31&gt;=$B$9,1,0))</f>
        <v/>
      </c>
      <c r="P31" s="21">
        <f>IF(N31="","",IF(N31&gt;=$B$9,1,0))</f>
        <v/>
      </c>
      <c r="Q31" s="22">
        <f>IF(J31="","",$B$9)</f>
        <v/>
      </c>
    </row>
    <row r="32">
      <c r="F32" s="5" t="n">
        <v>11</v>
      </c>
      <c r="G32" s="18">
        <f>IFERROR($B$13*G31/(F32+$B$13*G31),"")</f>
        <v/>
      </c>
      <c r="H32" s="18">
        <f>IFERROR(G32/(1-($B$13/F32)*(1-G32)),"")</f>
        <v/>
      </c>
      <c r="J32" s="19">
        <f>IF(F32&lt;=$B$13,0,IFERROR(1-H32*EXP(-(F32-$B$13)*$B$8/$B$7),""))</f>
        <v/>
      </c>
      <c r="K32" s="20">
        <f>IF(F32&lt;=$B$13,"",IFERROR(H32*$B$7/(F32-$B$13),""))</f>
        <v/>
      </c>
      <c r="L32" s="19">
        <f>IFERROR($B$13/F32,"")</f>
        <v/>
      </c>
      <c r="N32" s="19">
        <f>IF(F32&lt;=$B$13,0,IFERROR(1-H32*EXP(-(F32-$B$13)*$B$8/$B$7)*EXP(-$B$8/$B$11),""))</f>
        <v/>
      </c>
      <c r="O32" s="21">
        <f>IF(J32="","",IF(J32&gt;=$B$9,1,0))</f>
        <v/>
      </c>
      <c r="P32" s="21">
        <f>IF(N32="","",IF(N32&gt;=$B$9,1,0))</f>
        <v/>
      </c>
      <c r="Q32" s="22">
        <f>IF(J32="","",$B$9)</f>
        <v/>
      </c>
    </row>
    <row r="33">
      <c r="F33" s="5" t="n">
        <v>12</v>
      </c>
      <c r="G33" s="18">
        <f>IFERROR($B$13*G32/(F33+$B$13*G32),"")</f>
        <v/>
      </c>
      <c r="H33" s="18">
        <f>IFERROR(G33/(1-($B$13/F33)*(1-G33)),"")</f>
        <v/>
      </c>
      <c r="J33" s="19">
        <f>IF(F33&lt;=$B$13,0,IFERROR(1-H33*EXP(-(F33-$B$13)*$B$8/$B$7),""))</f>
        <v/>
      </c>
      <c r="K33" s="20">
        <f>IF(F33&lt;=$B$13,"",IFERROR(H33*$B$7/(F33-$B$13),""))</f>
        <v/>
      </c>
      <c r="L33" s="19">
        <f>IFERROR($B$13/F33,"")</f>
        <v/>
      </c>
      <c r="N33" s="19">
        <f>IF(F33&lt;=$B$13,0,IFERROR(1-H33*EXP(-(F33-$B$13)*$B$8/$B$7)*EXP(-$B$8/$B$11),""))</f>
        <v/>
      </c>
      <c r="O33" s="21">
        <f>IF(J33="","",IF(J33&gt;=$B$9,1,0))</f>
        <v/>
      </c>
      <c r="P33" s="21">
        <f>IF(N33="","",IF(N33&gt;=$B$9,1,0))</f>
        <v/>
      </c>
      <c r="Q33" s="22">
        <f>IF(J33="","",$B$9)</f>
        <v/>
      </c>
    </row>
    <row r="34">
      <c r="F34" s="5" t="n">
        <v>13</v>
      </c>
      <c r="G34" s="18">
        <f>IFERROR($B$13*G33/(F34+$B$13*G33),"")</f>
        <v/>
      </c>
      <c r="H34" s="18">
        <f>IFERROR(G34/(1-($B$13/F34)*(1-G34)),"")</f>
        <v/>
      </c>
      <c r="J34" s="19">
        <f>IF(F34&lt;=$B$13,0,IFERROR(1-H34*EXP(-(F34-$B$13)*$B$8/$B$7),""))</f>
        <v/>
      </c>
      <c r="K34" s="20">
        <f>IF(F34&lt;=$B$13,"",IFERROR(H34*$B$7/(F34-$B$13),""))</f>
        <v/>
      </c>
      <c r="L34" s="19">
        <f>IFERROR($B$13/F34,"")</f>
        <v/>
      </c>
      <c r="N34" s="19">
        <f>IF(F34&lt;=$B$13,0,IFERROR(1-H34*EXP(-(F34-$B$13)*$B$8/$B$7)*EXP(-$B$8/$B$11),""))</f>
        <v/>
      </c>
      <c r="O34" s="21">
        <f>IF(J34="","",IF(J34&gt;=$B$9,1,0))</f>
        <v/>
      </c>
      <c r="P34" s="21">
        <f>IF(N34="","",IF(N34&gt;=$B$9,1,0))</f>
        <v/>
      </c>
      <c r="Q34" s="22">
        <f>IF(J34="","",$B$9)</f>
        <v/>
      </c>
    </row>
    <row r="35">
      <c r="F35" s="5" t="n">
        <v>14</v>
      </c>
      <c r="G35" s="18">
        <f>IFERROR($B$13*G34/(F35+$B$13*G34),"")</f>
        <v/>
      </c>
      <c r="H35" s="18">
        <f>IFERROR(G35/(1-($B$13/F35)*(1-G35)),"")</f>
        <v/>
      </c>
      <c r="J35" s="19">
        <f>IF(F35&lt;=$B$13,0,IFERROR(1-H35*EXP(-(F35-$B$13)*$B$8/$B$7),""))</f>
        <v/>
      </c>
      <c r="K35" s="20">
        <f>IF(F35&lt;=$B$13,"",IFERROR(H35*$B$7/(F35-$B$13),""))</f>
        <v/>
      </c>
      <c r="L35" s="19">
        <f>IFERROR($B$13/F35,"")</f>
        <v/>
      </c>
      <c r="N35" s="19">
        <f>IF(F35&lt;=$B$13,0,IFERROR(1-H35*EXP(-(F35-$B$13)*$B$8/$B$7)*EXP(-$B$8/$B$11),""))</f>
        <v/>
      </c>
      <c r="O35" s="21">
        <f>IF(J35="","",IF(J35&gt;=$B$9,1,0))</f>
        <v/>
      </c>
      <c r="P35" s="21">
        <f>IF(N35="","",IF(N35&gt;=$B$9,1,0))</f>
        <v/>
      </c>
      <c r="Q35" s="22">
        <f>IF(J35="","",$B$9)</f>
        <v/>
      </c>
    </row>
    <row r="36">
      <c r="F36" s="5" t="n">
        <v>15</v>
      </c>
      <c r="G36" s="18">
        <f>IFERROR($B$13*G35/(F36+$B$13*G35),"")</f>
        <v/>
      </c>
      <c r="H36" s="18">
        <f>IFERROR(G36/(1-($B$13/F36)*(1-G36)),"")</f>
        <v/>
      </c>
      <c r="J36" s="19">
        <f>IF(F36&lt;=$B$13,0,IFERROR(1-H36*EXP(-(F36-$B$13)*$B$8/$B$7),""))</f>
        <v/>
      </c>
      <c r="K36" s="20">
        <f>IF(F36&lt;=$B$13,"",IFERROR(H36*$B$7/(F36-$B$13),""))</f>
        <v/>
      </c>
      <c r="L36" s="19">
        <f>IFERROR($B$13/F36,"")</f>
        <v/>
      </c>
      <c r="N36" s="19">
        <f>IF(F36&lt;=$B$13,0,IFERROR(1-H36*EXP(-(F36-$B$13)*$B$8/$B$7)*EXP(-$B$8/$B$11),""))</f>
        <v/>
      </c>
      <c r="O36" s="21">
        <f>IF(J36="","",IF(J36&gt;=$B$9,1,0))</f>
        <v/>
      </c>
      <c r="P36" s="21">
        <f>IF(N36="","",IF(N36&gt;=$B$9,1,0))</f>
        <v/>
      </c>
      <c r="Q36" s="22">
        <f>IF(J36="","",$B$9)</f>
        <v/>
      </c>
    </row>
    <row r="37">
      <c r="F37" s="5" t="n">
        <v>16</v>
      </c>
      <c r="G37" s="18">
        <f>IFERROR($B$13*G36/(F37+$B$13*G36),"")</f>
        <v/>
      </c>
      <c r="H37" s="18">
        <f>IFERROR(G37/(1-($B$13/F37)*(1-G37)),"")</f>
        <v/>
      </c>
      <c r="J37" s="19">
        <f>IF(F37&lt;=$B$13,0,IFERROR(1-H37*EXP(-(F37-$B$13)*$B$8/$B$7),""))</f>
        <v/>
      </c>
      <c r="K37" s="20">
        <f>IF(F37&lt;=$B$13,"",IFERROR(H37*$B$7/(F37-$B$13),""))</f>
        <v/>
      </c>
      <c r="L37" s="19">
        <f>IFERROR($B$13/F37,"")</f>
        <v/>
      </c>
      <c r="N37" s="19">
        <f>IF(F37&lt;=$B$13,0,IFERROR(1-H37*EXP(-(F37-$B$13)*$B$8/$B$7)*EXP(-$B$8/$B$11),""))</f>
        <v/>
      </c>
      <c r="O37" s="21">
        <f>IF(J37="","",IF(J37&gt;=$B$9,1,0))</f>
        <v/>
      </c>
      <c r="P37" s="21">
        <f>IF(N37="","",IF(N37&gt;=$B$9,1,0))</f>
        <v/>
      </c>
      <c r="Q37" s="22">
        <f>IF(J37="","",$B$9)</f>
        <v/>
      </c>
    </row>
    <row r="38">
      <c r="F38" s="5" t="n">
        <v>17</v>
      </c>
      <c r="G38" s="18">
        <f>IFERROR($B$13*G37/(F38+$B$13*G37),"")</f>
        <v/>
      </c>
      <c r="H38" s="18">
        <f>IFERROR(G38/(1-($B$13/F38)*(1-G38)),"")</f>
        <v/>
      </c>
      <c r="J38" s="19">
        <f>IF(F38&lt;=$B$13,0,IFERROR(1-H38*EXP(-(F38-$B$13)*$B$8/$B$7),""))</f>
        <v/>
      </c>
      <c r="K38" s="20">
        <f>IF(F38&lt;=$B$13,"",IFERROR(H38*$B$7/(F38-$B$13),""))</f>
        <v/>
      </c>
      <c r="L38" s="19">
        <f>IFERROR($B$13/F38,"")</f>
        <v/>
      </c>
      <c r="N38" s="19">
        <f>IF(F38&lt;=$B$13,0,IFERROR(1-H38*EXP(-(F38-$B$13)*$B$8/$B$7)*EXP(-$B$8/$B$11),""))</f>
        <v/>
      </c>
      <c r="O38" s="21">
        <f>IF(J38="","",IF(J38&gt;=$B$9,1,0))</f>
        <v/>
      </c>
      <c r="P38" s="21">
        <f>IF(N38="","",IF(N38&gt;=$B$9,1,0))</f>
        <v/>
      </c>
      <c r="Q38" s="22">
        <f>IF(J38="","",$B$9)</f>
        <v/>
      </c>
    </row>
    <row r="39">
      <c r="F39" s="5" t="n">
        <v>18</v>
      </c>
      <c r="G39" s="18">
        <f>IFERROR($B$13*G38/(F39+$B$13*G38),"")</f>
        <v/>
      </c>
      <c r="H39" s="18">
        <f>IFERROR(G39/(1-($B$13/F39)*(1-G39)),"")</f>
        <v/>
      </c>
      <c r="J39" s="19">
        <f>IF(F39&lt;=$B$13,0,IFERROR(1-H39*EXP(-(F39-$B$13)*$B$8/$B$7),""))</f>
        <v/>
      </c>
      <c r="K39" s="20">
        <f>IF(F39&lt;=$B$13,"",IFERROR(H39*$B$7/(F39-$B$13),""))</f>
        <v/>
      </c>
      <c r="L39" s="19">
        <f>IFERROR($B$13/F39,"")</f>
        <v/>
      </c>
      <c r="N39" s="19">
        <f>IF(F39&lt;=$B$13,0,IFERROR(1-H39*EXP(-(F39-$B$13)*$B$8/$B$7)*EXP(-$B$8/$B$11),""))</f>
        <v/>
      </c>
      <c r="O39" s="21">
        <f>IF(J39="","",IF(J39&gt;=$B$9,1,0))</f>
        <v/>
      </c>
      <c r="P39" s="21">
        <f>IF(N39="","",IF(N39&gt;=$B$9,1,0))</f>
        <v/>
      </c>
      <c r="Q39" s="22">
        <f>IF(J39="","",$B$9)</f>
        <v/>
      </c>
    </row>
    <row r="40">
      <c r="F40" s="5" t="n">
        <v>19</v>
      </c>
      <c r="G40" s="18">
        <f>IFERROR($B$13*G39/(F40+$B$13*G39),"")</f>
        <v/>
      </c>
      <c r="H40" s="18">
        <f>IFERROR(G40/(1-($B$13/F40)*(1-G40)),"")</f>
        <v/>
      </c>
      <c r="J40" s="19">
        <f>IF(F40&lt;=$B$13,0,IFERROR(1-H40*EXP(-(F40-$B$13)*$B$8/$B$7),""))</f>
        <v/>
      </c>
      <c r="K40" s="20">
        <f>IF(F40&lt;=$B$13,"",IFERROR(H40*$B$7/(F40-$B$13),""))</f>
        <v/>
      </c>
      <c r="L40" s="19">
        <f>IFERROR($B$13/F40,"")</f>
        <v/>
      </c>
      <c r="N40" s="19">
        <f>IF(F40&lt;=$B$13,0,IFERROR(1-H40*EXP(-(F40-$B$13)*$B$8/$B$7)*EXP(-$B$8/$B$11),""))</f>
        <v/>
      </c>
      <c r="O40" s="21">
        <f>IF(J40="","",IF(J40&gt;=$B$9,1,0))</f>
        <v/>
      </c>
      <c r="P40" s="21">
        <f>IF(N40="","",IF(N40&gt;=$B$9,1,0))</f>
        <v/>
      </c>
      <c r="Q40" s="22">
        <f>IF(J40="","",$B$9)</f>
        <v/>
      </c>
    </row>
    <row r="41">
      <c r="F41" s="5" t="n">
        <v>20</v>
      </c>
      <c r="G41" s="18">
        <f>IFERROR($B$13*G40/(F41+$B$13*G40),"")</f>
        <v/>
      </c>
      <c r="H41" s="18">
        <f>IFERROR(G41/(1-($B$13/F41)*(1-G41)),"")</f>
        <v/>
      </c>
      <c r="J41" s="19">
        <f>IF(F41&lt;=$B$13,0,IFERROR(1-H41*EXP(-(F41-$B$13)*$B$8/$B$7),""))</f>
        <v/>
      </c>
      <c r="K41" s="20">
        <f>IF(F41&lt;=$B$13,"",IFERROR(H41*$B$7/(F41-$B$13),""))</f>
        <v/>
      </c>
      <c r="L41" s="19">
        <f>IFERROR($B$13/F41,"")</f>
        <v/>
      </c>
      <c r="N41" s="19">
        <f>IF(F41&lt;=$B$13,0,IFERROR(1-H41*EXP(-(F41-$B$13)*$B$8/$B$7)*EXP(-$B$8/$B$11),""))</f>
        <v/>
      </c>
      <c r="O41" s="21">
        <f>IF(J41="","",IF(J41&gt;=$B$9,1,0))</f>
        <v/>
      </c>
      <c r="P41" s="21">
        <f>IF(N41="","",IF(N41&gt;=$B$9,1,0))</f>
        <v/>
      </c>
      <c r="Q41" s="22">
        <f>IF(J41="","",$B$9)</f>
        <v/>
      </c>
    </row>
    <row r="42">
      <c r="F42" s="5" t="n">
        <v>21</v>
      </c>
      <c r="G42" s="18">
        <f>IFERROR($B$13*G41/(F42+$B$13*G41),"")</f>
        <v/>
      </c>
      <c r="H42" s="18">
        <f>IFERROR(G42/(1-($B$13/F42)*(1-G42)),"")</f>
        <v/>
      </c>
      <c r="J42" s="19">
        <f>IF(F42&lt;=$B$13,0,IFERROR(1-H42*EXP(-(F42-$B$13)*$B$8/$B$7),""))</f>
        <v/>
      </c>
      <c r="K42" s="20">
        <f>IF(F42&lt;=$B$13,"",IFERROR(H42*$B$7/(F42-$B$13),""))</f>
        <v/>
      </c>
      <c r="L42" s="19">
        <f>IFERROR($B$13/F42,"")</f>
        <v/>
      </c>
      <c r="N42" s="19">
        <f>IF(F42&lt;=$B$13,0,IFERROR(1-H42*EXP(-(F42-$B$13)*$B$8/$B$7)*EXP(-$B$8/$B$11),""))</f>
        <v/>
      </c>
      <c r="O42" s="21">
        <f>IF(J42="","",IF(J42&gt;=$B$9,1,0))</f>
        <v/>
      </c>
      <c r="P42" s="21">
        <f>IF(N42="","",IF(N42&gt;=$B$9,1,0))</f>
        <v/>
      </c>
      <c r="Q42" s="22">
        <f>IF(J42="","",$B$9)</f>
        <v/>
      </c>
    </row>
    <row r="43">
      <c r="F43" s="5" t="n">
        <v>22</v>
      </c>
      <c r="G43" s="18">
        <f>IFERROR($B$13*G42/(F43+$B$13*G42),"")</f>
        <v/>
      </c>
      <c r="H43" s="18">
        <f>IFERROR(G43/(1-($B$13/F43)*(1-G43)),"")</f>
        <v/>
      </c>
      <c r="J43" s="19">
        <f>IF(F43&lt;=$B$13,0,IFERROR(1-H43*EXP(-(F43-$B$13)*$B$8/$B$7),""))</f>
        <v/>
      </c>
      <c r="K43" s="20">
        <f>IF(F43&lt;=$B$13,"",IFERROR(H43*$B$7/(F43-$B$13),""))</f>
        <v/>
      </c>
      <c r="L43" s="19">
        <f>IFERROR($B$13/F43,"")</f>
        <v/>
      </c>
      <c r="N43" s="19">
        <f>IF(F43&lt;=$B$13,0,IFERROR(1-H43*EXP(-(F43-$B$13)*$B$8/$B$7)*EXP(-$B$8/$B$11),""))</f>
        <v/>
      </c>
      <c r="O43" s="21">
        <f>IF(J43="","",IF(J43&gt;=$B$9,1,0))</f>
        <v/>
      </c>
      <c r="P43" s="21">
        <f>IF(N43="","",IF(N43&gt;=$B$9,1,0))</f>
        <v/>
      </c>
      <c r="Q43" s="22">
        <f>IF(J43="","",$B$9)</f>
        <v/>
      </c>
    </row>
    <row r="44">
      <c r="F44" s="5" t="n">
        <v>23</v>
      </c>
      <c r="G44" s="18">
        <f>IFERROR($B$13*G43/(F44+$B$13*G43),"")</f>
        <v/>
      </c>
      <c r="H44" s="18">
        <f>IFERROR(G44/(1-($B$13/F44)*(1-G44)),"")</f>
        <v/>
      </c>
      <c r="J44" s="19">
        <f>IF(F44&lt;=$B$13,0,IFERROR(1-H44*EXP(-(F44-$B$13)*$B$8/$B$7),""))</f>
        <v/>
      </c>
      <c r="K44" s="20">
        <f>IF(F44&lt;=$B$13,"",IFERROR(H44*$B$7/(F44-$B$13),""))</f>
        <v/>
      </c>
      <c r="L44" s="19">
        <f>IFERROR($B$13/F44,"")</f>
        <v/>
      </c>
      <c r="N44" s="19">
        <f>IF(F44&lt;=$B$13,0,IFERROR(1-H44*EXP(-(F44-$B$13)*$B$8/$B$7)*EXP(-$B$8/$B$11),""))</f>
        <v/>
      </c>
      <c r="O44" s="21">
        <f>IF(J44="","",IF(J44&gt;=$B$9,1,0))</f>
        <v/>
      </c>
      <c r="P44" s="21">
        <f>IF(N44="","",IF(N44&gt;=$B$9,1,0))</f>
        <v/>
      </c>
      <c r="Q44" s="22">
        <f>IF(J44="","",$B$9)</f>
        <v/>
      </c>
    </row>
    <row r="45">
      <c r="F45" s="5" t="n">
        <v>24</v>
      </c>
      <c r="G45" s="18">
        <f>IFERROR($B$13*G44/(F45+$B$13*G44),"")</f>
        <v/>
      </c>
      <c r="H45" s="18">
        <f>IFERROR(G45/(1-($B$13/F45)*(1-G45)),"")</f>
        <v/>
      </c>
      <c r="J45" s="19">
        <f>IF(F45&lt;=$B$13,0,IFERROR(1-H45*EXP(-(F45-$B$13)*$B$8/$B$7),""))</f>
        <v/>
      </c>
      <c r="K45" s="20">
        <f>IF(F45&lt;=$B$13,"",IFERROR(H45*$B$7/(F45-$B$13),""))</f>
        <v/>
      </c>
      <c r="L45" s="19">
        <f>IFERROR($B$13/F45,"")</f>
        <v/>
      </c>
      <c r="N45" s="19">
        <f>IF(F45&lt;=$B$13,0,IFERROR(1-H45*EXP(-(F45-$B$13)*$B$8/$B$7)*EXP(-$B$8/$B$11),""))</f>
        <v/>
      </c>
      <c r="O45" s="21">
        <f>IF(J45="","",IF(J45&gt;=$B$9,1,0))</f>
        <v/>
      </c>
      <c r="P45" s="21">
        <f>IF(N45="","",IF(N45&gt;=$B$9,1,0))</f>
        <v/>
      </c>
      <c r="Q45" s="22">
        <f>IF(J45="","",$B$9)</f>
        <v/>
      </c>
    </row>
    <row r="46">
      <c r="F46" s="5" t="n">
        <v>25</v>
      </c>
      <c r="G46" s="18">
        <f>IFERROR($B$13*G45/(F46+$B$13*G45),"")</f>
        <v/>
      </c>
      <c r="H46" s="18">
        <f>IFERROR(G46/(1-($B$13/F46)*(1-G46)),"")</f>
        <v/>
      </c>
      <c r="J46" s="19">
        <f>IF(F46&lt;=$B$13,0,IFERROR(1-H46*EXP(-(F46-$B$13)*$B$8/$B$7),""))</f>
        <v/>
      </c>
      <c r="K46" s="20">
        <f>IF(F46&lt;=$B$13,"",IFERROR(H46*$B$7/(F46-$B$13),""))</f>
        <v/>
      </c>
      <c r="L46" s="19">
        <f>IFERROR($B$13/F46,"")</f>
        <v/>
      </c>
      <c r="N46" s="19">
        <f>IF(F46&lt;=$B$13,0,IFERROR(1-H46*EXP(-(F46-$B$13)*$B$8/$B$7)*EXP(-$B$8/$B$11),""))</f>
        <v/>
      </c>
      <c r="O46" s="21">
        <f>IF(J46="","",IF(J46&gt;=$B$9,1,0))</f>
        <v/>
      </c>
      <c r="P46" s="21">
        <f>IF(N46="","",IF(N46&gt;=$B$9,1,0))</f>
        <v/>
      </c>
      <c r="Q46" s="22">
        <f>IF(J46="","",$B$9)</f>
        <v/>
      </c>
    </row>
    <row r="47">
      <c r="F47" s="5" t="n">
        <v>26</v>
      </c>
      <c r="G47" s="18">
        <f>IFERROR($B$13*G46/(F47+$B$13*G46),"")</f>
        <v/>
      </c>
      <c r="H47" s="18">
        <f>IFERROR(G47/(1-($B$13/F47)*(1-G47)),"")</f>
        <v/>
      </c>
      <c r="J47" s="19">
        <f>IF(F47&lt;=$B$13,0,IFERROR(1-H47*EXP(-(F47-$B$13)*$B$8/$B$7),""))</f>
        <v/>
      </c>
      <c r="K47" s="20">
        <f>IF(F47&lt;=$B$13,"",IFERROR(H47*$B$7/(F47-$B$13),""))</f>
        <v/>
      </c>
      <c r="L47" s="19">
        <f>IFERROR($B$13/F47,"")</f>
        <v/>
      </c>
      <c r="N47" s="19">
        <f>IF(F47&lt;=$B$13,0,IFERROR(1-H47*EXP(-(F47-$B$13)*$B$8/$B$7)*EXP(-$B$8/$B$11),""))</f>
        <v/>
      </c>
      <c r="O47" s="21">
        <f>IF(J47="","",IF(J47&gt;=$B$9,1,0))</f>
        <v/>
      </c>
      <c r="P47" s="21">
        <f>IF(N47="","",IF(N47&gt;=$B$9,1,0))</f>
        <v/>
      </c>
      <c r="Q47" s="22">
        <f>IF(J47="","",$B$9)</f>
        <v/>
      </c>
    </row>
    <row r="48">
      <c r="F48" s="5" t="n">
        <v>27</v>
      </c>
      <c r="G48" s="18">
        <f>IFERROR($B$13*G47/(F48+$B$13*G47),"")</f>
        <v/>
      </c>
      <c r="H48" s="18">
        <f>IFERROR(G48/(1-($B$13/F48)*(1-G48)),"")</f>
        <v/>
      </c>
      <c r="J48" s="19">
        <f>IF(F48&lt;=$B$13,0,IFERROR(1-H48*EXP(-(F48-$B$13)*$B$8/$B$7),""))</f>
        <v/>
      </c>
      <c r="K48" s="20">
        <f>IF(F48&lt;=$B$13,"",IFERROR(H48*$B$7/(F48-$B$13),""))</f>
        <v/>
      </c>
      <c r="L48" s="19">
        <f>IFERROR($B$13/F48,"")</f>
        <v/>
      </c>
      <c r="N48" s="19">
        <f>IF(F48&lt;=$B$13,0,IFERROR(1-H48*EXP(-(F48-$B$13)*$B$8/$B$7)*EXP(-$B$8/$B$11),""))</f>
        <v/>
      </c>
      <c r="O48" s="21">
        <f>IF(J48="","",IF(J48&gt;=$B$9,1,0))</f>
        <v/>
      </c>
      <c r="P48" s="21">
        <f>IF(N48="","",IF(N48&gt;=$B$9,1,0))</f>
        <v/>
      </c>
      <c r="Q48" s="22">
        <f>IF(J48="","",$B$9)</f>
        <v/>
      </c>
    </row>
    <row r="49">
      <c r="F49" s="5" t="n">
        <v>28</v>
      </c>
      <c r="G49" s="18">
        <f>IFERROR($B$13*G48/(F49+$B$13*G48),"")</f>
        <v/>
      </c>
      <c r="H49" s="18">
        <f>IFERROR(G49/(1-($B$13/F49)*(1-G49)),"")</f>
        <v/>
      </c>
      <c r="J49" s="19">
        <f>IF(F49&lt;=$B$13,0,IFERROR(1-H49*EXP(-(F49-$B$13)*$B$8/$B$7),""))</f>
        <v/>
      </c>
      <c r="K49" s="20">
        <f>IF(F49&lt;=$B$13,"",IFERROR(H49*$B$7/(F49-$B$13),""))</f>
        <v/>
      </c>
      <c r="L49" s="19">
        <f>IFERROR($B$13/F49,"")</f>
        <v/>
      </c>
      <c r="N49" s="19">
        <f>IF(F49&lt;=$B$13,0,IFERROR(1-H49*EXP(-(F49-$B$13)*$B$8/$B$7)*EXP(-$B$8/$B$11),""))</f>
        <v/>
      </c>
      <c r="O49" s="21">
        <f>IF(J49="","",IF(J49&gt;=$B$9,1,0))</f>
        <v/>
      </c>
      <c r="P49" s="21">
        <f>IF(N49="","",IF(N49&gt;=$B$9,1,0))</f>
        <v/>
      </c>
      <c r="Q49" s="22">
        <f>IF(J49="","",$B$9)</f>
        <v/>
      </c>
    </row>
    <row r="50">
      <c r="F50" s="5" t="n">
        <v>29</v>
      </c>
      <c r="G50" s="18">
        <f>IFERROR($B$13*G49/(F50+$B$13*G49),"")</f>
        <v/>
      </c>
      <c r="H50" s="18">
        <f>IFERROR(G50/(1-($B$13/F50)*(1-G50)),"")</f>
        <v/>
      </c>
      <c r="J50" s="19">
        <f>IF(F50&lt;=$B$13,0,IFERROR(1-H50*EXP(-(F50-$B$13)*$B$8/$B$7),""))</f>
        <v/>
      </c>
      <c r="K50" s="20">
        <f>IF(F50&lt;=$B$13,"",IFERROR(H50*$B$7/(F50-$B$13),""))</f>
        <v/>
      </c>
      <c r="L50" s="19">
        <f>IFERROR($B$13/F50,"")</f>
        <v/>
      </c>
      <c r="N50" s="19">
        <f>IF(F50&lt;=$B$13,0,IFERROR(1-H50*EXP(-(F50-$B$13)*$B$8/$B$7)*EXP(-$B$8/$B$11),""))</f>
        <v/>
      </c>
      <c r="O50" s="21">
        <f>IF(J50="","",IF(J50&gt;=$B$9,1,0))</f>
        <v/>
      </c>
      <c r="P50" s="21">
        <f>IF(N50="","",IF(N50&gt;=$B$9,1,0))</f>
        <v/>
      </c>
      <c r="Q50" s="22">
        <f>IF(J50="","",$B$9)</f>
        <v/>
      </c>
    </row>
    <row r="51">
      <c r="F51" s="5" t="n">
        <v>30</v>
      </c>
      <c r="G51" s="18">
        <f>IFERROR($B$13*G50/(F51+$B$13*G50),"")</f>
        <v/>
      </c>
      <c r="H51" s="18">
        <f>IFERROR(G51/(1-($B$13/F51)*(1-G51)),"")</f>
        <v/>
      </c>
      <c r="J51" s="19">
        <f>IF(F51&lt;=$B$13,0,IFERROR(1-H51*EXP(-(F51-$B$13)*$B$8/$B$7),""))</f>
        <v/>
      </c>
      <c r="K51" s="20">
        <f>IF(F51&lt;=$B$13,"",IFERROR(H51*$B$7/(F51-$B$13),""))</f>
        <v/>
      </c>
      <c r="L51" s="19">
        <f>IFERROR($B$13/F51,"")</f>
        <v/>
      </c>
      <c r="N51" s="19">
        <f>IF(F51&lt;=$B$13,0,IFERROR(1-H51*EXP(-(F51-$B$13)*$B$8/$B$7)*EXP(-$B$8/$B$11),""))</f>
        <v/>
      </c>
      <c r="O51" s="21">
        <f>IF(J51="","",IF(J51&gt;=$B$9,1,0))</f>
        <v/>
      </c>
      <c r="P51" s="21">
        <f>IF(N51="","",IF(N51&gt;=$B$9,1,0))</f>
        <v/>
      </c>
      <c r="Q51" s="22">
        <f>IF(J51="","",$B$9)</f>
        <v/>
      </c>
    </row>
    <row r="52">
      <c r="F52" s="5" t="n">
        <v>31</v>
      </c>
      <c r="G52" s="18">
        <f>IFERROR($B$13*G51/(F52+$B$13*G51),"")</f>
        <v/>
      </c>
      <c r="H52" s="18">
        <f>IFERROR(G52/(1-($B$13/F52)*(1-G52)),"")</f>
        <v/>
      </c>
      <c r="J52" s="19">
        <f>IF(F52&lt;=$B$13,0,IFERROR(1-H52*EXP(-(F52-$B$13)*$B$8/$B$7),""))</f>
        <v/>
      </c>
      <c r="K52" s="20">
        <f>IF(F52&lt;=$B$13,"",IFERROR(H52*$B$7/(F52-$B$13),""))</f>
        <v/>
      </c>
      <c r="L52" s="19">
        <f>IFERROR($B$13/F52,"")</f>
        <v/>
      </c>
      <c r="N52" s="19">
        <f>IF(F52&lt;=$B$13,0,IFERROR(1-H52*EXP(-(F52-$B$13)*$B$8/$B$7)*EXP(-$B$8/$B$11),""))</f>
        <v/>
      </c>
      <c r="O52" s="21">
        <f>IF(J52="","",IF(J52&gt;=$B$9,1,0))</f>
        <v/>
      </c>
      <c r="P52" s="21">
        <f>IF(N52="","",IF(N52&gt;=$B$9,1,0))</f>
        <v/>
      </c>
      <c r="Q52" s="22">
        <f>IF(J52="","",$B$9)</f>
        <v/>
      </c>
    </row>
    <row r="53">
      <c r="F53" s="5" t="n">
        <v>32</v>
      </c>
      <c r="G53" s="18">
        <f>IFERROR($B$13*G52/(F53+$B$13*G52),"")</f>
        <v/>
      </c>
      <c r="H53" s="18">
        <f>IFERROR(G53/(1-($B$13/F53)*(1-G53)),"")</f>
        <v/>
      </c>
      <c r="J53" s="19">
        <f>IF(F53&lt;=$B$13,0,IFERROR(1-H53*EXP(-(F53-$B$13)*$B$8/$B$7),""))</f>
        <v/>
      </c>
      <c r="K53" s="20">
        <f>IF(F53&lt;=$B$13,"",IFERROR(H53*$B$7/(F53-$B$13),""))</f>
        <v/>
      </c>
      <c r="L53" s="19">
        <f>IFERROR($B$13/F53,"")</f>
        <v/>
      </c>
      <c r="N53" s="19">
        <f>IF(F53&lt;=$B$13,0,IFERROR(1-H53*EXP(-(F53-$B$13)*$B$8/$B$7)*EXP(-$B$8/$B$11),""))</f>
        <v/>
      </c>
      <c r="O53" s="21">
        <f>IF(J53="","",IF(J53&gt;=$B$9,1,0))</f>
        <v/>
      </c>
      <c r="P53" s="21">
        <f>IF(N53="","",IF(N53&gt;=$B$9,1,0))</f>
        <v/>
      </c>
      <c r="Q53" s="22">
        <f>IF(J53="","",$B$9)</f>
        <v/>
      </c>
    </row>
    <row r="54">
      <c r="F54" s="5" t="n">
        <v>33</v>
      </c>
      <c r="G54" s="18">
        <f>IFERROR($B$13*G53/(F54+$B$13*G53),"")</f>
        <v/>
      </c>
      <c r="H54" s="18">
        <f>IFERROR(G54/(1-($B$13/F54)*(1-G54)),"")</f>
        <v/>
      </c>
      <c r="J54" s="19">
        <f>IF(F54&lt;=$B$13,0,IFERROR(1-H54*EXP(-(F54-$B$13)*$B$8/$B$7),""))</f>
        <v/>
      </c>
      <c r="K54" s="20">
        <f>IF(F54&lt;=$B$13,"",IFERROR(H54*$B$7/(F54-$B$13),""))</f>
        <v/>
      </c>
      <c r="L54" s="19">
        <f>IFERROR($B$13/F54,"")</f>
        <v/>
      </c>
      <c r="N54" s="19">
        <f>IF(F54&lt;=$B$13,0,IFERROR(1-H54*EXP(-(F54-$B$13)*$B$8/$B$7)*EXP(-$B$8/$B$11),""))</f>
        <v/>
      </c>
      <c r="O54" s="21">
        <f>IF(J54="","",IF(J54&gt;=$B$9,1,0))</f>
        <v/>
      </c>
      <c r="P54" s="21">
        <f>IF(N54="","",IF(N54&gt;=$B$9,1,0))</f>
        <v/>
      </c>
      <c r="Q54" s="22">
        <f>IF(J54="","",$B$9)</f>
        <v/>
      </c>
    </row>
    <row r="55">
      <c r="F55" s="5" t="n">
        <v>34</v>
      </c>
      <c r="G55" s="18">
        <f>IFERROR($B$13*G54/(F55+$B$13*G54),"")</f>
        <v/>
      </c>
      <c r="H55" s="18">
        <f>IFERROR(G55/(1-($B$13/F55)*(1-G55)),"")</f>
        <v/>
      </c>
      <c r="J55" s="19">
        <f>IF(F55&lt;=$B$13,0,IFERROR(1-H55*EXP(-(F55-$B$13)*$B$8/$B$7),""))</f>
        <v/>
      </c>
      <c r="K55" s="20">
        <f>IF(F55&lt;=$B$13,"",IFERROR(H55*$B$7/(F55-$B$13),""))</f>
        <v/>
      </c>
      <c r="L55" s="19">
        <f>IFERROR($B$13/F55,"")</f>
        <v/>
      </c>
      <c r="N55" s="19">
        <f>IF(F55&lt;=$B$13,0,IFERROR(1-H55*EXP(-(F55-$B$13)*$B$8/$B$7)*EXP(-$B$8/$B$11),""))</f>
        <v/>
      </c>
      <c r="O55" s="21">
        <f>IF(J55="","",IF(J55&gt;=$B$9,1,0))</f>
        <v/>
      </c>
      <c r="P55" s="21">
        <f>IF(N55="","",IF(N55&gt;=$B$9,1,0))</f>
        <v/>
      </c>
      <c r="Q55" s="22">
        <f>IF(J55="","",$B$9)</f>
        <v/>
      </c>
    </row>
    <row r="56">
      <c r="F56" s="5" t="n">
        <v>35</v>
      </c>
      <c r="G56" s="18">
        <f>IFERROR($B$13*G55/(F56+$B$13*G55),"")</f>
        <v/>
      </c>
      <c r="H56" s="18">
        <f>IFERROR(G56/(1-($B$13/F56)*(1-G56)),"")</f>
        <v/>
      </c>
      <c r="J56" s="19">
        <f>IF(F56&lt;=$B$13,0,IFERROR(1-H56*EXP(-(F56-$B$13)*$B$8/$B$7),""))</f>
        <v/>
      </c>
      <c r="K56" s="20">
        <f>IF(F56&lt;=$B$13,"",IFERROR(H56*$B$7/(F56-$B$13),""))</f>
        <v/>
      </c>
      <c r="L56" s="19">
        <f>IFERROR($B$13/F56,"")</f>
        <v/>
      </c>
      <c r="N56" s="19">
        <f>IF(F56&lt;=$B$13,0,IFERROR(1-H56*EXP(-(F56-$B$13)*$B$8/$B$7)*EXP(-$B$8/$B$11),""))</f>
        <v/>
      </c>
      <c r="O56" s="21">
        <f>IF(J56="","",IF(J56&gt;=$B$9,1,0))</f>
        <v/>
      </c>
      <c r="P56" s="21">
        <f>IF(N56="","",IF(N56&gt;=$B$9,1,0))</f>
        <v/>
      </c>
      <c r="Q56" s="22">
        <f>IF(J56="","",$B$9)</f>
        <v/>
      </c>
    </row>
    <row r="57">
      <c r="F57" s="5" t="n">
        <v>36</v>
      </c>
      <c r="G57" s="18">
        <f>IFERROR($B$13*G56/(F57+$B$13*G56),"")</f>
        <v/>
      </c>
      <c r="H57" s="18">
        <f>IFERROR(G57/(1-($B$13/F57)*(1-G57)),"")</f>
        <v/>
      </c>
      <c r="J57" s="19">
        <f>IF(F57&lt;=$B$13,0,IFERROR(1-H57*EXP(-(F57-$B$13)*$B$8/$B$7),""))</f>
        <v/>
      </c>
      <c r="K57" s="20">
        <f>IF(F57&lt;=$B$13,"",IFERROR(H57*$B$7/(F57-$B$13),""))</f>
        <v/>
      </c>
      <c r="L57" s="19">
        <f>IFERROR($B$13/F57,"")</f>
        <v/>
      </c>
      <c r="N57" s="19">
        <f>IF(F57&lt;=$B$13,0,IFERROR(1-H57*EXP(-(F57-$B$13)*$B$8/$B$7)*EXP(-$B$8/$B$11),""))</f>
        <v/>
      </c>
      <c r="O57" s="21">
        <f>IF(J57="","",IF(J57&gt;=$B$9,1,0))</f>
        <v/>
      </c>
      <c r="P57" s="21">
        <f>IF(N57="","",IF(N57&gt;=$B$9,1,0))</f>
        <v/>
      </c>
      <c r="Q57" s="22">
        <f>IF(J57="","",$B$9)</f>
        <v/>
      </c>
    </row>
    <row r="58">
      <c r="F58" s="5" t="n">
        <v>37</v>
      </c>
      <c r="G58" s="18">
        <f>IFERROR($B$13*G57/(F58+$B$13*G57),"")</f>
        <v/>
      </c>
      <c r="H58" s="18">
        <f>IFERROR(G58/(1-($B$13/F58)*(1-G58)),"")</f>
        <v/>
      </c>
      <c r="J58" s="19">
        <f>IF(F58&lt;=$B$13,0,IFERROR(1-H58*EXP(-(F58-$B$13)*$B$8/$B$7),""))</f>
        <v/>
      </c>
      <c r="K58" s="20">
        <f>IF(F58&lt;=$B$13,"",IFERROR(H58*$B$7/(F58-$B$13),""))</f>
        <v/>
      </c>
      <c r="L58" s="19">
        <f>IFERROR($B$13/F58,"")</f>
        <v/>
      </c>
      <c r="N58" s="19">
        <f>IF(F58&lt;=$B$13,0,IFERROR(1-H58*EXP(-(F58-$B$13)*$B$8/$B$7)*EXP(-$B$8/$B$11),""))</f>
        <v/>
      </c>
      <c r="O58" s="21">
        <f>IF(J58="","",IF(J58&gt;=$B$9,1,0))</f>
        <v/>
      </c>
      <c r="P58" s="21">
        <f>IF(N58="","",IF(N58&gt;=$B$9,1,0))</f>
        <v/>
      </c>
      <c r="Q58" s="22">
        <f>IF(J58="","",$B$9)</f>
        <v/>
      </c>
    </row>
    <row r="59">
      <c r="F59" s="5" t="n">
        <v>38</v>
      </c>
      <c r="G59" s="18">
        <f>IFERROR($B$13*G58/(F59+$B$13*G58),"")</f>
        <v/>
      </c>
      <c r="H59" s="18">
        <f>IFERROR(G59/(1-($B$13/F59)*(1-G59)),"")</f>
        <v/>
      </c>
      <c r="J59" s="19">
        <f>IF(F59&lt;=$B$13,0,IFERROR(1-H59*EXP(-(F59-$B$13)*$B$8/$B$7),""))</f>
        <v/>
      </c>
      <c r="K59" s="20">
        <f>IF(F59&lt;=$B$13,"",IFERROR(H59*$B$7/(F59-$B$13),""))</f>
        <v/>
      </c>
      <c r="L59" s="19">
        <f>IFERROR($B$13/F59,"")</f>
        <v/>
      </c>
      <c r="N59" s="19">
        <f>IF(F59&lt;=$B$13,0,IFERROR(1-H59*EXP(-(F59-$B$13)*$B$8/$B$7)*EXP(-$B$8/$B$11),""))</f>
        <v/>
      </c>
      <c r="O59" s="21">
        <f>IF(J59="","",IF(J59&gt;=$B$9,1,0))</f>
        <v/>
      </c>
      <c r="P59" s="21">
        <f>IF(N59="","",IF(N59&gt;=$B$9,1,0))</f>
        <v/>
      </c>
      <c r="Q59" s="22">
        <f>IF(J59="","",$B$9)</f>
        <v/>
      </c>
    </row>
    <row r="60">
      <c r="F60" s="5" t="n">
        <v>39</v>
      </c>
      <c r="G60" s="18">
        <f>IFERROR($B$13*G59/(F60+$B$13*G59),"")</f>
        <v/>
      </c>
      <c r="H60" s="18">
        <f>IFERROR(G60/(1-($B$13/F60)*(1-G60)),"")</f>
        <v/>
      </c>
      <c r="J60" s="19">
        <f>IF(F60&lt;=$B$13,0,IFERROR(1-H60*EXP(-(F60-$B$13)*$B$8/$B$7),""))</f>
        <v/>
      </c>
      <c r="K60" s="20">
        <f>IF(F60&lt;=$B$13,"",IFERROR(H60*$B$7/(F60-$B$13),""))</f>
        <v/>
      </c>
      <c r="L60" s="19">
        <f>IFERROR($B$13/F60,"")</f>
        <v/>
      </c>
      <c r="N60" s="19">
        <f>IF(F60&lt;=$B$13,0,IFERROR(1-H60*EXP(-(F60-$B$13)*$B$8/$B$7)*EXP(-$B$8/$B$11),""))</f>
        <v/>
      </c>
      <c r="O60" s="21">
        <f>IF(J60="","",IF(J60&gt;=$B$9,1,0))</f>
        <v/>
      </c>
      <c r="P60" s="21">
        <f>IF(N60="","",IF(N60&gt;=$B$9,1,0))</f>
        <v/>
      </c>
      <c r="Q60" s="22">
        <f>IF(J60="","",$B$9)</f>
        <v/>
      </c>
    </row>
    <row r="61">
      <c r="F61" s="5" t="n">
        <v>40</v>
      </c>
      <c r="G61" s="18">
        <f>IFERROR($B$13*G60/(F61+$B$13*G60),"")</f>
        <v/>
      </c>
      <c r="H61" s="18">
        <f>IFERROR(G61/(1-($B$13/F61)*(1-G61)),"")</f>
        <v/>
      </c>
      <c r="J61" s="19">
        <f>IF(F61&lt;=$B$13,0,IFERROR(1-H61*EXP(-(F61-$B$13)*$B$8/$B$7),""))</f>
        <v/>
      </c>
      <c r="K61" s="20">
        <f>IF(F61&lt;=$B$13,"",IFERROR(H61*$B$7/(F61-$B$13),""))</f>
        <v/>
      </c>
      <c r="L61" s="19">
        <f>IFERROR($B$13/F61,"")</f>
        <v/>
      </c>
      <c r="N61" s="19">
        <f>IF(F61&lt;=$B$13,0,IFERROR(1-H61*EXP(-(F61-$B$13)*$B$8/$B$7)*EXP(-$B$8/$B$11),""))</f>
        <v/>
      </c>
      <c r="O61" s="21">
        <f>IF(J61="","",IF(J61&gt;=$B$9,1,0))</f>
        <v/>
      </c>
      <c r="P61" s="21">
        <f>IF(N61="","",IF(N61&gt;=$B$9,1,0))</f>
        <v/>
      </c>
      <c r="Q61" s="22">
        <f>IF(J61="","",$B$9)</f>
        <v/>
      </c>
    </row>
    <row r="62">
      <c r="F62" s="5" t="n">
        <v>41</v>
      </c>
      <c r="G62" s="18">
        <f>IFERROR($B$13*G61/(F62+$B$13*G61),"")</f>
        <v/>
      </c>
      <c r="H62" s="18">
        <f>IFERROR(G62/(1-($B$13/F62)*(1-G62)),"")</f>
        <v/>
      </c>
      <c r="J62" s="19">
        <f>IF(F62&lt;=$B$13,0,IFERROR(1-H62*EXP(-(F62-$B$13)*$B$8/$B$7),""))</f>
        <v/>
      </c>
      <c r="K62" s="20">
        <f>IF(F62&lt;=$B$13,"",IFERROR(H62*$B$7/(F62-$B$13),""))</f>
        <v/>
      </c>
      <c r="L62" s="19">
        <f>IFERROR($B$13/F62,"")</f>
        <v/>
      </c>
      <c r="N62" s="19">
        <f>IF(F62&lt;=$B$13,0,IFERROR(1-H62*EXP(-(F62-$B$13)*$B$8/$B$7)*EXP(-$B$8/$B$11),""))</f>
        <v/>
      </c>
      <c r="O62" s="21">
        <f>IF(J62="","",IF(J62&gt;=$B$9,1,0))</f>
        <v/>
      </c>
      <c r="P62" s="21">
        <f>IF(N62="","",IF(N62&gt;=$B$9,1,0))</f>
        <v/>
      </c>
      <c r="Q62" s="22">
        <f>IF(J62="","",$B$9)</f>
        <v/>
      </c>
    </row>
    <row r="63">
      <c r="F63" s="5" t="n">
        <v>42</v>
      </c>
      <c r="G63" s="18">
        <f>IFERROR($B$13*G62/(F63+$B$13*G62),"")</f>
        <v/>
      </c>
      <c r="H63" s="18">
        <f>IFERROR(G63/(1-($B$13/F63)*(1-G63)),"")</f>
        <v/>
      </c>
      <c r="J63" s="19">
        <f>IF(F63&lt;=$B$13,0,IFERROR(1-H63*EXP(-(F63-$B$13)*$B$8/$B$7),""))</f>
        <v/>
      </c>
      <c r="K63" s="20">
        <f>IF(F63&lt;=$B$13,"",IFERROR(H63*$B$7/(F63-$B$13),""))</f>
        <v/>
      </c>
      <c r="L63" s="19">
        <f>IFERROR($B$13/F63,"")</f>
        <v/>
      </c>
      <c r="N63" s="19">
        <f>IF(F63&lt;=$B$13,0,IFERROR(1-H63*EXP(-(F63-$B$13)*$B$8/$B$7)*EXP(-$B$8/$B$11),""))</f>
        <v/>
      </c>
      <c r="O63" s="21">
        <f>IF(J63="","",IF(J63&gt;=$B$9,1,0))</f>
        <v/>
      </c>
      <c r="P63" s="21">
        <f>IF(N63="","",IF(N63&gt;=$B$9,1,0))</f>
        <v/>
      </c>
      <c r="Q63" s="22">
        <f>IF(J63="","",$B$9)</f>
        <v/>
      </c>
    </row>
    <row r="64">
      <c r="F64" s="5" t="n">
        <v>43</v>
      </c>
      <c r="G64" s="18">
        <f>IFERROR($B$13*G63/(F64+$B$13*G63),"")</f>
        <v/>
      </c>
      <c r="H64" s="18">
        <f>IFERROR(G64/(1-($B$13/F64)*(1-G64)),"")</f>
        <v/>
      </c>
      <c r="J64" s="19">
        <f>IF(F64&lt;=$B$13,0,IFERROR(1-H64*EXP(-(F64-$B$13)*$B$8/$B$7),""))</f>
        <v/>
      </c>
      <c r="K64" s="20">
        <f>IF(F64&lt;=$B$13,"",IFERROR(H64*$B$7/(F64-$B$13),""))</f>
        <v/>
      </c>
      <c r="L64" s="19">
        <f>IFERROR($B$13/F64,"")</f>
        <v/>
      </c>
      <c r="N64" s="19">
        <f>IF(F64&lt;=$B$13,0,IFERROR(1-H64*EXP(-(F64-$B$13)*$B$8/$B$7)*EXP(-$B$8/$B$11),""))</f>
        <v/>
      </c>
      <c r="O64" s="21">
        <f>IF(J64="","",IF(J64&gt;=$B$9,1,0))</f>
        <v/>
      </c>
      <c r="P64" s="21">
        <f>IF(N64="","",IF(N64&gt;=$B$9,1,0))</f>
        <v/>
      </c>
      <c r="Q64" s="22">
        <f>IF(J64="","",$B$9)</f>
        <v/>
      </c>
    </row>
    <row r="65">
      <c r="F65" s="5" t="n">
        <v>44</v>
      </c>
      <c r="G65" s="18">
        <f>IFERROR($B$13*G64/(F65+$B$13*G64),"")</f>
        <v/>
      </c>
      <c r="H65" s="18">
        <f>IFERROR(G65/(1-($B$13/F65)*(1-G65)),"")</f>
        <v/>
      </c>
      <c r="J65" s="19">
        <f>IF(F65&lt;=$B$13,0,IFERROR(1-H65*EXP(-(F65-$B$13)*$B$8/$B$7),""))</f>
        <v/>
      </c>
      <c r="K65" s="20">
        <f>IF(F65&lt;=$B$13,"",IFERROR(H65*$B$7/(F65-$B$13),""))</f>
        <v/>
      </c>
      <c r="L65" s="19">
        <f>IFERROR($B$13/F65,"")</f>
        <v/>
      </c>
      <c r="N65" s="19">
        <f>IF(F65&lt;=$B$13,0,IFERROR(1-H65*EXP(-(F65-$B$13)*$B$8/$B$7)*EXP(-$B$8/$B$11),""))</f>
        <v/>
      </c>
      <c r="O65" s="21">
        <f>IF(J65="","",IF(J65&gt;=$B$9,1,0))</f>
        <v/>
      </c>
      <c r="P65" s="21">
        <f>IF(N65="","",IF(N65&gt;=$B$9,1,0))</f>
        <v/>
      </c>
      <c r="Q65" s="22">
        <f>IF(J65="","",$B$9)</f>
        <v/>
      </c>
    </row>
    <row r="66">
      <c r="F66" s="5" t="n">
        <v>45</v>
      </c>
      <c r="G66" s="18">
        <f>IFERROR($B$13*G65/(F66+$B$13*G65),"")</f>
        <v/>
      </c>
      <c r="H66" s="18">
        <f>IFERROR(G66/(1-($B$13/F66)*(1-G66)),"")</f>
        <v/>
      </c>
      <c r="J66" s="19">
        <f>IF(F66&lt;=$B$13,0,IFERROR(1-H66*EXP(-(F66-$B$13)*$B$8/$B$7),""))</f>
        <v/>
      </c>
      <c r="K66" s="20">
        <f>IF(F66&lt;=$B$13,"",IFERROR(H66*$B$7/(F66-$B$13),""))</f>
        <v/>
      </c>
      <c r="L66" s="19">
        <f>IFERROR($B$13/F66,"")</f>
        <v/>
      </c>
      <c r="N66" s="19">
        <f>IF(F66&lt;=$B$13,0,IFERROR(1-H66*EXP(-(F66-$B$13)*$B$8/$B$7)*EXP(-$B$8/$B$11),""))</f>
        <v/>
      </c>
      <c r="O66" s="21">
        <f>IF(J66="","",IF(J66&gt;=$B$9,1,0))</f>
        <v/>
      </c>
      <c r="P66" s="21">
        <f>IF(N66="","",IF(N66&gt;=$B$9,1,0))</f>
        <v/>
      </c>
      <c r="Q66" s="22">
        <f>IF(J66="","",$B$9)</f>
        <v/>
      </c>
    </row>
    <row r="67">
      <c r="F67" s="5" t="n">
        <v>46</v>
      </c>
      <c r="G67" s="18">
        <f>IFERROR($B$13*G66/(F67+$B$13*G66),"")</f>
        <v/>
      </c>
      <c r="H67" s="18">
        <f>IFERROR(G67/(1-($B$13/F67)*(1-G67)),"")</f>
        <v/>
      </c>
      <c r="J67" s="19">
        <f>IF(F67&lt;=$B$13,0,IFERROR(1-H67*EXP(-(F67-$B$13)*$B$8/$B$7),""))</f>
        <v/>
      </c>
      <c r="K67" s="20">
        <f>IF(F67&lt;=$B$13,"",IFERROR(H67*$B$7/(F67-$B$13),""))</f>
        <v/>
      </c>
      <c r="L67" s="19">
        <f>IFERROR($B$13/F67,"")</f>
        <v/>
      </c>
      <c r="N67" s="19">
        <f>IF(F67&lt;=$B$13,0,IFERROR(1-H67*EXP(-(F67-$B$13)*$B$8/$B$7)*EXP(-$B$8/$B$11),""))</f>
        <v/>
      </c>
      <c r="O67" s="21">
        <f>IF(J67="","",IF(J67&gt;=$B$9,1,0))</f>
        <v/>
      </c>
      <c r="P67" s="21">
        <f>IF(N67="","",IF(N67&gt;=$B$9,1,0))</f>
        <v/>
      </c>
      <c r="Q67" s="22">
        <f>IF(J67="","",$B$9)</f>
        <v/>
      </c>
    </row>
    <row r="68">
      <c r="F68" s="5" t="n">
        <v>47</v>
      </c>
      <c r="G68" s="18">
        <f>IFERROR($B$13*G67/(F68+$B$13*G67),"")</f>
        <v/>
      </c>
      <c r="H68" s="18">
        <f>IFERROR(G68/(1-($B$13/F68)*(1-G68)),"")</f>
        <v/>
      </c>
      <c r="J68" s="19">
        <f>IF(F68&lt;=$B$13,0,IFERROR(1-H68*EXP(-(F68-$B$13)*$B$8/$B$7),""))</f>
        <v/>
      </c>
      <c r="K68" s="20">
        <f>IF(F68&lt;=$B$13,"",IFERROR(H68*$B$7/(F68-$B$13),""))</f>
        <v/>
      </c>
      <c r="L68" s="19">
        <f>IFERROR($B$13/F68,"")</f>
        <v/>
      </c>
      <c r="N68" s="19">
        <f>IF(F68&lt;=$B$13,0,IFERROR(1-H68*EXP(-(F68-$B$13)*$B$8/$B$7)*EXP(-$B$8/$B$11),""))</f>
        <v/>
      </c>
      <c r="O68" s="21">
        <f>IF(J68="","",IF(J68&gt;=$B$9,1,0))</f>
        <v/>
      </c>
      <c r="P68" s="21">
        <f>IF(N68="","",IF(N68&gt;=$B$9,1,0))</f>
        <v/>
      </c>
      <c r="Q68" s="22">
        <f>IF(J68="","",$B$9)</f>
        <v/>
      </c>
    </row>
    <row r="69">
      <c r="F69" s="5" t="n">
        <v>48</v>
      </c>
      <c r="G69" s="18">
        <f>IFERROR($B$13*G68/(F69+$B$13*G68),"")</f>
        <v/>
      </c>
      <c r="H69" s="18">
        <f>IFERROR(G69/(1-($B$13/F69)*(1-G69)),"")</f>
        <v/>
      </c>
      <c r="J69" s="19">
        <f>IF(F69&lt;=$B$13,0,IFERROR(1-H69*EXP(-(F69-$B$13)*$B$8/$B$7),""))</f>
        <v/>
      </c>
      <c r="K69" s="20">
        <f>IF(F69&lt;=$B$13,"",IFERROR(H69*$B$7/(F69-$B$13),""))</f>
        <v/>
      </c>
      <c r="L69" s="19">
        <f>IFERROR($B$13/F69,"")</f>
        <v/>
      </c>
      <c r="N69" s="19">
        <f>IF(F69&lt;=$B$13,0,IFERROR(1-H69*EXP(-(F69-$B$13)*$B$8/$B$7)*EXP(-$B$8/$B$11),""))</f>
        <v/>
      </c>
      <c r="O69" s="21">
        <f>IF(J69="","",IF(J69&gt;=$B$9,1,0))</f>
        <v/>
      </c>
      <c r="P69" s="21">
        <f>IF(N69="","",IF(N69&gt;=$B$9,1,0))</f>
        <v/>
      </c>
      <c r="Q69" s="22">
        <f>IF(J69="","",$B$9)</f>
        <v/>
      </c>
    </row>
    <row r="70">
      <c r="F70" s="5" t="n">
        <v>49</v>
      </c>
      <c r="G70" s="18">
        <f>IFERROR($B$13*G69/(F70+$B$13*G69),"")</f>
        <v/>
      </c>
      <c r="H70" s="18">
        <f>IFERROR(G70/(1-($B$13/F70)*(1-G70)),"")</f>
        <v/>
      </c>
      <c r="J70" s="19">
        <f>IF(F70&lt;=$B$13,0,IFERROR(1-H70*EXP(-(F70-$B$13)*$B$8/$B$7),""))</f>
        <v/>
      </c>
      <c r="K70" s="20">
        <f>IF(F70&lt;=$B$13,"",IFERROR(H70*$B$7/(F70-$B$13),""))</f>
        <v/>
      </c>
      <c r="L70" s="19">
        <f>IFERROR($B$13/F70,"")</f>
        <v/>
      </c>
      <c r="N70" s="19">
        <f>IF(F70&lt;=$B$13,0,IFERROR(1-H70*EXP(-(F70-$B$13)*$B$8/$B$7)*EXP(-$B$8/$B$11),""))</f>
        <v/>
      </c>
      <c r="O70" s="21">
        <f>IF(J70="","",IF(J70&gt;=$B$9,1,0))</f>
        <v/>
      </c>
      <c r="P70" s="21">
        <f>IF(N70="","",IF(N70&gt;=$B$9,1,0))</f>
        <v/>
      </c>
      <c r="Q70" s="22">
        <f>IF(J70="","",$B$9)</f>
        <v/>
      </c>
    </row>
    <row r="71">
      <c r="F71" s="5" t="n">
        <v>50</v>
      </c>
      <c r="G71" s="18">
        <f>IFERROR($B$13*G70/(F71+$B$13*G70),"")</f>
        <v/>
      </c>
      <c r="H71" s="18">
        <f>IFERROR(G71/(1-($B$13/F71)*(1-G71)),"")</f>
        <v/>
      </c>
      <c r="J71" s="19">
        <f>IF(F71&lt;=$B$13,0,IFERROR(1-H71*EXP(-(F71-$B$13)*$B$8/$B$7),""))</f>
        <v/>
      </c>
      <c r="K71" s="20">
        <f>IF(F71&lt;=$B$13,"",IFERROR(H71*$B$7/(F71-$B$13),""))</f>
        <v/>
      </c>
      <c r="L71" s="19">
        <f>IFERROR($B$13/F71,"")</f>
        <v/>
      </c>
      <c r="N71" s="19">
        <f>IF(F71&lt;=$B$13,0,IFERROR(1-H71*EXP(-(F71-$B$13)*$B$8/$B$7)*EXP(-$B$8/$B$11),""))</f>
        <v/>
      </c>
      <c r="O71" s="21">
        <f>IF(J71="","",IF(J71&gt;=$B$9,1,0))</f>
        <v/>
      </c>
      <c r="P71" s="21">
        <f>IF(N71="","",IF(N71&gt;=$B$9,1,0))</f>
        <v/>
      </c>
      <c r="Q71" s="22">
        <f>IF(J71="","",$B$9)</f>
        <v/>
      </c>
    </row>
    <row r="72">
      <c r="F72" s="5" t="n">
        <v>51</v>
      </c>
      <c r="G72" s="18">
        <f>IFERROR($B$13*G71/(F72+$B$13*G71),"")</f>
        <v/>
      </c>
      <c r="H72" s="18">
        <f>IFERROR(G72/(1-($B$13/F72)*(1-G72)),"")</f>
        <v/>
      </c>
      <c r="J72" s="19">
        <f>IF(F72&lt;=$B$13,0,IFERROR(1-H72*EXP(-(F72-$B$13)*$B$8/$B$7),""))</f>
        <v/>
      </c>
      <c r="K72" s="20">
        <f>IF(F72&lt;=$B$13,"",IFERROR(H72*$B$7/(F72-$B$13),""))</f>
        <v/>
      </c>
      <c r="L72" s="19">
        <f>IFERROR($B$13/F72,"")</f>
        <v/>
      </c>
      <c r="N72" s="19">
        <f>IF(F72&lt;=$B$13,0,IFERROR(1-H72*EXP(-(F72-$B$13)*$B$8/$B$7)*EXP(-$B$8/$B$11),""))</f>
        <v/>
      </c>
      <c r="O72" s="21">
        <f>IF(J72="","",IF(J72&gt;=$B$9,1,0))</f>
        <v/>
      </c>
      <c r="P72" s="21">
        <f>IF(N72="","",IF(N72&gt;=$B$9,1,0))</f>
        <v/>
      </c>
      <c r="Q72" s="22">
        <f>IF(J72="","",$B$9)</f>
        <v/>
      </c>
    </row>
    <row r="73">
      <c r="F73" s="5" t="n">
        <v>52</v>
      </c>
      <c r="G73" s="18">
        <f>IFERROR($B$13*G72/(F73+$B$13*G72),"")</f>
        <v/>
      </c>
      <c r="H73" s="18">
        <f>IFERROR(G73/(1-($B$13/F73)*(1-G73)),"")</f>
        <v/>
      </c>
      <c r="J73" s="19">
        <f>IF(F73&lt;=$B$13,0,IFERROR(1-H73*EXP(-(F73-$B$13)*$B$8/$B$7),""))</f>
        <v/>
      </c>
      <c r="K73" s="20">
        <f>IF(F73&lt;=$B$13,"",IFERROR(H73*$B$7/(F73-$B$13),""))</f>
        <v/>
      </c>
      <c r="L73" s="19">
        <f>IFERROR($B$13/F73,"")</f>
        <v/>
      </c>
      <c r="N73" s="19">
        <f>IF(F73&lt;=$B$13,0,IFERROR(1-H73*EXP(-(F73-$B$13)*$B$8/$B$7)*EXP(-$B$8/$B$11),""))</f>
        <v/>
      </c>
      <c r="O73" s="21">
        <f>IF(J73="","",IF(J73&gt;=$B$9,1,0))</f>
        <v/>
      </c>
      <c r="P73" s="21">
        <f>IF(N73="","",IF(N73&gt;=$B$9,1,0))</f>
        <v/>
      </c>
      <c r="Q73" s="22">
        <f>IF(J73="","",$B$9)</f>
        <v/>
      </c>
    </row>
    <row r="74">
      <c r="F74" s="5" t="n">
        <v>53</v>
      </c>
      <c r="G74" s="18">
        <f>IFERROR($B$13*G73/(F74+$B$13*G73),"")</f>
        <v/>
      </c>
      <c r="H74" s="18">
        <f>IFERROR(G74/(1-($B$13/F74)*(1-G74)),"")</f>
        <v/>
      </c>
      <c r="J74" s="19">
        <f>IF(F74&lt;=$B$13,0,IFERROR(1-H74*EXP(-(F74-$B$13)*$B$8/$B$7),""))</f>
        <v/>
      </c>
      <c r="K74" s="20">
        <f>IF(F74&lt;=$B$13,"",IFERROR(H74*$B$7/(F74-$B$13),""))</f>
        <v/>
      </c>
      <c r="L74" s="19">
        <f>IFERROR($B$13/F74,"")</f>
        <v/>
      </c>
      <c r="N74" s="19">
        <f>IF(F74&lt;=$B$13,0,IFERROR(1-H74*EXP(-(F74-$B$13)*$B$8/$B$7)*EXP(-$B$8/$B$11),""))</f>
        <v/>
      </c>
      <c r="O74" s="21">
        <f>IF(J74="","",IF(J74&gt;=$B$9,1,0))</f>
        <v/>
      </c>
      <c r="P74" s="21">
        <f>IF(N74="","",IF(N74&gt;=$B$9,1,0))</f>
        <v/>
      </c>
      <c r="Q74" s="22">
        <f>IF(J74="","",$B$9)</f>
        <v/>
      </c>
    </row>
    <row r="75">
      <c r="F75" s="5" t="n">
        <v>54</v>
      </c>
      <c r="G75" s="18">
        <f>IFERROR($B$13*G74/(F75+$B$13*G74),"")</f>
        <v/>
      </c>
      <c r="H75" s="18">
        <f>IFERROR(G75/(1-($B$13/F75)*(1-G75)),"")</f>
        <v/>
      </c>
      <c r="J75" s="19">
        <f>IF(F75&lt;=$B$13,0,IFERROR(1-H75*EXP(-(F75-$B$13)*$B$8/$B$7),""))</f>
        <v/>
      </c>
      <c r="K75" s="20">
        <f>IF(F75&lt;=$B$13,"",IFERROR(H75*$B$7/(F75-$B$13),""))</f>
        <v/>
      </c>
      <c r="L75" s="19">
        <f>IFERROR($B$13/F75,"")</f>
        <v/>
      </c>
      <c r="N75" s="19">
        <f>IF(F75&lt;=$B$13,0,IFERROR(1-H75*EXP(-(F75-$B$13)*$B$8/$B$7)*EXP(-$B$8/$B$11),""))</f>
        <v/>
      </c>
      <c r="O75" s="21">
        <f>IF(J75="","",IF(J75&gt;=$B$9,1,0))</f>
        <v/>
      </c>
      <c r="P75" s="21">
        <f>IF(N75="","",IF(N75&gt;=$B$9,1,0))</f>
        <v/>
      </c>
      <c r="Q75" s="22">
        <f>IF(J75="","",$B$9)</f>
        <v/>
      </c>
    </row>
    <row r="76">
      <c r="F76" s="5" t="n">
        <v>55</v>
      </c>
      <c r="G76" s="18">
        <f>IFERROR($B$13*G75/(F76+$B$13*G75),"")</f>
        <v/>
      </c>
      <c r="H76" s="18">
        <f>IFERROR(G76/(1-($B$13/F76)*(1-G76)),"")</f>
        <v/>
      </c>
      <c r="J76" s="19">
        <f>IF(F76&lt;=$B$13,0,IFERROR(1-H76*EXP(-(F76-$B$13)*$B$8/$B$7),""))</f>
        <v/>
      </c>
      <c r="K76" s="20">
        <f>IF(F76&lt;=$B$13,"",IFERROR(H76*$B$7/(F76-$B$13),""))</f>
        <v/>
      </c>
      <c r="L76" s="19">
        <f>IFERROR($B$13/F76,"")</f>
        <v/>
      </c>
      <c r="N76" s="19">
        <f>IF(F76&lt;=$B$13,0,IFERROR(1-H76*EXP(-(F76-$B$13)*$B$8/$B$7)*EXP(-$B$8/$B$11),""))</f>
        <v/>
      </c>
      <c r="O76" s="21">
        <f>IF(J76="","",IF(J76&gt;=$B$9,1,0))</f>
        <v/>
      </c>
      <c r="P76" s="21">
        <f>IF(N76="","",IF(N76&gt;=$B$9,1,0))</f>
        <v/>
      </c>
      <c r="Q76" s="22">
        <f>IF(J76="","",$B$9)</f>
        <v/>
      </c>
    </row>
    <row r="77">
      <c r="F77" s="5" t="n">
        <v>56</v>
      </c>
      <c r="G77" s="18">
        <f>IFERROR($B$13*G76/(F77+$B$13*G76),"")</f>
        <v/>
      </c>
      <c r="H77" s="18">
        <f>IFERROR(G77/(1-($B$13/F77)*(1-G77)),"")</f>
        <v/>
      </c>
      <c r="J77" s="19">
        <f>IF(F77&lt;=$B$13,0,IFERROR(1-H77*EXP(-(F77-$B$13)*$B$8/$B$7),""))</f>
        <v/>
      </c>
      <c r="K77" s="20">
        <f>IF(F77&lt;=$B$13,"",IFERROR(H77*$B$7/(F77-$B$13),""))</f>
        <v/>
      </c>
      <c r="L77" s="19">
        <f>IFERROR($B$13/F77,"")</f>
        <v/>
      </c>
      <c r="N77" s="19">
        <f>IF(F77&lt;=$B$13,0,IFERROR(1-H77*EXP(-(F77-$B$13)*$B$8/$B$7)*EXP(-$B$8/$B$11),""))</f>
        <v/>
      </c>
      <c r="O77" s="21">
        <f>IF(J77="","",IF(J77&gt;=$B$9,1,0))</f>
        <v/>
      </c>
      <c r="P77" s="21">
        <f>IF(N77="","",IF(N77&gt;=$B$9,1,0))</f>
        <v/>
      </c>
      <c r="Q77" s="22">
        <f>IF(J77="","",$B$9)</f>
        <v/>
      </c>
    </row>
    <row r="78">
      <c r="F78" s="5" t="n">
        <v>57</v>
      </c>
      <c r="G78" s="18">
        <f>IFERROR($B$13*G77/(F78+$B$13*G77),"")</f>
        <v/>
      </c>
      <c r="H78" s="18">
        <f>IFERROR(G78/(1-($B$13/F78)*(1-G78)),"")</f>
        <v/>
      </c>
      <c r="J78" s="19">
        <f>IF(F78&lt;=$B$13,0,IFERROR(1-H78*EXP(-(F78-$B$13)*$B$8/$B$7),""))</f>
        <v/>
      </c>
      <c r="K78" s="20">
        <f>IF(F78&lt;=$B$13,"",IFERROR(H78*$B$7/(F78-$B$13),""))</f>
        <v/>
      </c>
      <c r="L78" s="19">
        <f>IFERROR($B$13/F78,"")</f>
        <v/>
      </c>
      <c r="N78" s="19">
        <f>IF(F78&lt;=$B$13,0,IFERROR(1-H78*EXP(-(F78-$B$13)*$B$8/$B$7)*EXP(-$B$8/$B$11),""))</f>
        <v/>
      </c>
      <c r="O78" s="21">
        <f>IF(J78="","",IF(J78&gt;=$B$9,1,0))</f>
        <v/>
      </c>
      <c r="P78" s="21">
        <f>IF(N78="","",IF(N78&gt;=$B$9,1,0))</f>
        <v/>
      </c>
      <c r="Q78" s="22">
        <f>IF(J78="","",$B$9)</f>
        <v/>
      </c>
    </row>
    <row r="79">
      <c r="F79" s="5" t="n">
        <v>58</v>
      </c>
      <c r="G79" s="18">
        <f>IFERROR($B$13*G78/(F79+$B$13*G78),"")</f>
        <v/>
      </c>
      <c r="H79" s="18">
        <f>IFERROR(G79/(1-($B$13/F79)*(1-G79)),"")</f>
        <v/>
      </c>
      <c r="J79" s="19">
        <f>IF(F79&lt;=$B$13,0,IFERROR(1-H79*EXP(-(F79-$B$13)*$B$8/$B$7),""))</f>
        <v/>
      </c>
      <c r="K79" s="20">
        <f>IF(F79&lt;=$B$13,"",IFERROR(H79*$B$7/(F79-$B$13),""))</f>
        <v/>
      </c>
      <c r="L79" s="19">
        <f>IFERROR($B$13/F79,"")</f>
        <v/>
      </c>
      <c r="N79" s="19">
        <f>IF(F79&lt;=$B$13,0,IFERROR(1-H79*EXP(-(F79-$B$13)*$B$8/$B$7)*EXP(-$B$8/$B$11),""))</f>
        <v/>
      </c>
      <c r="O79" s="21">
        <f>IF(J79="","",IF(J79&gt;=$B$9,1,0))</f>
        <v/>
      </c>
      <c r="P79" s="21">
        <f>IF(N79="","",IF(N79&gt;=$B$9,1,0))</f>
        <v/>
      </c>
      <c r="Q79" s="22">
        <f>IF(J79="","",$B$9)</f>
        <v/>
      </c>
    </row>
    <row r="80">
      <c r="F80" s="5" t="n">
        <v>59</v>
      </c>
      <c r="G80" s="18">
        <f>IFERROR($B$13*G79/(F80+$B$13*G79),"")</f>
        <v/>
      </c>
      <c r="H80" s="18">
        <f>IFERROR(G80/(1-($B$13/F80)*(1-G80)),"")</f>
        <v/>
      </c>
      <c r="J80" s="19">
        <f>IF(F80&lt;=$B$13,0,IFERROR(1-H80*EXP(-(F80-$B$13)*$B$8/$B$7),""))</f>
        <v/>
      </c>
      <c r="K80" s="20">
        <f>IF(F80&lt;=$B$13,"",IFERROR(H80*$B$7/(F80-$B$13),""))</f>
        <v/>
      </c>
      <c r="L80" s="19">
        <f>IFERROR($B$13/F80,"")</f>
        <v/>
      </c>
      <c r="N80" s="19">
        <f>IF(F80&lt;=$B$13,0,IFERROR(1-H80*EXP(-(F80-$B$13)*$B$8/$B$7)*EXP(-$B$8/$B$11),""))</f>
        <v/>
      </c>
      <c r="O80" s="21">
        <f>IF(J80="","",IF(J80&gt;=$B$9,1,0))</f>
        <v/>
      </c>
      <c r="P80" s="21">
        <f>IF(N80="","",IF(N80&gt;=$B$9,1,0))</f>
        <v/>
      </c>
      <c r="Q80" s="22">
        <f>IF(J80="","",$B$9)</f>
        <v/>
      </c>
    </row>
    <row r="81">
      <c r="F81" s="5" t="n">
        <v>60</v>
      </c>
      <c r="G81" s="18">
        <f>IFERROR($B$13*G80/(F81+$B$13*G80),"")</f>
        <v/>
      </c>
      <c r="H81" s="18">
        <f>IFERROR(G81/(1-($B$13/F81)*(1-G81)),"")</f>
        <v/>
      </c>
      <c r="J81" s="19">
        <f>IF(F81&lt;=$B$13,0,IFERROR(1-H81*EXP(-(F81-$B$13)*$B$8/$B$7),""))</f>
        <v/>
      </c>
      <c r="K81" s="20">
        <f>IF(F81&lt;=$B$13,"",IFERROR(H81*$B$7/(F81-$B$13),""))</f>
        <v/>
      </c>
      <c r="L81" s="19">
        <f>IFERROR($B$13/F81,"")</f>
        <v/>
      </c>
      <c r="N81" s="19">
        <f>IF(F81&lt;=$B$13,0,IFERROR(1-H81*EXP(-(F81-$B$13)*$B$8/$B$7)*EXP(-$B$8/$B$11),""))</f>
        <v/>
      </c>
      <c r="O81" s="21">
        <f>IF(J81="","",IF(J81&gt;=$B$9,1,0))</f>
        <v/>
      </c>
      <c r="P81" s="21">
        <f>IF(N81="","",IF(N81&gt;=$B$9,1,0))</f>
        <v/>
      </c>
      <c r="Q81" s="22">
        <f>IF(J81="","",$B$9)</f>
        <v/>
      </c>
    </row>
    <row r="82">
      <c r="F82" s="5" t="n">
        <v>61</v>
      </c>
      <c r="G82" s="18">
        <f>IFERROR($B$13*G81/(F82+$B$13*G81),"")</f>
        <v/>
      </c>
      <c r="H82" s="18">
        <f>IFERROR(G82/(1-($B$13/F82)*(1-G82)),"")</f>
        <v/>
      </c>
      <c r="J82" s="19">
        <f>IF(F82&lt;=$B$13,0,IFERROR(1-H82*EXP(-(F82-$B$13)*$B$8/$B$7),""))</f>
        <v/>
      </c>
      <c r="K82" s="20">
        <f>IF(F82&lt;=$B$13,"",IFERROR(H82*$B$7/(F82-$B$13),""))</f>
        <v/>
      </c>
      <c r="L82" s="19">
        <f>IFERROR($B$13/F82,"")</f>
        <v/>
      </c>
      <c r="N82" s="19">
        <f>IF(F82&lt;=$B$13,0,IFERROR(1-H82*EXP(-(F82-$B$13)*$B$8/$B$7)*EXP(-$B$8/$B$11),""))</f>
        <v/>
      </c>
      <c r="O82" s="21">
        <f>IF(J82="","",IF(J82&gt;=$B$9,1,0))</f>
        <v/>
      </c>
      <c r="P82" s="21">
        <f>IF(N82="","",IF(N82&gt;=$B$9,1,0))</f>
        <v/>
      </c>
      <c r="Q82" s="22">
        <f>IF(J82="","",$B$9)</f>
        <v/>
      </c>
    </row>
    <row r="83">
      <c r="F83" s="5" t="n">
        <v>62</v>
      </c>
      <c r="G83" s="18">
        <f>IFERROR($B$13*G82/(F83+$B$13*G82),"")</f>
        <v/>
      </c>
      <c r="H83" s="18">
        <f>IFERROR(G83/(1-($B$13/F83)*(1-G83)),"")</f>
        <v/>
      </c>
      <c r="J83" s="19">
        <f>IF(F83&lt;=$B$13,0,IFERROR(1-H83*EXP(-(F83-$B$13)*$B$8/$B$7),""))</f>
        <v/>
      </c>
      <c r="K83" s="20">
        <f>IF(F83&lt;=$B$13,"",IFERROR(H83*$B$7/(F83-$B$13),""))</f>
        <v/>
      </c>
      <c r="L83" s="19">
        <f>IFERROR($B$13/F83,"")</f>
        <v/>
      </c>
      <c r="N83" s="19">
        <f>IF(F83&lt;=$B$13,0,IFERROR(1-H83*EXP(-(F83-$B$13)*$B$8/$B$7)*EXP(-$B$8/$B$11),""))</f>
        <v/>
      </c>
      <c r="O83" s="21">
        <f>IF(J83="","",IF(J83&gt;=$B$9,1,0))</f>
        <v/>
      </c>
      <c r="P83" s="21">
        <f>IF(N83="","",IF(N83&gt;=$B$9,1,0))</f>
        <v/>
      </c>
      <c r="Q83" s="22">
        <f>IF(J83="","",$B$9)</f>
        <v/>
      </c>
    </row>
    <row r="84">
      <c r="F84" s="5" t="n">
        <v>63</v>
      </c>
      <c r="G84" s="18">
        <f>IFERROR($B$13*G83/(F84+$B$13*G83),"")</f>
        <v/>
      </c>
      <c r="H84" s="18">
        <f>IFERROR(G84/(1-($B$13/F84)*(1-G84)),"")</f>
        <v/>
      </c>
      <c r="J84" s="19">
        <f>IF(F84&lt;=$B$13,0,IFERROR(1-H84*EXP(-(F84-$B$13)*$B$8/$B$7),""))</f>
        <v/>
      </c>
      <c r="K84" s="20">
        <f>IF(F84&lt;=$B$13,"",IFERROR(H84*$B$7/(F84-$B$13),""))</f>
        <v/>
      </c>
      <c r="L84" s="19">
        <f>IFERROR($B$13/F84,"")</f>
        <v/>
      </c>
      <c r="N84" s="19">
        <f>IF(F84&lt;=$B$13,0,IFERROR(1-H84*EXP(-(F84-$B$13)*$B$8/$B$7)*EXP(-$B$8/$B$11),""))</f>
        <v/>
      </c>
      <c r="O84" s="21">
        <f>IF(J84="","",IF(J84&gt;=$B$9,1,0))</f>
        <v/>
      </c>
      <c r="P84" s="21">
        <f>IF(N84="","",IF(N84&gt;=$B$9,1,0))</f>
        <v/>
      </c>
      <c r="Q84" s="22">
        <f>IF(J84="","",$B$9)</f>
        <v/>
      </c>
    </row>
    <row r="85">
      <c r="F85" s="5" t="n">
        <v>64</v>
      </c>
      <c r="G85" s="18">
        <f>IFERROR($B$13*G84/(F85+$B$13*G84),"")</f>
        <v/>
      </c>
      <c r="H85" s="18">
        <f>IFERROR(G85/(1-($B$13/F85)*(1-G85)),"")</f>
        <v/>
      </c>
      <c r="J85" s="19">
        <f>IF(F85&lt;=$B$13,0,IFERROR(1-H85*EXP(-(F85-$B$13)*$B$8/$B$7),""))</f>
        <v/>
      </c>
      <c r="K85" s="20">
        <f>IF(F85&lt;=$B$13,"",IFERROR(H85*$B$7/(F85-$B$13),""))</f>
        <v/>
      </c>
      <c r="L85" s="19">
        <f>IFERROR($B$13/F85,"")</f>
        <v/>
      </c>
      <c r="N85" s="19">
        <f>IF(F85&lt;=$B$13,0,IFERROR(1-H85*EXP(-(F85-$B$13)*$B$8/$B$7)*EXP(-$B$8/$B$11),""))</f>
        <v/>
      </c>
      <c r="O85" s="21">
        <f>IF(J85="","",IF(J85&gt;=$B$9,1,0))</f>
        <v/>
      </c>
      <c r="P85" s="21">
        <f>IF(N85="","",IF(N85&gt;=$B$9,1,0))</f>
        <v/>
      </c>
      <c r="Q85" s="22">
        <f>IF(J85="","",$B$9)</f>
        <v/>
      </c>
    </row>
    <row r="86">
      <c r="F86" s="5" t="n">
        <v>65</v>
      </c>
      <c r="G86" s="18">
        <f>IFERROR($B$13*G85/(F86+$B$13*G85),"")</f>
        <v/>
      </c>
      <c r="H86" s="18">
        <f>IFERROR(G86/(1-($B$13/F86)*(1-G86)),"")</f>
        <v/>
      </c>
      <c r="J86" s="19">
        <f>IF(F86&lt;=$B$13,0,IFERROR(1-H86*EXP(-(F86-$B$13)*$B$8/$B$7),""))</f>
        <v/>
      </c>
      <c r="K86" s="20">
        <f>IF(F86&lt;=$B$13,"",IFERROR(H86*$B$7/(F86-$B$13),""))</f>
        <v/>
      </c>
      <c r="L86" s="19">
        <f>IFERROR($B$13/F86,"")</f>
        <v/>
      </c>
      <c r="N86" s="19">
        <f>IF(F86&lt;=$B$13,0,IFERROR(1-H86*EXP(-(F86-$B$13)*$B$8/$B$7)*EXP(-$B$8/$B$11),""))</f>
        <v/>
      </c>
      <c r="O86" s="21">
        <f>IF(J86="","",IF(J86&gt;=$B$9,1,0))</f>
        <v/>
      </c>
      <c r="P86" s="21">
        <f>IF(N86="","",IF(N86&gt;=$B$9,1,0))</f>
        <v/>
      </c>
      <c r="Q86" s="22">
        <f>IF(J86="","",$B$9)</f>
        <v/>
      </c>
    </row>
    <row r="87">
      <c r="F87" s="5" t="n">
        <v>66</v>
      </c>
      <c r="G87" s="18">
        <f>IFERROR($B$13*G86/(F87+$B$13*G86),"")</f>
        <v/>
      </c>
      <c r="H87" s="18">
        <f>IFERROR(G87/(1-($B$13/F87)*(1-G87)),"")</f>
        <v/>
      </c>
      <c r="J87" s="19">
        <f>IF(F87&lt;=$B$13,0,IFERROR(1-H87*EXP(-(F87-$B$13)*$B$8/$B$7),""))</f>
        <v/>
      </c>
      <c r="K87" s="20">
        <f>IF(F87&lt;=$B$13,"",IFERROR(H87*$B$7/(F87-$B$13),""))</f>
        <v/>
      </c>
      <c r="L87" s="19">
        <f>IFERROR($B$13/F87,"")</f>
        <v/>
      </c>
      <c r="N87" s="19">
        <f>IF(F87&lt;=$B$13,0,IFERROR(1-H87*EXP(-(F87-$B$13)*$B$8/$B$7)*EXP(-$B$8/$B$11),""))</f>
        <v/>
      </c>
      <c r="O87" s="21">
        <f>IF(J87="","",IF(J87&gt;=$B$9,1,0))</f>
        <v/>
      </c>
      <c r="P87" s="21">
        <f>IF(N87="","",IF(N87&gt;=$B$9,1,0))</f>
        <v/>
      </c>
      <c r="Q87" s="22">
        <f>IF(J87="","",$B$9)</f>
        <v/>
      </c>
    </row>
    <row r="88">
      <c r="F88" s="5" t="n">
        <v>67</v>
      </c>
      <c r="G88" s="18">
        <f>IFERROR($B$13*G87/(F88+$B$13*G87),"")</f>
        <v/>
      </c>
      <c r="H88" s="18">
        <f>IFERROR(G88/(1-($B$13/F88)*(1-G88)),"")</f>
        <v/>
      </c>
      <c r="J88" s="19">
        <f>IF(F88&lt;=$B$13,0,IFERROR(1-H88*EXP(-(F88-$B$13)*$B$8/$B$7),""))</f>
        <v/>
      </c>
      <c r="K88" s="20">
        <f>IF(F88&lt;=$B$13,"",IFERROR(H88*$B$7/(F88-$B$13),""))</f>
        <v/>
      </c>
      <c r="L88" s="19">
        <f>IFERROR($B$13/F88,"")</f>
        <v/>
      </c>
      <c r="N88" s="19">
        <f>IF(F88&lt;=$B$13,0,IFERROR(1-H88*EXP(-(F88-$B$13)*$B$8/$B$7)*EXP(-$B$8/$B$11),""))</f>
        <v/>
      </c>
      <c r="O88" s="21">
        <f>IF(J88="","",IF(J88&gt;=$B$9,1,0))</f>
        <v/>
      </c>
      <c r="P88" s="21">
        <f>IF(N88="","",IF(N88&gt;=$B$9,1,0))</f>
        <v/>
      </c>
      <c r="Q88" s="22">
        <f>IF(J88="","",$B$9)</f>
        <v/>
      </c>
    </row>
    <row r="89">
      <c r="F89" s="5" t="n">
        <v>68</v>
      </c>
      <c r="G89" s="18">
        <f>IFERROR($B$13*G88/(F89+$B$13*G88),"")</f>
        <v/>
      </c>
      <c r="H89" s="18">
        <f>IFERROR(G89/(1-($B$13/F89)*(1-G89)),"")</f>
        <v/>
      </c>
      <c r="J89" s="19">
        <f>IF(F89&lt;=$B$13,0,IFERROR(1-H89*EXP(-(F89-$B$13)*$B$8/$B$7),""))</f>
        <v/>
      </c>
      <c r="K89" s="20">
        <f>IF(F89&lt;=$B$13,"",IFERROR(H89*$B$7/(F89-$B$13),""))</f>
        <v/>
      </c>
      <c r="L89" s="19">
        <f>IFERROR($B$13/F89,"")</f>
        <v/>
      </c>
      <c r="N89" s="19">
        <f>IF(F89&lt;=$B$13,0,IFERROR(1-H89*EXP(-(F89-$B$13)*$B$8/$B$7)*EXP(-$B$8/$B$11),""))</f>
        <v/>
      </c>
      <c r="O89" s="21">
        <f>IF(J89="","",IF(J89&gt;=$B$9,1,0))</f>
        <v/>
      </c>
      <c r="P89" s="21">
        <f>IF(N89="","",IF(N89&gt;=$B$9,1,0))</f>
        <v/>
      </c>
      <c r="Q89" s="22">
        <f>IF(J89="","",$B$9)</f>
        <v/>
      </c>
    </row>
    <row r="90">
      <c r="F90" s="5" t="n">
        <v>69</v>
      </c>
      <c r="G90" s="18">
        <f>IFERROR($B$13*G89/(F90+$B$13*G89),"")</f>
        <v/>
      </c>
      <c r="H90" s="18">
        <f>IFERROR(G90/(1-($B$13/F90)*(1-G90)),"")</f>
        <v/>
      </c>
      <c r="J90" s="19">
        <f>IF(F90&lt;=$B$13,0,IFERROR(1-H90*EXP(-(F90-$B$13)*$B$8/$B$7),""))</f>
        <v/>
      </c>
      <c r="K90" s="20">
        <f>IF(F90&lt;=$B$13,"",IFERROR(H90*$B$7/(F90-$B$13),""))</f>
        <v/>
      </c>
      <c r="L90" s="19">
        <f>IFERROR($B$13/F90,"")</f>
        <v/>
      </c>
      <c r="N90" s="19">
        <f>IF(F90&lt;=$B$13,0,IFERROR(1-H90*EXP(-(F90-$B$13)*$B$8/$B$7)*EXP(-$B$8/$B$11),""))</f>
        <v/>
      </c>
      <c r="O90" s="21">
        <f>IF(J90="","",IF(J90&gt;=$B$9,1,0))</f>
        <v/>
      </c>
      <c r="P90" s="21">
        <f>IF(N90="","",IF(N90&gt;=$B$9,1,0))</f>
        <v/>
      </c>
      <c r="Q90" s="22">
        <f>IF(J90="","",$B$9)</f>
        <v/>
      </c>
    </row>
    <row r="91">
      <c r="F91" s="5" t="n">
        <v>70</v>
      </c>
      <c r="G91" s="18">
        <f>IFERROR($B$13*G90/(F91+$B$13*G90),"")</f>
        <v/>
      </c>
      <c r="H91" s="18">
        <f>IFERROR(G91/(1-($B$13/F91)*(1-G91)),"")</f>
        <v/>
      </c>
      <c r="J91" s="19">
        <f>IF(F91&lt;=$B$13,0,IFERROR(1-H91*EXP(-(F91-$B$13)*$B$8/$B$7),""))</f>
        <v/>
      </c>
      <c r="K91" s="20">
        <f>IF(F91&lt;=$B$13,"",IFERROR(H91*$B$7/(F91-$B$13),""))</f>
        <v/>
      </c>
      <c r="L91" s="19">
        <f>IFERROR($B$13/F91,"")</f>
        <v/>
      </c>
      <c r="N91" s="19">
        <f>IF(F91&lt;=$B$13,0,IFERROR(1-H91*EXP(-(F91-$B$13)*$B$8/$B$7)*EXP(-$B$8/$B$11),""))</f>
        <v/>
      </c>
      <c r="O91" s="21">
        <f>IF(J91="","",IF(J91&gt;=$B$9,1,0))</f>
        <v/>
      </c>
      <c r="P91" s="21">
        <f>IF(N91="","",IF(N91&gt;=$B$9,1,0))</f>
        <v/>
      </c>
      <c r="Q91" s="22">
        <f>IF(J91="","",$B$9)</f>
        <v/>
      </c>
    </row>
    <row r="92">
      <c r="F92" s="5" t="n">
        <v>71</v>
      </c>
      <c r="G92" s="18">
        <f>IFERROR($B$13*G91/(F92+$B$13*G91),"")</f>
        <v/>
      </c>
      <c r="H92" s="18">
        <f>IFERROR(G92/(1-($B$13/F92)*(1-G92)),"")</f>
        <v/>
      </c>
      <c r="J92" s="19">
        <f>IF(F92&lt;=$B$13,0,IFERROR(1-H92*EXP(-(F92-$B$13)*$B$8/$B$7),""))</f>
        <v/>
      </c>
      <c r="K92" s="20">
        <f>IF(F92&lt;=$B$13,"",IFERROR(H92*$B$7/(F92-$B$13),""))</f>
        <v/>
      </c>
      <c r="L92" s="19">
        <f>IFERROR($B$13/F92,"")</f>
        <v/>
      </c>
      <c r="N92" s="19">
        <f>IF(F92&lt;=$B$13,0,IFERROR(1-H92*EXP(-(F92-$B$13)*$B$8/$B$7)*EXP(-$B$8/$B$11),""))</f>
        <v/>
      </c>
      <c r="O92" s="21">
        <f>IF(J92="","",IF(J92&gt;=$B$9,1,0))</f>
        <v/>
      </c>
      <c r="P92" s="21">
        <f>IF(N92="","",IF(N92&gt;=$B$9,1,0))</f>
        <v/>
      </c>
      <c r="Q92" s="22">
        <f>IF(J92="","",$B$9)</f>
        <v/>
      </c>
    </row>
    <row r="93">
      <c r="F93" s="5" t="n">
        <v>72</v>
      </c>
      <c r="G93" s="18">
        <f>IFERROR($B$13*G92/(F93+$B$13*G92),"")</f>
        <v/>
      </c>
      <c r="H93" s="18">
        <f>IFERROR(G93/(1-($B$13/F93)*(1-G93)),"")</f>
        <v/>
      </c>
      <c r="J93" s="19">
        <f>IF(F93&lt;=$B$13,0,IFERROR(1-H93*EXP(-(F93-$B$13)*$B$8/$B$7),""))</f>
        <v/>
      </c>
      <c r="K93" s="20">
        <f>IF(F93&lt;=$B$13,"",IFERROR(H93*$B$7/(F93-$B$13),""))</f>
        <v/>
      </c>
      <c r="L93" s="19">
        <f>IFERROR($B$13/F93,"")</f>
        <v/>
      </c>
      <c r="N93" s="19">
        <f>IF(F93&lt;=$B$13,0,IFERROR(1-H93*EXP(-(F93-$B$13)*$B$8/$B$7)*EXP(-$B$8/$B$11),""))</f>
        <v/>
      </c>
      <c r="O93" s="21">
        <f>IF(J93="","",IF(J93&gt;=$B$9,1,0))</f>
        <v/>
      </c>
      <c r="P93" s="21">
        <f>IF(N93="","",IF(N93&gt;=$B$9,1,0))</f>
        <v/>
      </c>
      <c r="Q93" s="22">
        <f>IF(J93="","",$B$9)</f>
        <v/>
      </c>
    </row>
    <row r="94">
      <c r="F94" s="5" t="n">
        <v>73</v>
      </c>
      <c r="G94" s="18">
        <f>IFERROR($B$13*G93/(F94+$B$13*G93),"")</f>
        <v/>
      </c>
      <c r="H94" s="18">
        <f>IFERROR(G94/(1-($B$13/F94)*(1-G94)),"")</f>
        <v/>
      </c>
      <c r="J94" s="19">
        <f>IF(F94&lt;=$B$13,0,IFERROR(1-H94*EXP(-(F94-$B$13)*$B$8/$B$7),""))</f>
        <v/>
      </c>
      <c r="K94" s="20">
        <f>IF(F94&lt;=$B$13,"",IFERROR(H94*$B$7/(F94-$B$13),""))</f>
        <v/>
      </c>
      <c r="L94" s="19">
        <f>IFERROR($B$13/F94,"")</f>
        <v/>
      </c>
      <c r="N94" s="19">
        <f>IF(F94&lt;=$B$13,0,IFERROR(1-H94*EXP(-(F94-$B$13)*$B$8/$B$7)*EXP(-$B$8/$B$11),""))</f>
        <v/>
      </c>
      <c r="O94" s="21">
        <f>IF(J94="","",IF(J94&gt;=$B$9,1,0))</f>
        <v/>
      </c>
      <c r="P94" s="21">
        <f>IF(N94="","",IF(N94&gt;=$B$9,1,0))</f>
        <v/>
      </c>
      <c r="Q94" s="22">
        <f>IF(J94="","",$B$9)</f>
        <v/>
      </c>
    </row>
    <row r="95">
      <c r="F95" s="5" t="n">
        <v>74</v>
      </c>
      <c r="G95" s="18">
        <f>IFERROR($B$13*G94/(F95+$B$13*G94),"")</f>
        <v/>
      </c>
      <c r="H95" s="18">
        <f>IFERROR(G95/(1-($B$13/F95)*(1-G95)),"")</f>
        <v/>
      </c>
      <c r="J95" s="19">
        <f>IF(F95&lt;=$B$13,0,IFERROR(1-H95*EXP(-(F95-$B$13)*$B$8/$B$7),""))</f>
        <v/>
      </c>
      <c r="K95" s="20">
        <f>IF(F95&lt;=$B$13,"",IFERROR(H95*$B$7/(F95-$B$13),""))</f>
        <v/>
      </c>
      <c r="L95" s="19">
        <f>IFERROR($B$13/F95,"")</f>
        <v/>
      </c>
      <c r="N95" s="19">
        <f>IF(F95&lt;=$B$13,0,IFERROR(1-H95*EXP(-(F95-$B$13)*$B$8/$B$7)*EXP(-$B$8/$B$11),""))</f>
        <v/>
      </c>
      <c r="O95" s="21">
        <f>IF(J95="","",IF(J95&gt;=$B$9,1,0))</f>
        <v/>
      </c>
      <c r="P95" s="21">
        <f>IF(N95="","",IF(N95&gt;=$B$9,1,0))</f>
        <v/>
      </c>
      <c r="Q95" s="22">
        <f>IF(J95="","",$B$9)</f>
        <v/>
      </c>
    </row>
    <row r="96">
      <c r="F96" s="5" t="n">
        <v>75</v>
      </c>
      <c r="G96" s="18">
        <f>IFERROR($B$13*G95/(F96+$B$13*G95),"")</f>
        <v/>
      </c>
      <c r="H96" s="18">
        <f>IFERROR(G96/(1-($B$13/F96)*(1-G96)),"")</f>
        <v/>
      </c>
      <c r="J96" s="19">
        <f>IF(F96&lt;=$B$13,0,IFERROR(1-H96*EXP(-(F96-$B$13)*$B$8/$B$7),""))</f>
        <v/>
      </c>
      <c r="K96" s="20">
        <f>IF(F96&lt;=$B$13,"",IFERROR(H96*$B$7/(F96-$B$13),""))</f>
        <v/>
      </c>
      <c r="L96" s="19">
        <f>IFERROR($B$13/F96,"")</f>
        <v/>
      </c>
      <c r="N96" s="19">
        <f>IF(F96&lt;=$B$13,0,IFERROR(1-H96*EXP(-(F96-$B$13)*$B$8/$B$7)*EXP(-$B$8/$B$11),""))</f>
        <v/>
      </c>
      <c r="O96" s="21">
        <f>IF(J96="","",IF(J96&gt;=$B$9,1,0))</f>
        <v/>
      </c>
      <c r="P96" s="21">
        <f>IF(N96="","",IF(N96&gt;=$B$9,1,0))</f>
        <v/>
      </c>
      <c r="Q96" s="22">
        <f>IF(J96="","",$B$9)</f>
        <v/>
      </c>
    </row>
    <row r="97">
      <c r="F97" s="5" t="n">
        <v>76</v>
      </c>
      <c r="G97" s="18">
        <f>IFERROR($B$13*G96/(F97+$B$13*G96),"")</f>
        <v/>
      </c>
      <c r="H97" s="18">
        <f>IFERROR(G97/(1-($B$13/F97)*(1-G97)),"")</f>
        <v/>
      </c>
      <c r="J97" s="19">
        <f>IF(F97&lt;=$B$13,0,IFERROR(1-H97*EXP(-(F97-$B$13)*$B$8/$B$7),""))</f>
        <v/>
      </c>
      <c r="K97" s="20">
        <f>IF(F97&lt;=$B$13,"",IFERROR(H97*$B$7/(F97-$B$13),""))</f>
        <v/>
      </c>
      <c r="L97" s="19">
        <f>IFERROR($B$13/F97,"")</f>
        <v/>
      </c>
      <c r="N97" s="19">
        <f>IF(F97&lt;=$B$13,0,IFERROR(1-H97*EXP(-(F97-$B$13)*$B$8/$B$7)*EXP(-$B$8/$B$11),""))</f>
        <v/>
      </c>
      <c r="O97" s="21">
        <f>IF(J97="","",IF(J97&gt;=$B$9,1,0))</f>
        <v/>
      </c>
      <c r="P97" s="21">
        <f>IF(N97="","",IF(N97&gt;=$B$9,1,0))</f>
        <v/>
      </c>
      <c r="Q97" s="22">
        <f>IF(J97="","",$B$9)</f>
        <v/>
      </c>
    </row>
    <row r="98">
      <c r="F98" s="5" t="n">
        <v>77</v>
      </c>
      <c r="G98" s="18">
        <f>IFERROR($B$13*G97/(F98+$B$13*G97),"")</f>
        <v/>
      </c>
      <c r="H98" s="18">
        <f>IFERROR(G98/(1-($B$13/F98)*(1-G98)),"")</f>
        <v/>
      </c>
      <c r="J98" s="19">
        <f>IF(F98&lt;=$B$13,0,IFERROR(1-H98*EXP(-(F98-$B$13)*$B$8/$B$7),""))</f>
        <v/>
      </c>
      <c r="K98" s="20">
        <f>IF(F98&lt;=$B$13,"",IFERROR(H98*$B$7/(F98-$B$13),""))</f>
        <v/>
      </c>
      <c r="L98" s="19">
        <f>IFERROR($B$13/F98,"")</f>
        <v/>
      </c>
      <c r="N98" s="19">
        <f>IF(F98&lt;=$B$13,0,IFERROR(1-H98*EXP(-(F98-$B$13)*$B$8/$B$7)*EXP(-$B$8/$B$11),""))</f>
        <v/>
      </c>
      <c r="O98" s="21">
        <f>IF(J98="","",IF(J98&gt;=$B$9,1,0))</f>
        <v/>
      </c>
      <c r="P98" s="21">
        <f>IF(N98="","",IF(N98&gt;=$B$9,1,0))</f>
        <v/>
      </c>
      <c r="Q98" s="22">
        <f>IF(J98="","",$B$9)</f>
        <v/>
      </c>
    </row>
    <row r="99">
      <c r="F99" s="5" t="n">
        <v>78</v>
      </c>
      <c r="G99" s="18">
        <f>IFERROR($B$13*G98/(F99+$B$13*G98),"")</f>
        <v/>
      </c>
      <c r="H99" s="18">
        <f>IFERROR(G99/(1-($B$13/F99)*(1-G99)),"")</f>
        <v/>
      </c>
      <c r="J99" s="19">
        <f>IF(F99&lt;=$B$13,0,IFERROR(1-H99*EXP(-(F99-$B$13)*$B$8/$B$7),""))</f>
        <v/>
      </c>
      <c r="K99" s="20">
        <f>IF(F99&lt;=$B$13,"",IFERROR(H99*$B$7/(F99-$B$13),""))</f>
        <v/>
      </c>
      <c r="L99" s="19">
        <f>IFERROR($B$13/F99,"")</f>
        <v/>
      </c>
      <c r="N99" s="19">
        <f>IF(F99&lt;=$B$13,0,IFERROR(1-H99*EXP(-(F99-$B$13)*$B$8/$B$7)*EXP(-$B$8/$B$11),""))</f>
        <v/>
      </c>
      <c r="O99" s="21">
        <f>IF(J99="","",IF(J99&gt;=$B$9,1,0))</f>
        <v/>
      </c>
      <c r="P99" s="21">
        <f>IF(N99="","",IF(N99&gt;=$B$9,1,0))</f>
        <v/>
      </c>
      <c r="Q99" s="22">
        <f>IF(J99="","",$B$9)</f>
        <v/>
      </c>
    </row>
    <row r="100">
      <c r="F100" s="5" t="n">
        <v>79</v>
      </c>
      <c r="G100" s="18">
        <f>IFERROR($B$13*G99/(F100+$B$13*G99),"")</f>
        <v/>
      </c>
      <c r="H100" s="18">
        <f>IFERROR(G100/(1-($B$13/F100)*(1-G100)),"")</f>
        <v/>
      </c>
      <c r="J100" s="19">
        <f>IF(F100&lt;=$B$13,0,IFERROR(1-H100*EXP(-(F100-$B$13)*$B$8/$B$7),""))</f>
        <v/>
      </c>
      <c r="K100" s="20">
        <f>IF(F100&lt;=$B$13,"",IFERROR(H100*$B$7/(F100-$B$13),""))</f>
        <v/>
      </c>
      <c r="L100" s="19">
        <f>IFERROR($B$13/F100,"")</f>
        <v/>
      </c>
      <c r="N100" s="19">
        <f>IF(F100&lt;=$B$13,0,IFERROR(1-H100*EXP(-(F100-$B$13)*$B$8/$B$7)*EXP(-$B$8/$B$11),""))</f>
        <v/>
      </c>
      <c r="O100" s="21">
        <f>IF(J100="","",IF(J100&gt;=$B$9,1,0))</f>
        <v/>
      </c>
      <c r="P100" s="21">
        <f>IF(N100="","",IF(N100&gt;=$B$9,1,0))</f>
        <v/>
      </c>
      <c r="Q100" s="22">
        <f>IF(J100="","",$B$9)</f>
        <v/>
      </c>
    </row>
    <row r="101">
      <c r="F101" s="5" t="n">
        <v>80</v>
      </c>
      <c r="G101" s="18">
        <f>IFERROR($B$13*G100/(F101+$B$13*G100),"")</f>
        <v/>
      </c>
      <c r="H101" s="18">
        <f>IFERROR(G101/(1-($B$13/F101)*(1-G101)),"")</f>
        <v/>
      </c>
      <c r="J101" s="19">
        <f>IF(F101&lt;=$B$13,0,IFERROR(1-H101*EXP(-(F101-$B$13)*$B$8/$B$7),""))</f>
        <v/>
      </c>
      <c r="K101" s="20">
        <f>IF(F101&lt;=$B$13,"",IFERROR(H101*$B$7/(F101-$B$13),""))</f>
        <v/>
      </c>
      <c r="L101" s="19">
        <f>IFERROR($B$13/F101,"")</f>
        <v/>
      </c>
      <c r="N101" s="19">
        <f>IF(F101&lt;=$B$13,0,IFERROR(1-H101*EXP(-(F101-$B$13)*$B$8/$B$7)*EXP(-$B$8/$B$11),""))</f>
        <v/>
      </c>
      <c r="O101" s="21">
        <f>IF(J101="","",IF(J101&gt;=$B$9,1,0))</f>
        <v/>
      </c>
      <c r="P101" s="21">
        <f>IF(N101="","",IF(N101&gt;=$B$9,1,0))</f>
        <v/>
      </c>
      <c r="Q101" s="22">
        <f>IF(J101="","",$B$9)</f>
        <v/>
      </c>
    </row>
    <row r="102">
      <c r="F102" s="5" t="n">
        <v>81</v>
      </c>
      <c r="G102" s="18">
        <f>IFERROR($B$13*G101/(F102+$B$13*G101),"")</f>
        <v/>
      </c>
      <c r="H102" s="18">
        <f>IFERROR(G102/(1-($B$13/F102)*(1-G102)),"")</f>
        <v/>
      </c>
      <c r="J102" s="19">
        <f>IF(F102&lt;=$B$13,0,IFERROR(1-H102*EXP(-(F102-$B$13)*$B$8/$B$7),""))</f>
        <v/>
      </c>
      <c r="K102" s="20">
        <f>IF(F102&lt;=$B$13,"",IFERROR(H102*$B$7/(F102-$B$13),""))</f>
        <v/>
      </c>
      <c r="L102" s="19">
        <f>IFERROR($B$13/F102,"")</f>
        <v/>
      </c>
      <c r="N102" s="19">
        <f>IF(F102&lt;=$B$13,0,IFERROR(1-H102*EXP(-(F102-$B$13)*$B$8/$B$7)*EXP(-$B$8/$B$11),""))</f>
        <v/>
      </c>
      <c r="O102" s="21">
        <f>IF(J102="","",IF(J102&gt;=$B$9,1,0))</f>
        <v/>
      </c>
      <c r="P102" s="21">
        <f>IF(N102="","",IF(N102&gt;=$B$9,1,0))</f>
        <v/>
      </c>
      <c r="Q102" s="22">
        <f>IF(J102="","",$B$9)</f>
        <v/>
      </c>
    </row>
    <row r="103">
      <c r="F103" s="5" t="n">
        <v>82</v>
      </c>
      <c r="G103" s="18">
        <f>IFERROR($B$13*G102/(F103+$B$13*G102),"")</f>
        <v/>
      </c>
      <c r="H103" s="18">
        <f>IFERROR(G103/(1-($B$13/F103)*(1-G103)),"")</f>
        <v/>
      </c>
      <c r="J103" s="19">
        <f>IF(F103&lt;=$B$13,0,IFERROR(1-H103*EXP(-(F103-$B$13)*$B$8/$B$7),""))</f>
        <v/>
      </c>
      <c r="K103" s="20">
        <f>IF(F103&lt;=$B$13,"",IFERROR(H103*$B$7/(F103-$B$13),""))</f>
        <v/>
      </c>
      <c r="L103" s="19">
        <f>IFERROR($B$13/F103,"")</f>
        <v/>
      </c>
      <c r="N103" s="19">
        <f>IF(F103&lt;=$B$13,0,IFERROR(1-H103*EXP(-(F103-$B$13)*$B$8/$B$7)*EXP(-$B$8/$B$11),""))</f>
        <v/>
      </c>
      <c r="O103" s="21">
        <f>IF(J103="","",IF(J103&gt;=$B$9,1,0))</f>
        <v/>
      </c>
      <c r="P103" s="21">
        <f>IF(N103="","",IF(N103&gt;=$B$9,1,0))</f>
        <v/>
      </c>
      <c r="Q103" s="22">
        <f>IF(J103="","",$B$9)</f>
        <v/>
      </c>
    </row>
    <row r="104">
      <c r="F104" s="5" t="n">
        <v>83</v>
      </c>
      <c r="G104" s="18">
        <f>IFERROR($B$13*G103/(F104+$B$13*G103),"")</f>
        <v/>
      </c>
      <c r="H104" s="18">
        <f>IFERROR(G104/(1-($B$13/F104)*(1-G104)),"")</f>
        <v/>
      </c>
      <c r="J104" s="19">
        <f>IF(F104&lt;=$B$13,0,IFERROR(1-H104*EXP(-(F104-$B$13)*$B$8/$B$7),""))</f>
        <v/>
      </c>
      <c r="K104" s="20">
        <f>IF(F104&lt;=$B$13,"",IFERROR(H104*$B$7/(F104-$B$13),""))</f>
        <v/>
      </c>
      <c r="L104" s="19">
        <f>IFERROR($B$13/F104,"")</f>
        <v/>
      </c>
      <c r="N104" s="19">
        <f>IF(F104&lt;=$B$13,0,IFERROR(1-H104*EXP(-(F104-$B$13)*$B$8/$B$7)*EXP(-$B$8/$B$11),""))</f>
        <v/>
      </c>
      <c r="O104" s="21">
        <f>IF(J104="","",IF(J104&gt;=$B$9,1,0))</f>
        <v/>
      </c>
      <c r="P104" s="21">
        <f>IF(N104="","",IF(N104&gt;=$B$9,1,0))</f>
        <v/>
      </c>
      <c r="Q104" s="22">
        <f>IF(J104="","",$B$9)</f>
        <v/>
      </c>
    </row>
    <row r="105">
      <c r="F105" s="5" t="n">
        <v>84</v>
      </c>
      <c r="G105" s="18">
        <f>IFERROR($B$13*G104/(F105+$B$13*G104),"")</f>
        <v/>
      </c>
      <c r="H105" s="18">
        <f>IFERROR(G105/(1-($B$13/F105)*(1-G105)),"")</f>
        <v/>
      </c>
      <c r="J105" s="19">
        <f>IF(F105&lt;=$B$13,0,IFERROR(1-H105*EXP(-(F105-$B$13)*$B$8/$B$7),""))</f>
        <v/>
      </c>
      <c r="K105" s="20">
        <f>IF(F105&lt;=$B$13,"",IFERROR(H105*$B$7/(F105-$B$13),""))</f>
        <v/>
      </c>
      <c r="L105" s="19">
        <f>IFERROR($B$13/F105,"")</f>
        <v/>
      </c>
      <c r="N105" s="19">
        <f>IF(F105&lt;=$B$13,0,IFERROR(1-H105*EXP(-(F105-$B$13)*$B$8/$B$7)*EXP(-$B$8/$B$11),""))</f>
        <v/>
      </c>
      <c r="O105" s="21">
        <f>IF(J105="","",IF(J105&gt;=$B$9,1,0))</f>
        <v/>
      </c>
      <c r="P105" s="21">
        <f>IF(N105="","",IF(N105&gt;=$B$9,1,0))</f>
        <v/>
      </c>
      <c r="Q105" s="22">
        <f>IF(J105="","",$B$9)</f>
        <v/>
      </c>
    </row>
    <row r="106">
      <c r="F106" s="5" t="n">
        <v>85</v>
      </c>
      <c r="G106" s="18">
        <f>IFERROR($B$13*G105/(F106+$B$13*G105),"")</f>
        <v/>
      </c>
      <c r="H106" s="18">
        <f>IFERROR(G106/(1-($B$13/F106)*(1-G106)),"")</f>
        <v/>
      </c>
      <c r="J106" s="19">
        <f>IF(F106&lt;=$B$13,0,IFERROR(1-H106*EXP(-(F106-$B$13)*$B$8/$B$7),""))</f>
        <v/>
      </c>
      <c r="K106" s="20">
        <f>IF(F106&lt;=$B$13,"",IFERROR(H106*$B$7/(F106-$B$13),""))</f>
        <v/>
      </c>
      <c r="L106" s="19">
        <f>IFERROR($B$13/F106,"")</f>
        <v/>
      </c>
      <c r="N106" s="19">
        <f>IF(F106&lt;=$B$13,0,IFERROR(1-H106*EXP(-(F106-$B$13)*$B$8/$B$7)*EXP(-$B$8/$B$11),""))</f>
        <v/>
      </c>
      <c r="O106" s="21">
        <f>IF(J106="","",IF(J106&gt;=$B$9,1,0))</f>
        <v/>
      </c>
      <c r="P106" s="21">
        <f>IF(N106="","",IF(N106&gt;=$B$9,1,0))</f>
        <v/>
      </c>
      <c r="Q106" s="22">
        <f>IF(J106="","",$B$9)</f>
        <v/>
      </c>
    </row>
    <row r="107">
      <c r="F107" s="5" t="n">
        <v>86</v>
      </c>
      <c r="G107" s="18">
        <f>IFERROR($B$13*G106/(F107+$B$13*G106),"")</f>
        <v/>
      </c>
      <c r="H107" s="18">
        <f>IFERROR(G107/(1-($B$13/F107)*(1-G107)),"")</f>
        <v/>
      </c>
      <c r="J107" s="19">
        <f>IF(F107&lt;=$B$13,0,IFERROR(1-H107*EXP(-(F107-$B$13)*$B$8/$B$7),""))</f>
        <v/>
      </c>
      <c r="K107" s="20">
        <f>IF(F107&lt;=$B$13,"",IFERROR(H107*$B$7/(F107-$B$13),""))</f>
        <v/>
      </c>
      <c r="L107" s="19">
        <f>IFERROR($B$13/F107,"")</f>
        <v/>
      </c>
      <c r="N107" s="19">
        <f>IF(F107&lt;=$B$13,0,IFERROR(1-H107*EXP(-(F107-$B$13)*$B$8/$B$7)*EXP(-$B$8/$B$11),""))</f>
        <v/>
      </c>
      <c r="O107" s="21">
        <f>IF(J107="","",IF(J107&gt;=$B$9,1,0))</f>
        <v/>
      </c>
      <c r="P107" s="21">
        <f>IF(N107="","",IF(N107&gt;=$B$9,1,0))</f>
        <v/>
      </c>
      <c r="Q107" s="22">
        <f>IF(J107="","",$B$9)</f>
        <v/>
      </c>
    </row>
    <row r="108">
      <c r="F108" s="5" t="n">
        <v>87</v>
      </c>
      <c r="G108" s="18">
        <f>IFERROR($B$13*G107/(F108+$B$13*G107),"")</f>
        <v/>
      </c>
      <c r="H108" s="18">
        <f>IFERROR(G108/(1-($B$13/F108)*(1-G108)),"")</f>
        <v/>
      </c>
      <c r="J108" s="19">
        <f>IF(F108&lt;=$B$13,0,IFERROR(1-H108*EXP(-(F108-$B$13)*$B$8/$B$7),""))</f>
        <v/>
      </c>
      <c r="K108" s="20">
        <f>IF(F108&lt;=$B$13,"",IFERROR(H108*$B$7/(F108-$B$13),""))</f>
        <v/>
      </c>
      <c r="L108" s="19">
        <f>IFERROR($B$13/F108,"")</f>
        <v/>
      </c>
      <c r="N108" s="19">
        <f>IF(F108&lt;=$B$13,0,IFERROR(1-H108*EXP(-(F108-$B$13)*$B$8/$B$7)*EXP(-$B$8/$B$11),""))</f>
        <v/>
      </c>
      <c r="O108" s="21">
        <f>IF(J108="","",IF(J108&gt;=$B$9,1,0))</f>
        <v/>
      </c>
      <c r="P108" s="21">
        <f>IF(N108="","",IF(N108&gt;=$B$9,1,0))</f>
        <v/>
      </c>
      <c r="Q108" s="22">
        <f>IF(J108="","",$B$9)</f>
        <v/>
      </c>
    </row>
    <row r="109">
      <c r="F109" s="5" t="n">
        <v>88</v>
      </c>
      <c r="G109" s="18">
        <f>IFERROR($B$13*G108/(F109+$B$13*G108),"")</f>
        <v/>
      </c>
      <c r="H109" s="18">
        <f>IFERROR(G109/(1-($B$13/F109)*(1-G109)),"")</f>
        <v/>
      </c>
      <c r="J109" s="19">
        <f>IF(F109&lt;=$B$13,0,IFERROR(1-H109*EXP(-(F109-$B$13)*$B$8/$B$7),""))</f>
        <v/>
      </c>
      <c r="K109" s="20">
        <f>IF(F109&lt;=$B$13,"",IFERROR(H109*$B$7/(F109-$B$13),""))</f>
        <v/>
      </c>
      <c r="L109" s="19">
        <f>IFERROR($B$13/F109,"")</f>
        <v/>
      </c>
      <c r="N109" s="19">
        <f>IF(F109&lt;=$B$13,0,IFERROR(1-H109*EXP(-(F109-$B$13)*$B$8/$B$7)*EXP(-$B$8/$B$11),""))</f>
        <v/>
      </c>
      <c r="O109" s="21">
        <f>IF(J109="","",IF(J109&gt;=$B$9,1,0))</f>
        <v/>
      </c>
      <c r="P109" s="21">
        <f>IF(N109="","",IF(N109&gt;=$B$9,1,0))</f>
        <v/>
      </c>
      <c r="Q109" s="22">
        <f>IF(J109="","",$B$9)</f>
        <v/>
      </c>
    </row>
    <row r="110">
      <c r="F110" s="5" t="n">
        <v>89</v>
      </c>
      <c r="G110" s="18">
        <f>IFERROR($B$13*G109/(F110+$B$13*G109),"")</f>
        <v/>
      </c>
      <c r="H110" s="18">
        <f>IFERROR(G110/(1-($B$13/F110)*(1-G110)),"")</f>
        <v/>
      </c>
      <c r="J110" s="19">
        <f>IF(F110&lt;=$B$13,0,IFERROR(1-H110*EXP(-(F110-$B$13)*$B$8/$B$7),""))</f>
        <v/>
      </c>
      <c r="K110" s="20">
        <f>IF(F110&lt;=$B$13,"",IFERROR(H110*$B$7/(F110-$B$13),""))</f>
        <v/>
      </c>
      <c r="L110" s="19">
        <f>IFERROR($B$13/F110,"")</f>
        <v/>
      </c>
      <c r="N110" s="19">
        <f>IF(F110&lt;=$B$13,0,IFERROR(1-H110*EXP(-(F110-$B$13)*$B$8/$B$7)*EXP(-$B$8/$B$11),""))</f>
        <v/>
      </c>
      <c r="O110" s="21">
        <f>IF(J110="","",IF(J110&gt;=$B$9,1,0))</f>
        <v/>
      </c>
      <c r="P110" s="21">
        <f>IF(N110="","",IF(N110&gt;=$B$9,1,0))</f>
        <v/>
      </c>
      <c r="Q110" s="22">
        <f>IF(J110="","",$B$9)</f>
        <v/>
      </c>
    </row>
    <row r="111">
      <c r="F111" s="5" t="n">
        <v>90</v>
      </c>
      <c r="G111" s="18">
        <f>IFERROR($B$13*G110/(F111+$B$13*G110),"")</f>
        <v/>
      </c>
      <c r="H111" s="18">
        <f>IFERROR(G111/(1-($B$13/F111)*(1-G111)),"")</f>
        <v/>
      </c>
      <c r="J111" s="19">
        <f>IF(F111&lt;=$B$13,0,IFERROR(1-H111*EXP(-(F111-$B$13)*$B$8/$B$7),""))</f>
        <v/>
      </c>
      <c r="K111" s="20">
        <f>IF(F111&lt;=$B$13,"",IFERROR(H111*$B$7/(F111-$B$13),""))</f>
        <v/>
      </c>
      <c r="L111" s="19">
        <f>IFERROR($B$13/F111,"")</f>
        <v/>
      </c>
      <c r="N111" s="19">
        <f>IF(F111&lt;=$B$13,0,IFERROR(1-H111*EXP(-(F111-$B$13)*$B$8/$B$7)*EXP(-$B$8/$B$11),""))</f>
        <v/>
      </c>
      <c r="O111" s="21">
        <f>IF(J111="","",IF(J111&gt;=$B$9,1,0))</f>
        <v/>
      </c>
      <c r="P111" s="21">
        <f>IF(N111="","",IF(N111&gt;=$B$9,1,0))</f>
        <v/>
      </c>
      <c r="Q111" s="22">
        <f>IF(J111="","",$B$9)</f>
        <v/>
      </c>
    </row>
    <row r="112">
      <c r="F112" s="5" t="n">
        <v>91</v>
      </c>
      <c r="G112" s="18">
        <f>IFERROR($B$13*G111/(F112+$B$13*G111),"")</f>
        <v/>
      </c>
      <c r="H112" s="18">
        <f>IFERROR(G112/(1-($B$13/F112)*(1-G112)),"")</f>
        <v/>
      </c>
      <c r="J112" s="19">
        <f>IF(F112&lt;=$B$13,0,IFERROR(1-H112*EXP(-(F112-$B$13)*$B$8/$B$7),""))</f>
        <v/>
      </c>
      <c r="K112" s="20">
        <f>IF(F112&lt;=$B$13,"",IFERROR(H112*$B$7/(F112-$B$13),""))</f>
        <v/>
      </c>
      <c r="L112" s="19">
        <f>IFERROR($B$13/F112,"")</f>
        <v/>
      </c>
      <c r="N112" s="19">
        <f>IF(F112&lt;=$B$13,0,IFERROR(1-H112*EXP(-(F112-$B$13)*$B$8/$B$7)*EXP(-$B$8/$B$11),""))</f>
        <v/>
      </c>
      <c r="O112" s="21">
        <f>IF(J112="","",IF(J112&gt;=$B$9,1,0))</f>
        <v/>
      </c>
      <c r="P112" s="21">
        <f>IF(N112="","",IF(N112&gt;=$B$9,1,0))</f>
        <v/>
      </c>
      <c r="Q112" s="22">
        <f>IF(J112="","",$B$9)</f>
        <v/>
      </c>
    </row>
    <row r="113">
      <c r="F113" s="5" t="n">
        <v>92</v>
      </c>
      <c r="G113" s="18">
        <f>IFERROR($B$13*G112/(F113+$B$13*G112),"")</f>
        <v/>
      </c>
      <c r="H113" s="18">
        <f>IFERROR(G113/(1-($B$13/F113)*(1-G113)),"")</f>
        <v/>
      </c>
      <c r="J113" s="19">
        <f>IF(F113&lt;=$B$13,0,IFERROR(1-H113*EXP(-(F113-$B$13)*$B$8/$B$7),""))</f>
        <v/>
      </c>
      <c r="K113" s="20">
        <f>IF(F113&lt;=$B$13,"",IFERROR(H113*$B$7/(F113-$B$13),""))</f>
        <v/>
      </c>
      <c r="L113" s="19">
        <f>IFERROR($B$13/F113,"")</f>
        <v/>
      </c>
      <c r="N113" s="19">
        <f>IF(F113&lt;=$B$13,0,IFERROR(1-H113*EXP(-(F113-$B$13)*$B$8/$B$7)*EXP(-$B$8/$B$11),""))</f>
        <v/>
      </c>
      <c r="O113" s="21">
        <f>IF(J113="","",IF(J113&gt;=$B$9,1,0))</f>
        <v/>
      </c>
      <c r="P113" s="21">
        <f>IF(N113="","",IF(N113&gt;=$B$9,1,0))</f>
        <v/>
      </c>
      <c r="Q113" s="22">
        <f>IF(J113="","",$B$9)</f>
        <v/>
      </c>
    </row>
    <row r="114">
      <c r="F114" s="5" t="n">
        <v>93</v>
      </c>
      <c r="G114" s="18">
        <f>IFERROR($B$13*G113/(F114+$B$13*G113),"")</f>
        <v/>
      </c>
      <c r="H114" s="18">
        <f>IFERROR(G114/(1-($B$13/F114)*(1-G114)),"")</f>
        <v/>
      </c>
      <c r="J114" s="19">
        <f>IF(F114&lt;=$B$13,0,IFERROR(1-H114*EXP(-(F114-$B$13)*$B$8/$B$7),""))</f>
        <v/>
      </c>
      <c r="K114" s="20">
        <f>IF(F114&lt;=$B$13,"",IFERROR(H114*$B$7/(F114-$B$13),""))</f>
        <v/>
      </c>
      <c r="L114" s="19">
        <f>IFERROR($B$13/F114,"")</f>
        <v/>
      </c>
      <c r="N114" s="19">
        <f>IF(F114&lt;=$B$13,0,IFERROR(1-H114*EXP(-(F114-$B$13)*$B$8/$B$7)*EXP(-$B$8/$B$11),""))</f>
        <v/>
      </c>
      <c r="O114" s="21">
        <f>IF(J114="","",IF(J114&gt;=$B$9,1,0))</f>
        <v/>
      </c>
      <c r="P114" s="21">
        <f>IF(N114="","",IF(N114&gt;=$B$9,1,0))</f>
        <v/>
      </c>
      <c r="Q114" s="22">
        <f>IF(J114="","",$B$9)</f>
        <v/>
      </c>
    </row>
    <row r="115">
      <c r="F115" s="5" t="n">
        <v>94</v>
      </c>
      <c r="G115" s="18">
        <f>IFERROR($B$13*G114/(F115+$B$13*G114),"")</f>
        <v/>
      </c>
      <c r="H115" s="18">
        <f>IFERROR(G115/(1-($B$13/F115)*(1-G115)),"")</f>
        <v/>
      </c>
      <c r="J115" s="19">
        <f>IF(F115&lt;=$B$13,0,IFERROR(1-H115*EXP(-(F115-$B$13)*$B$8/$B$7),""))</f>
        <v/>
      </c>
      <c r="K115" s="20">
        <f>IF(F115&lt;=$B$13,"",IFERROR(H115*$B$7/(F115-$B$13),""))</f>
        <v/>
      </c>
      <c r="L115" s="19">
        <f>IFERROR($B$13/F115,"")</f>
        <v/>
      </c>
      <c r="N115" s="19">
        <f>IF(F115&lt;=$B$13,0,IFERROR(1-H115*EXP(-(F115-$B$13)*$B$8/$B$7)*EXP(-$B$8/$B$11),""))</f>
        <v/>
      </c>
      <c r="O115" s="21">
        <f>IF(J115="","",IF(J115&gt;=$B$9,1,0))</f>
        <v/>
      </c>
      <c r="P115" s="21">
        <f>IF(N115="","",IF(N115&gt;=$B$9,1,0))</f>
        <v/>
      </c>
      <c r="Q115" s="22">
        <f>IF(J115="","",$B$9)</f>
        <v/>
      </c>
    </row>
    <row r="116">
      <c r="F116" s="5" t="n">
        <v>95</v>
      </c>
      <c r="G116" s="18">
        <f>IFERROR($B$13*G115/(F116+$B$13*G115),"")</f>
        <v/>
      </c>
      <c r="H116" s="18">
        <f>IFERROR(G116/(1-($B$13/F116)*(1-G116)),"")</f>
        <v/>
      </c>
      <c r="J116" s="19">
        <f>IF(F116&lt;=$B$13,0,IFERROR(1-H116*EXP(-(F116-$B$13)*$B$8/$B$7),""))</f>
        <v/>
      </c>
      <c r="K116" s="20">
        <f>IF(F116&lt;=$B$13,"",IFERROR(H116*$B$7/(F116-$B$13),""))</f>
        <v/>
      </c>
      <c r="L116" s="19">
        <f>IFERROR($B$13/F116,"")</f>
        <v/>
      </c>
      <c r="N116" s="19">
        <f>IF(F116&lt;=$B$13,0,IFERROR(1-H116*EXP(-(F116-$B$13)*$B$8/$B$7)*EXP(-$B$8/$B$11),""))</f>
        <v/>
      </c>
      <c r="O116" s="21">
        <f>IF(J116="","",IF(J116&gt;=$B$9,1,0))</f>
        <v/>
      </c>
      <c r="P116" s="21">
        <f>IF(N116="","",IF(N116&gt;=$B$9,1,0))</f>
        <v/>
      </c>
      <c r="Q116" s="22">
        <f>IF(J116="","",$B$9)</f>
        <v/>
      </c>
    </row>
    <row r="117">
      <c r="F117" s="5" t="n">
        <v>96</v>
      </c>
      <c r="G117" s="18">
        <f>IFERROR($B$13*G116/(F117+$B$13*G116),"")</f>
        <v/>
      </c>
      <c r="H117" s="18">
        <f>IFERROR(G117/(1-($B$13/F117)*(1-G117)),"")</f>
        <v/>
      </c>
      <c r="J117" s="19">
        <f>IF(F117&lt;=$B$13,0,IFERROR(1-H117*EXP(-(F117-$B$13)*$B$8/$B$7),""))</f>
        <v/>
      </c>
      <c r="K117" s="20">
        <f>IF(F117&lt;=$B$13,"",IFERROR(H117*$B$7/(F117-$B$13),""))</f>
        <v/>
      </c>
      <c r="L117" s="19">
        <f>IFERROR($B$13/F117,"")</f>
        <v/>
      </c>
      <c r="N117" s="19">
        <f>IF(F117&lt;=$B$13,0,IFERROR(1-H117*EXP(-(F117-$B$13)*$B$8/$B$7)*EXP(-$B$8/$B$11),""))</f>
        <v/>
      </c>
      <c r="O117" s="21">
        <f>IF(J117="","",IF(J117&gt;=$B$9,1,0))</f>
        <v/>
      </c>
      <c r="P117" s="21">
        <f>IF(N117="","",IF(N117&gt;=$B$9,1,0))</f>
        <v/>
      </c>
      <c r="Q117" s="22">
        <f>IF(J117="","",$B$9)</f>
        <v/>
      </c>
    </row>
    <row r="118">
      <c r="F118" s="5" t="n">
        <v>97</v>
      </c>
      <c r="G118" s="18">
        <f>IFERROR($B$13*G117/(F118+$B$13*G117),"")</f>
        <v/>
      </c>
      <c r="H118" s="18">
        <f>IFERROR(G118/(1-($B$13/F118)*(1-G118)),"")</f>
        <v/>
      </c>
      <c r="J118" s="19">
        <f>IF(F118&lt;=$B$13,0,IFERROR(1-H118*EXP(-(F118-$B$13)*$B$8/$B$7),""))</f>
        <v/>
      </c>
      <c r="K118" s="20">
        <f>IF(F118&lt;=$B$13,"",IFERROR(H118*$B$7/(F118-$B$13),""))</f>
        <v/>
      </c>
      <c r="L118" s="19">
        <f>IFERROR($B$13/F118,"")</f>
        <v/>
      </c>
      <c r="N118" s="19">
        <f>IF(F118&lt;=$B$13,0,IFERROR(1-H118*EXP(-(F118-$B$13)*$B$8/$B$7)*EXP(-$B$8/$B$11),""))</f>
        <v/>
      </c>
      <c r="O118" s="21">
        <f>IF(J118="","",IF(J118&gt;=$B$9,1,0))</f>
        <v/>
      </c>
      <c r="P118" s="21">
        <f>IF(N118="","",IF(N118&gt;=$B$9,1,0))</f>
        <v/>
      </c>
      <c r="Q118" s="22">
        <f>IF(J118="","",$B$9)</f>
        <v/>
      </c>
    </row>
    <row r="119">
      <c r="F119" s="5" t="n">
        <v>98</v>
      </c>
      <c r="G119" s="18">
        <f>IFERROR($B$13*G118/(F119+$B$13*G118),"")</f>
        <v/>
      </c>
      <c r="H119" s="18">
        <f>IFERROR(G119/(1-($B$13/F119)*(1-G119)),"")</f>
        <v/>
      </c>
      <c r="J119" s="19">
        <f>IF(F119&lt;=$B$13,0,IFERROR(1-H119*EXP(-(F119-$B$13)*$B$8/$B$7),""))</f>
        <v/>
      </c>
      <c r="K119" s="20">
        <f>IF(F119&lt;=$B$13,"",IFERROR(H119*$B$7/(F119-$B$13),""))</f>
        <v/>
      </c>
      <c r="L119" s="19">
        <f>IFERROR($B$13/F119,"")</f>
        <v/>
      </c>
      <c r="N119" s="19">
        <f>IF(F119&lt;=$B$13,0,IFERROR(1-H119*EXP(-(F119-$B$13)*$B$8/$B$7)*EXP(-$B$8/$B$11),""))</f>
        <v/>
      </c>
      <c r="O119" s="21">
        <f>IF(J119="","",IF(J119&gt;=$B$9,1,0))</f>
        <v/>
      </c>
      <c r="P119" s="21">
        <f>IF(N119="","",IF(N119&gt;=$B$9,1,0))</f>
        <v/>
      </c>
      <c r="Q119" s="22">
        <f>IF(J119="","",$B$9)</f>
        <v/>
      </c>
    </row>
    <row r="120">
      <c r="F120" s="5" t="n">
        <v>99</v>
      </c>
      <c r="G120" s="18">
        <f>IFERROR($B$13*G119/(F120+$B$13*G119),"")</f>
        <v/>
      </c>
      <c r="H120" s="18">
        <f>IFERROR(G120/(1-($B$13/F120)*(1-G120)),"")</f>
        <v/>
      </c>
      <c r="J120" s="19">
        <f>IF(F120&lt;=$B$13,0,IFERROR(1-H120*EXP(-(F120-$B$13)*$B$8/$B$7),""))</f>
        <v/>
      </c>
      <c r="K120" s="20">
        <f>IF(F120&lt;=$B$13,"",IFERROR(H120*$B$7/(F120-$B$13),""))</f>
        <v/>
      </c>
      <c r="L120" s="19">
        <f>IFERROR($B$13/F120,"")</f>
        <v/>
      </c>
      <c r="N120" s="19">
        <f>IF(F120&lt;=$B$13,0,IFERROR(1-H120*EXP(-(F120-$B$13)*$B$8/$B$7)*EXP(-$B$8/$B$11),""))</f>
        <v/>
      </c>
      <c r="O120" s="21">
        <f>IF(J120="","",IF(J120&gt;=$B$9,1,0))</f>
        <v/>
      </c>
      <c r="P120" s="21">
        <f>IF(N120="","",IF(N120&gt;=$B$9,1,0))</f>
        <v/>
      </c>
      <c r="Q120" s="22">
        <f>IF(J120="","",$B$9)</f>
        <v/>
      </c>
    </row>
    <row r="121">
      <c r="F121" s="5" t="n">
        <v>100</v>
      </c>
      <c r="G121" s="18">
        <f>IFERROR($B$13*G120/(F121+$B$13*G120),"")</f>
        <v/>
      </c>
      <c r="H121" s="18">
        <f>IFERROR(G121/(1-($B$13/F121)*(1-G121)),"")</f>
        <v/>
      </c>
      <c r="J121" s="19">
        <f>IF(F121&lt;=$B$13,0,IFERROR(1-H121*EXP(-(F121-$B$13)*$B$8/$B$7),""))</f>
        <v/>
      </c>
      <c r="K121" s="20">
        <f>IF(F121&lt;=$B$13,"",IFERROR(H121*$B$7/(F121-$B$13),""))</f>
        <v/>
      </c>
      <c r="L121" s="19">
        <f>IFERROR($B$13/F121,"")</f>
        <v/>
      </c>
      <c r="N121" s="19">
        <f>IF(F121&lt;=$B$13,0,IFERROR(1-H121*EXP(-(F121-$B$13)*$B$8/$B$7)*EXP(-$B$8/$B$11),""))</f>
        <v/>
      </c>
      <c r="O121" s="21">
        <f>IF(J121="","",IF(J121&gt;=$B$9,1,0))</f>
        <v/>
      </c>
      <c r="P121" s="21">
        <f>IF(N121="","",IF(N121&gt;=$B$9,1,0))</f>
        <v/>
      </c>
      <c r="Q121" s="22">
        <f>IF(J121="","",$B$9)</f>
        <v/>
      </c>
    </row>
    <row r="122"/>
    <row r="123">
      <c r="A123" s="5" t="inlineStr">
        <is>
          <t>Read the curve, not just the number. Between the offered load and your answer each agent buys a great deal of service level; past it each one buys very little. That shape is why cutting two agents from a comfortable roster is survivable and cutting two from a tight one is not — and it is the argument to take into a budget conversation.</t>
        </is>
      </c>
    </row>
  </sheetData>
  <mergeCells count="18">
    <mergeCell ref="D8:N8"/>
    <mergeCell ref="D6:N6"/>
    <mergeCell ref="D14:N14"/>
    <mergeCell ref="A12:N12"/>
    <mergeCell ref="A4:N4"/>
    <mergeCell ref="D17:N17"/>
    <mergeCell ref="D7:N7"/>
    <mergeCell ref="A20:N20"/>
    <mergeCell ref="A2:N2"/>
    <mergeCell ref="D19:N19"/>
    <mergeCell ref="D11:N11"/>
    <mergeCell ref="D9:N9"/>
    <mergeCell ref="D5:N5"/>
    <mergeCell ref="D10:N10"/>
    <mergeCell ref="D13:N13"/>
    <mergeCell ref="A123:N123"/>
    <mergeCell ref="D18:N18"/>
    <mergeCell ref="A1:N1"/>
  </mergeCells>
  <printOptions horizontalCentered="1"/>
  <pageMargins left="0.4" right="0.4" top="0.5" bottom="0.5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2026-08-01T04:27:31Z</dcterms:created>
  <dcterms:modified xsi:type="dcterms:W3CDTF">2026-08-01T04:27:31Z</dcterms:modified>
</cp:coreProperties>
</file>