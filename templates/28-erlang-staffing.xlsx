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30" customHeight="1">
      <c r="A9" s="8" t="inlineStr">
        <is>
          <t>Target service level</t>
        </is>
      </c>
      <c r="B9" s="11" t="n">
        <v>0.8</v>
      </c>
      <c r="D9" s="10" t="inlineStr">
        <is>
          <t>The 80. SL = service level, the share of contacts answered inside your target time — this cell and the one above are the whole promise, and both come from whoever signed it.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 ht="45" customHeight="1">
      <c r="A15" s="8" t="inlineStr">
        <is>
          <t>Service level at that staffing</t>
        </is>
      </c>
      <c r="B15" s="15">
        <f>IFERROR(INDEX($J$22:$J$121,MATCH($B$14,$F$22:$F$121,0)),"")</f>
        <v/>
      </c>
      <c r="D15" s="10" t="inlineStr">
        <is>
          <t>What you would actually deliver at that headcount. It normally overshoots the target, because agents come in whole numbers and the one that takes you over the line buys a lot of service level. Do not shave it back off — the next interval will need it.</t>
        </is>
      </c>
    </row>
    <row r="16" ht="45" customHeight="1">
      <c r="A16" s="8" t="inlineStr">
        <is>
          <t>Average speed of answer (seconds)</t>
        </is>
      </c>
      <c r="B16" s="16">
        <f>IFERROR(INDEX($K$22:$K$121,MATCH($B$14,$F$22:$F$121,0)),"")</f>
        <v/>
      </c>
      <c r="D16" s="10" t="inlineStr">
        <is>
          <t>ASA = average speed of answer, in seconds — averaged over everyone, including the callers answered instantly. It is not the wait a queued caller feels, which is much longer. Report service level to customers and ASA to operations.</t>
        </is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IF(F22&lt;=$B$13,"",IFERROR($B$13/F22,""))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IF(F23&lt;=$B$13,"",IFERROR($B$13/F23,""))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IF(F24&lt;=$B$13,"",IFERROR($B$13/F24,""))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IF(F25&lt;=$B$13,"",IFERROR($B$13/F25,""))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IF(F26&lt;=$B$13,"",IFERROR($B$13/F26,""))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IF(F27&lt;=$B$13,"",IFERROR($B$13/F27,""))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IF(F28&lt;=$B$13,"",IFERROR($B$13/F28,""))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IF(F29&lt;=$B$13,"",IFERROR($B$13/F29,""))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IF(F30&lt;=$B$13,"",IFERROR($B$13/F30,""))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IF(F31&lt;=$B$13,"",IFERROR($B$13/F31,""))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IF(F32&lt;=$B$13,"",IFERROR($B$13/F32,""))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IF(F33&lt;=$B$13,"",IFERROR($B$13/F33,""))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IF(F34&lt;=$B$13,"",IFERROR($B$13/F34,""))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IF(F35&lt;=$B$13,"",IFERROR($B$13/F35,""))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IF(F36&lt;=$B$13,"",IFERROR($B$13/F36,""))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IF(F37&lt;=$B$13,"",IFERROR($B$13/F37,""))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IF(F38&lt;=$B$13,"",IFERROR($B$13/F38,""))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IF(F39&lt;=$B$13,"",IFERROR($B$13/F39,""))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IF(F40&lt;=$B$13,"",IFERROR($B$13/F40,""))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IF(F41&lt;=$B$13,"",IFERROR($B$13/F41,""))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IF(F42&lt;=$B$13,"",IFERROR($B$13/F42,""))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IF(F43&lt;=$B$13,"",IFERROR($B$13/F43,""))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IF(F44&lt;=$B$13,"",IFERROR($B$13/F44,""))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IF(F45&lt;=$B$13,"",IFERROR($B$13/F45,""))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IF(F46&lt;=$B$13,"",IFERROR($B$13/F46,""))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IF(F47&lt;=$B$13,"",IFERROR($B$13/F47,""))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IF(F48&lt;=$B$13,"",IFERROR($B$13/F48,""))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IF(F49&lt;=$B$13,"",IFERROR($B$13/F49,""))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IF(F50&lt;=$B$13,"",IFERROR($B$13/F50,""))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IF(F51&lt;=$B$13,"",IFERROR($B$13/F51,""))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IF(F52&lt;=$B$13,"",IFERROR($B$13/F52,""))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IF(F53&lt;=$B$13,"",IFERROR($B$13/F53,""))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IF(F54&lt;=$B$13,"",IFERROR($B$13/F54,""))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IF(F55&lt;=$B$13,"",IFERROR($B$13/F55,""))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IF(F56&lt;=$B$13,"",IFERROR($B$13/F56,""))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IF(F57&lt;=$B$13,"",IFERROR($B$13/F57,""))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IF(F58&lt;=$B$13,"",IFERROR($B$13/F58,""))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IF(F59&lt;=$B$13,"",IFERROR($B$13/F59,""))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IF(F60&lt;=$B$13,"",IFERROR($B$13/F60,""))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IF(F61&lt;=$B$13,"",IFERROR($B$13/F61,""))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IF(F62&lt;=$B$13,"",IFERROR($B$13/F62,""))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IF(F63&lt;=$B$13,"",IFERROR($B$13/F63,""))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IF(F64&lt;=$B$13,"",IFERROR($B$13/F64,""))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IF(F65&lt;=$B$13,"",IFERROR($B$13/F65,""))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IF(F66&lt;=$B$13,"",IFERROR($B$13/F66,""))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IF(F67&lt;=$B$13,"",IFERROR($B$13/F67,""))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IF(F68&lt;=$B$13,"",IFERROR($B$13/F68,""))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IF(F69&lt;=$B$13,"",IFERROR($B$13/F69,""))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IF(F70&lt;=$B$13,"",IFERROR($B$13/F70,""))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IF(F71&lt;=$B$13,"",IFERROR($B$13/F71,""))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IF(F72&lt;=$B$13,"",IFERROR($B$13/F72,""))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IF(F73&lt;=$B$13,"",IFERROR($B$13/F73,""))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IF(F74&lt;=$B$13,"",IFERROR($B$13/F74,""))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IF(F75&lt;=$B$13,"",IFERROR($B$13/F75,""))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IF(F76&lt;=$B$13,"",IFERROR($B$13/F76,""))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IF(F77&lt;=$B$13,"",IFERROR($B$13/F77,""))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IF(F78&lt;=$B$13,"",IFERROR($B$13/F78,""))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IF(F79&lt;=$B$13,"",IFERROR($B$13/F79,""))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IF(F80&lt;=$B$13,"",IFERROR($B$13/F80,""))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IF(F81&lt;=$B$13,"",IFERROR($B$13/F81,""))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IF(F82&lt;=$B$13,"",IFERROR($B$13/F82,""))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IF(F83&lt;=$B$13,"",IFERROR($B$13/F83,""))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IF(F84&lt;=$B$13,"",IFERROR($B$13/F84,""))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IF(F85&lt;=$B$13,"",IFERROR($B$13/F85,""))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IF(F86&lt;=$B$13,"",IFERROR($B$13/F86,""))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IF(F87&lt;=$B$13,"",IFERROR($B$13/F87,""))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IF(F88&lt;=$B$13,"",IFERROR($B$13/F88,""))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IF(F89&lt;=$B$13,"",IFERROR($B$13/F89,""))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IF(F90&lt;=$B$13,"",IFERROR($B$13/F90,""))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IF(F91&lt;=$B$13,"",IFERROR($B$13/F91,""))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IF(F92&lt;=$B$13,"",IFERROR($B$13/F92,""))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IF(F93&lt;=$B$13,"",IFERROR($B$13/F93,""))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IF(F94&lt;=$B$13,"",IFERROR($B$13/F94,""))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IF(F95&lt;=$B$13,"",IFERROR($B$13/F95,""))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IF(F96&lt;=$B$13,"",IFERROR($B$13/F96,""))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IF(F97&lt;=$B$13,"",IFERROR($B$13/F97,""))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IF(F98&lt;=$B$13,"",IFERROR($B$13/F98,""))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IF(F99&lt;=$B$13,"",IFERROR($B$13/F99,""))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IF(F100&lt;=$B$13,"",IFERROR($B$13/F100,""))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IF(F101&lt;=$B$13,"",IFERROR($B$13/F101,""))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IF(F102&lt;=$B$13,"",IFERROR($B$13/F102,""))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IF(F103&lt;=$B$13,"",IFERROR($B$13/F103,""))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IF(F104&lt;=$B$13,"",IFERROR($B$13/F104,""))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IF(F105&lt;=$B$13,"",IFERROR($B$13/F105,""))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IF(F106&lt;=$B$13,"",IFERROR($B$13/F106,""))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IF(F107&lt;=$B$13,"",IFERROR($B$13/F107,""))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IF(F108&lt;=$B$13,"",IFERROR($B$13/F108,""))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IF(F109&lt;=$B$13,"",IFERROR($B$13/F109,""))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IF(F110&lt;=$B$13,"",IFERROR($B$13/F110,""))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IF(F111&lt;=$B$13,"",IFERROR($B$13/F111,""))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IF(F112&lt;=$B$13,"",IFERROR($B$13/F112,""))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IF(F113&lt;=$B$13,"",IFERROR($B$13/F113,""))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IF(F114&lt;=$B$13,"",IFERROR($B$13/F114,""))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IF(F115&lt;=$B$13,"",IFERROR($B$13/F115,""))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IF(F116&lt;=$B$13,"",IFERROR($B$13/F116,""))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IF(F117&lt;=$B$13,"",IFERROR($B$13/F117,""))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IF(F118&lt;=$B$13,"",IFERROR($B$13/F118,""))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IF(F119&lt;=$B$13,"",IFERROR($B$13/F119,""))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IF(F120&lt;=$B$13,"",IFERROR($B$13/F120,""))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IF(F121&lt;=$B$13,"",IFERROR($B$13/F121,""))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20">
    <mergeCell ref="D19:N19"/>
    <mergeCell ref="D10:N10"/>
    <mergeCell ref="A123:N123"/>
    <mergeCell ref="A1:N1"/>
    <mergeCell ref="D6:N6"/>
    <mergeCell ref="D11:N11"/>
    <mergeCell ref="D13:N13"/>
    <mergeCell ref="D17:N17"/>
    <mergeCell ref="A12:N12"/>
    <mergeCell ref="D16:N16"/>
    <mergeCell ref="D7:N7"/>
    <mergeCell ref="A2:N2"/>
    <mergeCell ref="D18:N18"/>
    <mergeCell ref="D9:N9"/>
    <mergeCell ref="D8:N8"/>
    <mergeCell ref="A4:N4"/>
    <mergeCell ref="A20:N20"/>
    <mergeCell ref="D15:N15"/>
    <mergeCell ref="D5:N5"/>
    <mergeCell ref="D14:N14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