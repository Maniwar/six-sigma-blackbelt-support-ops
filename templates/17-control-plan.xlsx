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How to use this" sheetId="1" state="visible" r:id="rId1"/>
    <sheet name="Control plan" sheetId="2" state="visible" r:id="rId2"/>
    <sheet name="Which chart to use"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0">
    <font>
      <name val="Calibri"/>
      <charset val="1"/>
      <family val="2"/>
      <color theme="1"/>
      <sz val="11"/>
    </font>
    <font>
      <name val="Arial"/>
      <family val="0"/>
      <sz val="10"/>
    </font>
    <font>
      <name val="Arial"/>
      <family val="0"/>
      <sz val="10"/>
    </font>
    <font>
      <name val="Arial"/>
      <family val="0"/>
      <sz val="10"/>
    </font>
    <font>
      <name val="Arial"/>
      <charset val="1"/>
      <family val="0"/>
      <b val="1"/>
      <color rgb="FF1F2937"/>
      <sz val="18"/>
    </font>
    <font>
      <name val="Arial"/>
      <charset val="1"/>
      <family val="0"/>
      <color rgb="FF1F2937"/>
      <sz val="10"/>
    </font>
    <font>
      <name val="Arial"/>
      <charset val="1"/>
      <family val="0"/>
      <b val="1"/>
      <color rgb="FFB45309"/>
      <sz val="12"/>
    </font>
    <font>
      <name val="Arial"/>
      <charset val="1"/>
      <family val="0"/>
      <b val="1"/>
      <color rgb="FFB91C1C"/>
      <sz val="10"/>
    </font>
    <font>
      <name val="Arial"/>
      <charset val="1"/>
      <family val="0"/>
      <b val="1"/>
      <color rgb="FFFFFFFF"/>
      <sz val="14"/>
    </font>
    <font>
      <name val="Arial"/>
      <charset val="1"/>
      <family val="0"/>
      <i val="1"/>
      <color rgb="FF657085"/>
      <sz val="9"/>
    </font>
    <font>
      <name val="Arial"/>
      <charset val="1"/>
      <family val="0"/>
      <b val="1"/>
      <color rgb="FFB45309"/>
      <sz val="9"/>
    </font>
    <font>
      <name val="Arial"/>
      <charset val="1"/>
      <family val="0"/>
      <color rgb="FF1F2937"/>
      <sz val="9"/>
    </font>
    <font>
      <name val="Arial"/>
      <charset val="1"/>
      <family val="0"/>
      <b val="1"/>
      <color rgb="FFFFFFFF"/>
      <sz val="9"/>
    </font>
    <font>
      <name val="Arial"/>
      <charset val="1"/>
      <family val="0"/>
      <color rgb="FF006100"/>
      <sz val="10"/>
    </font>
    <font>
      <name val="Arial"/>
      <charset val="1"/>
      <family val="0"/>
      <color rgb="FF0000FF"/>
      <sz val="10"/>
    </font>
    <font>
      <name val="Arial"/>
      <charset val="1"/>
      <family val="0"/>
      <b val="1"/>
      <color rgb="FF1F2937"/>
      <sz val="10"/>
    </font>
    <font>
      <name val="Arial"/>
      <charset val="1"/>
      <family val="0"/>
      <b val="1"/>
      <color rgb="FF1F2937"/>
      <sz val="11"/>
    </font>
    <font>
      <name val="Arial"/>
      <charset val="1"/>
      <family val="0"/>
      <b val="1"/>
      <color rgb="FFB45309"/>
      <sz val="10"/>
    </font>
    <font>
      <b val="1"/>
      <sz val="10"/>
    </font>
    <font>
      <i val="1"/>
      <color rgb="FF6B7280"/>
      <sz val="9"/>
    </font>
  </fonts>
  <fills count="11">
    <fill>
      <patternFill/>
    </fill>
    <fill>
      <patternFill patternType="gray125"/>
    </fill>
    <fill>
      <patternFill patternType="solid">
        <fgColor rgb="FFFDEEEE"/>
        <bgColor rgb="FFEEF1F6"/>
      </patternFill>
    </fill>
    <fill>
      <patternFill patternType="solid">
        <fgColor rgb="FF151B24"/>
        <bgColor rgb="FF1F2937"/>
      </patternFill>
    </fill>
    <fill>
      <patternFill patternType="solid">
        <fgColor rgb="FFEEF1F6"/>
        <bgColor rgb="FFF2F7FF"/>
      </patternFill>
    </fill>
    <fill>
      <patternFill patternType="solid">
        <fgColor rgb="FFFFF9E3"/>
        <bgColor rgb="FFFDEEEE"/>
      </patternFill>
    </fill>
    <fill>
      <patternFill patternType="solid">
        <fgColor rgb="FFF2F7FF"/>
        <bgColor rgb="FFEEF1F6"/>
      </patternFill>
    </fill>
    <fill>
      <patternFill patternType="solid">
        <fgColor rgb="FFECFAEF"/>
        <bgColor rgb="FFF2F7FF"/>
      </patternFill>
    </fill>
    <fill>
      <patternFill patternType="solid">
        <fgColor rgb="FF333C49"/>
        <bgColor rgb="FF1F2937"/>
      </patternFill>
    </fill>
    <fill>
      <patternFill patternType="solid">
        <fgColor rgb="FFF2F7FF"/>
      </patternFill>
    </fill>
    <fill>
      <patternFill patternType="solid">
        <fgColor rgb="FFECFAEF"/>
      </patternFill>
    </fill>
  </fills>
  <borders count="2">
    <border>
      <left/>
      <right/>
      <top/>
      <bottom/>
      <diagonal/>
    </border>
    <border>
      <left style="thin">
        <color rgb="FFD8DEE8"/>
      </left>
      <right style="thin">
        <color rgb="FFD8DEE8"/>
      </right>
      <top style="thin">
        <color rgb="FFD8DEE8"/>
      </top>
      <bottom style="thin">
        <color rgb="FFD8DEE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top" wrapText="1" indent="1"/>
    </xf>
    <xf numFmtId="0" fontId="7" fillId="2" borderId="1" applyAlignment="1" pivotButton="0" quotePrefix="0" xfId="0">
      <alignment horizontal="general" vertical="top" wrapText="1" indent="1"/>
    </xf>
    <xf numFmtId="0" fontId="8" fillId="3" borderId="0" applyAlignment="1" pivotButton="0" quotePrefix="0" xfId="0">
      <alignment horizontal="general" vertical="center" indent="1"/>
    </xf>
    <xf numFmtId="0" fontId="9" fillId="0" borderId="0" applyAlignment="1" pivotButton="0" quotePrefix="0" xfId="0">
      <alignment horizontal="general" vertical="center" wrapText="1" indent="1"/>
    </xf>
    <xf numFmtId="0" fontId="10" fillId="4" borderId="0" applyAlignment="1" pivotButton="0" quotePrefix="0" xfId="0">
      <alignment horizontal="general" vertical="center" indent="1"/>
    </xf>
    <xf numFmtId="0" fontId="0" fillId="5" borderId="1" applyAlignment="1" pivotButton="0" quotePrefix="0" xfId="0">
      <alignment horizontal="general" vertical="bottom"/>
    </xf>
    <xf numFmtId="0" fontId="11" fillId="0" borderId="0" applyAlignment="1" pivotButton="0" quotePrefix="0" xfId="0">
      <alignment horizontal="general" vertical="bottom"/>
    </xf>
    <xf numFmtId="0" fontId="0" fillId="6" borderId="1" applyAlignment="1" pivotButton="0" quotePrefix="0" xfId="0">
      <alignment horizontal="general" vertical="bottom"/>
    </xf>
    <xf numFmtId="0" fontId="0" fillId="7" borderId="1" applyAlignment="1" pivotButton="0" quotePrefix="0" xfId="0">
      <alignment horizontal="general" vertical="bottom"/>
    </xf>
    <xf numFmtId="0" fontId="12" fillId="8" borderId="1" applyAlignment="1" pivotButton="0" quotePrefix="0" xfId="0">
      <alignment horizontal="general" vertical="bottom" wrapText="1"/>
    </xf>
    <xf numFmtId="0" fontId="13" fillId="7" borderId="1" applyAlignment="1" pivotButton="0" quotePrefix="0" xfId="0">
      <alignment horizontal="general" vertical="top" wrapText="1"/>
    </xf>
    <xf numFmtId="164" fontId="13" fillId="7" borderId="1" applyAlignment="1" pivotButton="0" quotePrefix="0" xfId="0">
      <alignment horizontal="general" vertical="top" wrapText="1"/>
    </xf>
    <xf numFmtId="0" fontId="14" fillId="5" borderId="1" applyAlignment="1" pivotButton="0" quotePrefix="0" xfId="0">
      <alignment horizontal="general" vertical="top" wrapText="1"/>
    </xf>
    <xf numFmtId="0" fontId="15" fillId="0" borderId="0" applyAlignment="1" pivotButton="0" quotePrefix="0" xfId="0">
      <alignment horizontal="general" vertical="bottom"/>
    </xf>
    <xf numFmtId="1" fontId="16" fillId="6" borderId="1" applyAlignment="1" pivotButton="0" quotePrefix="0" xfId="0">
      <alignment horizontal="general" vertical="bottom"/>
    </xf>
    <xf numFmtId="9" fontId="16" fillId="6" borderId="1" applyAlignment="1" pivotButton="0" quotePrefix="0" xfId="0">
      <alignment horizontal="general" vertical="bottom"/>
    </xf>
    <xf numFmtId="0" fontId="9" fillId="0" borderId="0" applyAlignment="1" pivotButton="0" quotePrefix="0" xfId="0">
      <alignment horizontal="general" vertical="top" wrapText="1" indent="1"/>
    </xf>
    <xf numFmtId="0" fontId="5" fillId="0" borderId="1" applyAlignment="1" pivotButton="0" quotePrefix="0" xfId="0">
      <alignment horizontal="general" vertical="top" wrapText="1"/>
    </xf>
    <xf numFmtId="0" fontId="17"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top" wrapText="1" indent="1"/>
    </xf>
    <xf numFmtId="0" fontId="7" fillId="2" borderId="1" applyAlignment="1" pivotButton="0" quotePrefix="0" xfId="0">
      <alignment horizontal="general" vertical="top" wrapText="1" indent="1"/>
    </xf>
    <xf numFmtId="0" fontId="8" fillId="3" borderId="0" applyAlignment="1" pivotButton="0" quotePrefix="0" xfId="0">
      <alignment horizontal="general" vertical="center" indent="1"/>
    </xf>
    <xf numFmtId="0" fontId="9" fillId="0" borderId="0" applyAlignment="1" pivotButton="0" quotePrefix="0" xfId="0">
      <alignment horizontal="general" vertical="center" wrapText="1" indent="1"/>
    </xf>
    <xf numFmtId="0" fontId="10" fillId="4" borderId="0" applyAlignment="1" pivotButton="0" quotePrefix="0" xfId="0">
      <alignment horizontal="general" vertical="center" indent="1"/>
    </xf>
    <xf numFmtId="0" fontId="0" fillId="5" borderId="1" applyAlignment="1" pivotButton="0" quotePrefix="0" xfId="0">
      <alignment horizontal="general" vertical="bottom"/>
    </xf>
    <xf numFmtId="0" fontId="11" fillId="0" borderId="0" applyAlignment="1" pivotButton="0" quotePrefix="0" xfId="0">
      <alignment horizontal="general" vertical="bottom"/>
    </xf>
    <xf numFmtId="0" fontId="0" fillId="6" borderId="1" applyAlignment="1" pivotButton="0" quotePrefix="0" xfId="0">
      <alignment horizontal="general" vertical="bottom"/>
    </xf>
    <xf numFmtId="0" fontId="0" fillId="7" borderId="1" applyAlignment="1" pivotButton="0" quotePrefix="0" xfId="0">
      <alignment horizontal="general" vertical="bottom"/>
    </xf>
    <xf numFmtId="0" fontId="12" fillId="8" borderId="1" applyAlignment="1" pivotButton="0" quotePrefix="0" xfId="0">
      <alignment horizontal="general" vertical="bottom" wrapText="1"/>
    </xf>
    <xf numFmtId="0" fontId="13" fillId="7" borderId="1" applyAlignment="1" pivotButton="0" quotePrefix="0" xfId="0">
      <alignment horizontal="general" vertical="top" wrapText="1"/>
    </xf>
    <xf numFmtId="164" fontId="13" fillId="7" borderId="1" applyAlignment="1" pivotButton="0" quotePrefix="0" xfId="0">
      <alignment horizontal="general" vertical="top" wrapText="1"/>
    </xf>
    <xf numFmtId="0" fontId="14" fillId="5" borderId="1" applyAlignment="1" pivotButton="0" quotePrefix="0" xfId="0">
      <alignment horizontal="general" vertical="top" wrapText="1"/>
    </xf>
    <xf numFmtId="0" fontId="15" fillId="0" borderId="0" applyAlignment="1" pivotButton="0" quotePrefix="0" xfId="0">
      <alignment horizontal="general" vertical="bottom"/>
    </xf>
    <xf numFmtId="1" fontId="16" fillId="6" borderId="1" applyAlignment="1" pivotButton="0" quotePrefix="0" xfId="0">
      <alignment horizontal="general" vertical="bottom"/>
    </xf>
    <xf numFmtId="9" fontId="16" fillId="6" borderId="1" applyAlignment="1" pivotButton="0" quotePrefix="0" xfId="0">
      <alignment horizontal="general" vertical="bottom"/>
    </xf>
    <xf numFmtId="0" fontId="9" fillId="0" borderId="0" applyAlignment="1" pivotButton="0" quotePrefix="0" xfId="0">
      <alignment horizontal="general" vertical="top" wrapText="1" indent="1"/>
    </xf>
    <xf numFmtId="0" fontId="5" fillId="0" borderId="1" applyAlignment="1" pivotButton="0" quotePrefix="0" xfId="0">
      <alignment horizontal="general" vertical="top" wrapText="1"/>
    </xf>
    <xf numFmtId="0" fontId="17" fillId="0" borderId="1" applyAlignment="1" pivotButton="0" quotePrefix="0" xfId="0">
      <alignment horizontal="general" vertical="top" wrapText="1"/>
    </xf>
    <xf numFmtId="0" fontId="18" fillId="0" borderId="0" applyAlignment="1" pivotButton="0" quotePrefix="0" xfId="0">
      <alignment vertical="center" wrapText="1"/>
    </xf>
    <xf numFmtId="0" fontId="19" fillId="0" borderId="0" pivotButton="0" quotePrefix="0" xfId="0"/>
    <xf numFmtId="1" fontId="0" fillId="9" borderId="0" pivotButton="0" quotePrefix="0" xfId="0"/>
    <xf numFmtId="0" fontId="13" fillId="10" borderId="1" applyAlignment="1" pivotButton="0" quotePrefix="0" xfId="0">
      <alignment horizontal="general" vertical="top" wrapText="1"/>
    </xf>
    <xf numFmtId="164" fontId="13" fillId="10" borderId="1" applyAlignment="1" pivotButton="0" quotePrefix="0" xfId="0">
      <alignment horizontal="general" vertical="top" wrapText="1"/>
    </xf>
    <xf numFmtId="0" fontId="14" fillId="1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B45309"/>
      <rgbColor rgb="FFFFF9E3"/>
      <rgbColor rgb="FFECFAEF"/>
      <rgbColor rgb="FF660066"/>
      <rgbColor rgb="FFFF8080"/>
      <rgbColor rgb="FF0066CC"/>
      <rgbColor rgb="FFD8DEE8"/>
      <rgbColor rgb="FF000080"/>
      <rgbColor rgb="FFFF00FF"/>
      <rgbColor rgb="FFFFFF00"/>
      <rgbColor rgb="FF00FFFF"/>
      <rgbColor rgb="FF800080"/>
      <rgbColor rgb="FF800000"/>
      <rgbColor rgb="FF008080"/>
      <rgbColor rgb="FF0000FF"/>
      <rgbColor rgb="FF00CCFF"/>
      <rgbColor rgb="FFF2F7FF"/>
      <rgbColor rgb="FFEEF1F6"/>
      <rgbColor rgb="FFFDEEEE"/>
      <rgbColor rgb="FF99CCFF"/>
      <rgbColor rgb="FFFF99CC"/>
      <rgbColor rgb="FFCC99FF"/>
      <rgbColor rgb="FFFFCC99"/>
      <rgbColor rgb="FF3366FF"/>
      <rgbColor rgb="FF33CCCC"/>
      <rgbColor rgb="FF99CC00"/>
      <rgbColor rgb="FFFFCC00"/>
      <rgbColor rgb="FFFF9900"/>
      <rgbColor rgb="FFFF6600"/>
      <rgbColor rgb="FF657085"/>
      <rgbColor rgb="FF969696"/>
      <rgbColor rgb="FF003366"/>
      <rgbColor rgb="FF339966"/>
      <rgbColor rgb="FF151B24"/>
      <rgbColor rgb="FF1F2937"/>
      <rgbColor rgb="FFB91C1C"/>
      <rgbColor rgb="FF993366"/>
      <rgbColor rgb="FF333399"/>
      <rgbColor rgb="FF333C49"/>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roundedCorners val="0"/>
  <style val="10"/>
  <chart>
    <title>
      <tx>
        <rich>
          <a:bodyPr/>
          <a:p>
            <a:pPr>
              <a:defRPr/>
            </a:pPr>
            <a:r>
              <a:t>Controls by level — lower is more durable</a:t>
            </a:r>
          </a:p>
        </rich>
      </tx>
    </title>
    <plotArea>
      <barChart>
        <barDir val="bar"/>
        <grouping val="clustered"/>
        <ser>
          <idx val="0"/>
          <order val="0"/>
          <spPr>
            <a:ln>
              <a:prstDash val="solid"/>
            </a:ln>
          </spPr>
          <invertIfNegative val="0"/>
          <dPt>
            <idx val="0"/>
            <spPr>
              <a:solidFill>
                <a:srgbClr val="3F8F5A"/>
              </a:solidFill>
              <a:ln>
                <a:prstDash val="solid"/>
              </a:ln>
            </spPr>
          </dPt>
          <dPt>
            <idx val="1"/>
            <spPr>
              <a:solidFill>
                <a:srgbClr val="3F8F5A"/>
              </a:solidFill>
              <a:ln>
                <a:prstDash val="solid"/>
              </a:ln>
            </spPr>
          </dPt>
          <dPt>
            <idx val="2"/>
            <spPr>
              <a:solidFill>
                <a:srgbClr val="3F8F5A"/>
              </a:solidFill>
              <a:ln>
                <a:prstDash val="solid"/>
              </a:ln>
            </spPr>
          </dPt>
          <dPt>
            <idx val="3"/>
            <spPr>
              <a:solidFill>
                <a:srgbClr val="B45309"/>
              </a:solidFill>
              <a:ln>
                <a:prstDash val="solid"/>
              </a:ln>
            </spPr>
          </dPt>
          <dPt>
            <idx val="4"/>
            <spPr>
              <a:solidFill>
                <a:srgbClr val="C0392B"/>
              </a:solidFill>
              <a:ln>
                <a:prstDash val="solid"/>
              </a:ln>
            </spPr>
          </dPt>
          <dPt>
            <idx val="5"/>
            <spPr>
              <a:solidFill>
                <a:srgbClr val="C0392B"/>
              </a:solidFill>
              <a:ln>
                <a:prstDash val="solid"/>
              </a:ln>
            </spPr>
          </dPt>
          <cat>
            <numRef>
              <f>'Control plan'!$A$39:$A$44</f>
            </numRef>
          </cat>
          <val>
            <numRef>
              <f>'Control plan'!$B$39:$B$44</f>
            </numRef>
          </val>
        </ser>
        <dLbls>
          <numFmt formatCode="#,##0"/>
          <showLegendKey val="0"/>
          <showVal val="1"/>
          <showCatName val="0"/>
          <showSerName val="0"/>
          <showPercent val="0"/>
          <showBubbleSize val="0"/>
        </dLbls>
        <gapWidth val="60"/>
        <axId val="10"/>
        <axId val="100"/>
      </barChart>
      <catAx>
        <axId val="10"/>
        <scaling>
          <orientation val="minMax"/>
        </scaling>
        <delete val="0"/>
        <axPos val="l"/>
        <majorTickMark val="none"/>
        <minorTickMark val="none"/>
        <tickLblPos val="low"/>
        <crossAx val="100"/>
        <lblOffset val="100"/>
        <tickLblSkip val="1"/>
        <tickMarkSkip val="1"/>
      </catAx>
      <valAx>
        <axId val="100"/>
        <scaling>
          <orientation val="minMax"/>
        </scaling>
        <delete val="0"/>
        <axPos val="l"/>
        <majorGridlines/>
        <majorTickMark val="none"/>
        <minorTickMark val="none"/>
        <tickLblPos val="nextTo"/>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36</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outlinePr summaryBelow="1" summaryRight="1"/>
    <pageSetUpPr fitToPage="1"/>
  </sheetPr>
  <dimension ref="A1:B4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3" min="1" max="1"/>
    <col width="108" customWidth="1" style="23" min="2" max="2"/>
  </cols>
  <sheetData>
    <row r="1"/>
    <row r="2" ht="30" customHeight="1" s="24">
      <c r="B2" s="25" t="inlineStr">
        <is>
          <t>Control Plan and Response Plan</t>
        </is>
      </c>
    </row>
    <row r="3" ht="25.5" customHeight="1" s="24">
      <c r="B3" s="26" t="inlineStr">
        <is>
          <t>This is the document you hand to the process owner when the project closes. If it is vague, the improvement will decay and nobody will notice until the numbers are back where they started.</t>
        </is>
      </c>
    </row>
    <row r="4"/>
    <row r="5" ht="24" customHeight="1" s="24">
      <c r="B5" s="27" t="inlineStr">
        <is>
          <t>What makes a control plan actually work</t>
        </is>
      </c>
    </row>
    <row r="6" ht="15" customHeight="1" s="24">
      <c r="B6" s="28" t="inlineStr">
        <is>
          <t>A NAMED PERSON, not a team. 'The ops team' owns nothing.</t>
        </is>
      </c>
    </row>
    <row r="7" ht="15" customHeight="1" s="24">
      <c r="B7" s="28" t="inlineStr">
        <is>
          <t>A SPECIFIC FORUM with a day and a time. 'Monday ops review', not 'regularly'.</t>
        </is>
      </c>
    </row>
    <row r="8" ht="25.5" customHeight="1" s="24">
      <c r="B8" s="28" t="inlineStr">
        <is>
          <t>A REACTION PLAN written as an instruction someone could follow without asking you. 'Pull 20 reopens the same day, categorise the causes, report at Wednesday standup' — not 'investigate'.</t>
        </is>
      </c>
    </row>
    <row r="9" ht="15" customHeight="1" s="24">
      <c r="B9" s="28" t="inlineStr">
        <is>
          <t>AN ESCALATION TRIGGER that is separate from the reaction trigger.</t>
        </is>
      </c>
    </row>
    <row r="10"/>
    <row r="11" ht="25.5" customHeight="1" s="24">
      <c r="B11" s="29" t="inlineStr">
        <is>
          <t>Test the reaction plan once before you hand over. Simulate a signal and check the reaction actually happens. A reaction plan nobody has ever run is a paragraph, not a control.</t>
        </is>
      </c>
    </row>
    <row r="12"/>
    <row r="13" ht="24" customHeight="1" s="24">
      <c r="B13" s="27" t="inlineStr">
        <is>
          <t>Do not skip the durability rating</t>
        </is>
      </c>
    </row>
    <row r="14" ht="39" customHeight="1" s="24">
      <c r="B14" s="26" t="inlineStr">
        <is>
          <t>Rate every control 1 to 6 on the countermeasure hierarchy, and 1 to 5 on whether an agent could skip it. Anything an agent can skip will be skipped within two hiring classes. The summary at the bottom tells you what share of your controls will actually survive.</t>
        </is>
      </c>
    </row>
    <row r="15"/>
    <row r="16"/>
    <row r="17"/>
    <row r="18"/>
    <row r="19"/>
    <row r="20"/>
    <row r="21"/>
    <row r="22"/>
    <row r="23"/>
    <row r="24"/>
    <row r="25"/>
    <row r="26"/>
    <row r="27"/>
    <row r="28"/>
    <row r="29"/>
    <row r="30"/>
    <row r="31"/>
    <row r="32"/>
    <row r="33"/>
    <row r="34"/>
    <row r="35"/>
    <row r="36"/>
    <row r="37"/>
    <row r="38"/>
    <row r="39"/>
    <row r="40"/>
  </sheetData>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R44"/>
  <sheetViews>
    <sheetView showFormulas="0" showGridLines="1" showRowColHeaders="1" showZeros="1" rightToLeft="0" tabSelected="0" showOutlineSymbols="1" defaultGridColor="1"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baseColWidth="8" defaultColWidth="8.6796875" defaultRowHeight="15" zeroHeight="0" outlineLevelRow="0"/>
  <cols>
    <col width="26" customWidth="1" style="23" min="1" max="1"/>
    <col width="16" customWidth="1" style="23" min="2" max="2"/>
    <col width="26" customWidth="1" style="23" min="3" max="3"/>
    <col width="20" customWidth="1" style="23" min="4" max="5"/>
    <col width="12" customWidth="1" style="23" min="6" max="6"/>
    <col width="10" customWidth="1" style="23" min="7" max="8"/>
    <col width="12" customWidth="1" style="23" min="9" max="9"/>
    <col width="22" customWidth="1" style="23" min="10" max="10"/>
    <col width="16" customWidth="1" style="23" min="11" max="11"/>
    <col width="30" customWidth="1" style="23" min="12" max="12"/>
    <col width="42" customWidth="1" style="23" min="13" max="13"/>
    <col width="24" customWidth="1" style="23" min="14" max="14"/>
    <col width="18" customWidth="1" style="23" min="15" max="16"/>
    <col width="20" customWidth="1" style="23" min="17" max="17"/>
    <col width="26" customWidth="1" style="23" min="18" max="18"/>
  </cols>
  <sheetData>
    <row r="1" ht="25.5" customHeight="1" s="24">
      <c r="A1" s="30" t="inlineStr">
        <is>
          <t>Control Plan and Response Plan</t>
        </is>
      </c>
    </row>
    <row r="2" ht="27.75" customHeight="1" s="24">
      <c r="A2" s="31" t="inlineStr">
        <is>
          <t>What is watched, by whom, how often — and precisely what happens when it signals. This is the handover artifact.</t>
        </is>
      </c>
    </row>
    <row r="4" ht="19.5" customHeight="1" s="24">
      <c r="A4" s="32" t="inlineStr">
        <is>
          <t>HOW TO USE THIS SHEET</t>
        </is>
      </c>
    </row>
    <row r="5" ht="15" customHeight="1" s="24">
      <c r="A5" s="33" t="inlineStr">
        <is>
          <t>Yellow cells</t>
        </is>
      </c>
      <c r="B5" s="34" t="inlineStr">
        <is>
          <t>You fill these in. Blue text = a number you typed.</t>
        </is>
      </c>
    </row>
    <row r="6" ht="15" customHeight="1" s="24">
      <c r="A6" s="35" t="inlineStr">
        <is>
          <t>Blue cells</t>
        </is>
      </c>
      <c r="B6" s="34" t="inlineStr">
        <is>
          <t>Calculated for you. Do not type over these — they contain formulas.</t>
        </is>
      </c>
    </row>
    <row r="7" ht="15" customHeight="1" s="24">
      <c r="A7" s="36" t="inlineStr">
        <is>
          <t>Row 1 example</t>
        </is>
      </c>
      <c r="B7" s="34" t="inlineStr">
        <is>
          <t>A realistic worked example, so you can see the expected format. Delete or overwrite it.</t>
        </is>
      </c>
    </row>
    <row r="9" ht="31.5" customHeight="1" s="24">
      <c r="A9" s="37" t="inlineStr">
        <is>
          <t>Metric</t>
        </is>
      </c>
      <c r="B9" s="37" t="inlineStr">
        <is>
          <t>Target / spec</t>
        </is>
      </c>
      <c r="C9" s="37" t="inlineStr">
        <is>
          <t>How it is measured</t>
        </is>
      </c>
      <c r="D9" s="37" t="inlineStr">
        <is>
          <t>Data source</t>
        </is>
      </c>
      <c r="E9" s="37" t="inlineStr">
        <is>
          <t>Chart type</t>
        </is>
      </c>
      <c r="F9" s="37" t="inlineStr">
        <is>
          <t>Centre line</t>
        </is>
      </c>
      <c r="G9" s="37" t="inlineStr">
        <is>
          <t>UCL</t>
        </is>
      </c>
      <c r="H9" s="37" t="inlineStr">
        <is>
          <t>LCL</t>
        </is>
      </c>
      <c r="I9" s="37" t="inlineStr">
        <is>
          <t>How often</t>
        </is>
      </c>
      <c r="J9" s="37" t="inlineStr">
        <is>
          <t>Reviewed where</t>
        </is>
      </c>
      <c r="K9" s="37" t="inlineStr">
        <is>
          <t>Owner</t>
        </is>
      </c>
      <c r="L9" s="37" t="inlineStr">
        <is>
          <t>What triggers a reaction</t>
        </is>
      </c>
      <c r="M9" s="37" t="inlineStr">
        <is>
          <t>Exactly what happens then</t>
        </is>
      </c>
      <c r="N9" s="37" t="inlineStr">
        <is>
          <t>Escalate when</t>
        </is>
      </c>
      <c r="O9" s="37" t="inlineStr">
        <is>
          <t>Escalate to</t>
        </is>
      </c>
      <c r="P9" s="37" t="inlineStr">
        <is>
          <t>Control level (1–6)</t>
        </is>
      </c>
      <c r="Q9" s="37" t="inlineStr">
        <is>
          <t>Can an agent skip it? (1–5)</t>
        </is>
      </c>
      <c r="R9" s="37" t="inlineStr">
        <is>
          <t>Docs updated</t>
        </is>
      </c>
    </row>
    <row r="10" ht="43.5" customHeight="1" s="24">
      <c r="A10" s="50" t="inlineStr">
        <is>
          <t>7-day reopen rate, billing</t>
        </is>
      </c>
      <c r="B10" s="50" t="inlineStr">
        <is>
          <t>&lt;= 8.0%</t>
        </is>
      </c>
      <c r="C10" s="50" t="inlineStr">
        <is>
          <t>Warehouse query, def v3</t>
        </is>
      </c>
      <c r="D10" s="50" t="inlineStr">
        <is>
          <t>warehouse.tickets</t>
        </is>
      </c>
      <c r="E10" s="50" t="inlineStr">
        <is>
          <t>Laney p' (attribute, large n)</t>
        </is>
      </c>
      <c r="F10" s="51" t="n">
        <v>0.08599999999999999</v>
      </c>
      <c r="G10" s="51" t="n">
        <v>0.104</v>
      </c>
      <c r="H10" s="51" t="n">
        <v>0.068</v>
      </c>
      <c r="I10" s="50" t="inlineStr">
        <is>
          <t>Weekly</t>
        </is>
      </c>
      <c r="J10" s="50" t="inlineStr">
        <is>
          <t>Monday ops review</t>
        </is>
      </c>
      <c r="K10" s="50" t="inlineStr">
        <is>
          <t>Billing Support Mgr</t>
        </is>
      </c>
      <c r="L10" s="50" t="inlineStr">
        <is>
          <t>Any point above the UCL</t>
        </is>
      </c>
      <c r="M10" s="50" t="inlineStr">
        <is>
          <t>Pull 20 reopens same day and classify</t>
        </is>
      </c>
      <c r="N10" s="50" t="inlineStr">
        <is>
          <t>Two consecutive weeks above</t>
        </is>
      </c>
      <c r="O10" s="50" t="inlineStr">
        <is>
          <t>Ops Director + Champion</t>
        </is>
      </c>
      <c r="P10" s="50" t="inlineStr">
        <is>
          <t>2 Design it out</t>
        </is>
      </c>
      <c r="Q10" s="50" t="inlineStr">
        <is>
          <t>1 — system blocks it</t>
        </is>
      </c>
      <c r="R10" s="50" t="inlineStr">
        <is>
          <t>SOP-BIL-014 v3, QA item 7</t>
        </is>
      </c>
    </row>
    <row r="11" ht="30" customHeight="1" s="24">
      <c r="A11" s="52" t="inlineStr">
        <is>
          <t>Routing accuracy</t>
        </is>
      </c>
      <c r="B11" s="52" t="inlineStr">
        <is>
          <t>&gt;= 90%</t>
        </is>
      </c>
      <c r="C11" s="52" t="inlineStr">
        <is>
          <t>QA audit sample, 200/week</t>
        </is>
      </c>
      <c r="D11" s="52" t="inlineStr">
        <is>
          <t>QA tool</t>
        </is>
      </c>
      <c r="E11" s="52" t="inlineStr">
        <is>
          <t>Laney p' (attribute, large n)</t>
        </is>
      </c>
      <c r="F11" s="52" t="n">
        <v>0.91</v>
      </c>
      <c r="G11" s="52" t="n">
        <v>0.9399999999999999</v>
      </c>
      <c r="H11" s="52" t="n">
        <v>0.88</v>
      </c>
      <c r="I11" s="52" t="inlineStr">
        <is>
          <t>Weekly</t>
        </is>
      </c>
      <c r="J11" s="52" t="inlineStr">
        <is>
          <t>Monday ops review</t>
        </is>
      </c>
      <c r="K11" s="52" t="inlineStr">
        <is>
          <t>Support Ops Mgr</t>
        </is>
      </c>
      <c r="L11" s="52" t="inlineStr">
        <is>
          <t>Below the LCL, or 8 points under the centre line</t>
        </is>
      </c>
      <c r="M11" s="52" t="inlineStr">
        <is>
          <t>Re-audit 50 tickets and review the code list</t>
        </is>
      </c>
      <c r="N11" s="52" t="inlineStr">
        <is>
          <t>Two weeks below target</t>
        </is>
      </c>
      <c r="O11" s="52" t="inlineStr">
        <is>
          <t>Ops Director</t>
        </is>
      </c>
      <c r="P11" s="52" t="inlineStr">
        <is>
          <t>2 Design it out</t>
        </is>
      </c>
      <c r="Q11" s="52" t="inlineStr">
        <is>
          <t>2 — tool warns</t>
        </is>
      </c>
      <c r="R11" s="52" t="inlineStr">
        <is>
          <t>SOP-SUP-021 v2</t>
        </is>
      </c>
    </row>
    <row r="12" ht="30" customHeight="1" s="24">
      <c r="A12" s="52" t="inlineStr">
        <is>
          <t>Nightly batch completion</t>
        </is>
      </c>
      <c r="B12" s="52" t="inlineStr">
        <is>
          <t>100%</t>
        </is>
      </c>
      <c r="C12" s="52" t="inlineStr">
        <is>
          <t>Batch exit code</t>
        </is>
      </c>
      <c r="D12" s="52" t="inlineStr">
        <is>
          <t>Platform monitoring</t>
        </is>
      </c>
      <c r="E12" s="52" t="inlineStr">
        <is>
          <t>t-chart (days between failures)</t>
        </is>
      </c>
      <c r="F12" s="52" t="n">
        <v>0</v>
      </c>
      <c r="G12" s="52" t="n">
        <v>0</v>
      </c>
      <c r="H12" s="52" t="n">
        <v>0</v>
      </c>
      <c r="I12" s="52" t="inlineStr">
        <is>
          <t>Daily</t>
        </is>
      </c>
      <c r="J12" s="52" t="inlineStr">
        <is>
          <t>Automated alert</t>
        </is>
      </c>
      <c r="K12" s="52" t="inlineStr">
        <is>
          <t>Platform Eng on-call</t>
        </is>
      </c>
      <c r="L12" s="52" t="inlineStr">
        <is>
          <t>Any non-zero exit code</t>
        </is>
      </c>
      <c r="M12" s="52" t="inlineStr">
        <is>
          <t>On-call investigates before 08:00; Billing Ops notified</t>
        </is>
      </c>
      <c r="N12" s="52" t="inlineStr">
        <is>
          <t>Two failures in a week</t>
        </is>
      </c>
      <c r="O12" s="52" t="inlineStr">
        <is>
          <t>Eng Manager</t>
        </is>
      </c>
      <c r="P12" s="52" t="inlineStr">
        <is>
          <t>4 Automatic detection</t>
        </is>
      </c>
      <c r="Q12" s="52" t="inlineStr">
        <is>
          <t>1 — system blocks it</t>
        </is>
      </c>
      <c r="R12" s="52" t="inlineStr">
        <is>
          <t>RUN-BATCH-002</t>
        </is>
      </c>
    </row>
    <row r="13" ht="30" customHeight="1" s="24">
      <c r="A13" s="52" t="inlineStr">
        <is>
          <t>Median resolution time, billing</t>
        </is>
      </c>
      <c r="B13" s="52" t="inlineStr">
        <is>
          <t>&lt;= 4.0 h</t>
        </is>
      </c>
      <c r="C13" s="52" t="inlineStr">
        <is>
          <t>Warehouse query, def v3</t>
        </is>
      </c>
      <c r="D13" s="52" t="inlineStr">
        <is>
          <t>warehouse.tickets</t>
        </is>
      </c>
      <c r="E13" s="52" t="inlineStr">
        <is>
          <t>I-MR (daily aggregate)</t>
        </is>
      </c>
      <c r="F13" s="52" t="n">
        <v>2.6</v>
      </c>
      <c r="G13" s="52" t="n">
        <v>4.1</v>
      </c>
      <c r="H13" s="52" t="n">
        <v>1.1</v>
      </c>
      <c r="I13" s="52" t="inlineStr">
        <is>
          <t>Daily</t>
        </is>
      </c>
      <c r="J13" s="52" t="inlineStr">
        <is>
          <t>Daily stand-up</t>
        </is>
      </c>
      <c r="K13" s="52" t="inlineStr">
        <is>
          <t>Billing Support Mgr</t>
        </is>
      </c>
      <c r="L13" s="52" t="inlineStr">
        <is>
          <t>Any point above the UCL</t>
        </is>
      </c>
      <c r="M13" s="52" t="inlineStr">
        <is>
          <t>Check queue depth and staffing for that day</t>
        </is>
      </c>
      <c r="N13" s="52" t="inlineStr">
        <is>
          <t>Three days in a row above</t>
        </is>
      </c>
      <c r="O13" s="52" t="inlineStr">
        <is>
          <t>Ops Director</t>
        </is>
      </c>
      <c r="P13" s="52" t="inlineStr">
        <is>
          <t>3 Mistake-proof it</t>
        </is>
      </c>
      <c r="Q13" s="52" t="inlineStr">
        <is>
          <t>3 — checklist step</t>
        </is>
      </c>
      <c r="R13" s="52" t="inlineStr">
        <is>
          <t>SOP-BIL-014 v3</t>
        </is>
      </c>
    </row>
    <row r="14" ht="30" customHeight="1" s="24">
      <c r="A14" s="52" t="inlineStr">
        <is>
          <t>Goodwill credit within authority</t>
        </is>
      </c>
      <c r="B14" s="52" t="inlineStr">
        <is>
          <t>100%</t>
        </is>
      </c>
      <c r="C14" s="52" t="inlineStr">
        <is>
          <t>Month-end reconciliation</t>
        </is>
      </c>
      <c r="D14" s="52" t="inlineStr">
        <is>
          <t>Finance ledger</t>
        </is>
      </c>
      <c r="E14" s="52" t="inlineStr">
        <is>
          <t>g-chart (contacts between breaches)</t>
        </is>
      </c>
      <c r="F14" s="52" t="n">
        <v>0</v>
      </c>
      <c r="G14" s="52" t="n">
        <v>0</v>
      </c>
      <c r="H14" s="52" t="n">
        <v>0</v>
      </c>
      <c r="I14" s="52" t="inlineStr">
        <is>
          <t>Monthly</t>
        </is>
      </c>
      <c r="J14" s="52" t="inlineStr">
        <is>
          <t>Month-end close</t>
        </is>
      </c>
      <c r="K14" s="52" t="inlineStr">
        <is>
          <t>Finance Business Partner</t>
        </is>
      </c>
      <c r="L14" s="52" t="inlineStr">
        <is>
          <t>Any credit above the limit</t>
        </is>
      </c>
      <c r="M14" s="52" t="inlineStr">
        <is>
          <t>Recover or approve retrospectively; coach the agent</t>
        </is>
      </c>
      <c r="N14" s="52" t="inlineStr">
        <is>
          <t>Two in one month</t>
        </is>
      </c>
      <c r="O14" s="52" t="inlineStr">
        <is>
          <t>Finance Director</t>
        </is>
      </c>
      <c r="P14" s="52" t="inlineStr">
        <is>
          <t>5 Standard work + training</t>
        </is>
      </c>
      <c r="Q14" s="52" t="inlineStr">
        <is>
          <t>5 — nothing stops them</t>
        </is>
      </c>
      <c r="R14" s="52" t="inlineStr">
        <is>
          <t>SOP-BIL-009 v1</t>
        </is>
      </c>
    </row>
    <row r="15" ht="30" customHeight="1" s="24">
      <c r="A15" s="40" t="n"/>
      <c r="B15" s="40" t="n"/>
      <c r="C15" s="40" t="n"/>
      <c r="D15" s="40" t="n"/>
      <c r="E15" s="40" t="n"/>
      <c r="F15" s="40" t="n"/>
      <c r="G15" s="40" t="n"/>
      <c r="H15" s="40" t="n"/>
      <c r="I15" s="40" t="n"/>
      <c r="J15" s="40" t="n"/>
      <c r="K15" s="40" t="n"/>
      <c r="L15" s="40" t="n"/>
      <c r="M15" s="40" t="n"/>
      <c r="N15" s="40" t="n"/>
      <c r="O15" s="40" t="n"/>
      <c r="P15" s="40" t="n"/>
      <c r="Q15" s="40" t="n"/>
      <c r="R15" s="40" t="n"/>
    </row>
    <row r="16" ht="30" customHeight="1" s="24">
      <c r="A16" s="40" t="n"/>
      <c r="B16" s="40" t="n"/>
      <c r="C16" s="40" t="n"/>
      <c r="D16" s="40" t="n"/>
      <c r="E16" s="40" t="n"/>
      <c r="F16" s="40" t="n"/>
      <c r="G16" s="40" t="n"/>
      <c r="H16" s="40" t="n"/>
      <c r="I16" s="40" t="n"/>
      <c r="J16" s="40" t="n"/>
      <c r="K16" s="40" t="n"/>
      <c r="L16" s="40" t="n"/>
      <c r="M16" s="40" t="n"/>
      <c r="N16" s="40" t="n"/>
      <c r="O16" s="40" t="n"/>
      <c r="P16" s="40" t="n"/>
      <c r="Q16" s="40" t="n"/>
      <c r="R16" s="40" t="n"/>
    </row>
    <row r="17" ht="30" customHeight="1" s="24">
      <c r="A17" s="40" t="n"/>
      <c r="B17" s="40" t="n"/>
      <c r="C17" s="40" t="n"/>
      <c r="D17" s="40" t="n"/>
      <c r="E17" s="40" t="n"/>
      <c r="F17" s="40" t="n"/>
      <c r="G17" s="40" t="n"/>
      <c r="H17" s="40" t="n"/>
      <c r="I17" s="40" t="n"/>
      <c r="J17" s="40" t="n"/>
      <c r="K17" s="40" t="n"/>
      <c r="L17" s="40" t="n"/>
      <c r="M17" s="40" t="n"/>
      <c r="N17" s="40" t="n"/>
      <c r="O17" s="40" t="n"/>
      <c r="P17" s="40" t="n"/>
      <c r="Q17" s="40" t="n"/>
      <c r="R17" s="40" t="n"/>
    </row>
    <row r="18" ht="30" customHeight="1" s="24">
      <c r="A18" s="40" t="n"/>
      <c r="B18" s="40" t="n"/>
      <c r="C18" s="40" t="n"/>
      <c r="D18" s="40" t="n"/>
      <c r="E18" s="40" t="n"/>
      <c r="F18" s="40" t="n"/>
      <c r="G18" s="40" t="n"/>
      <c r="H18" s="40" t="n"/>
      <c r="I18" s="40" t="n"/>
      <c r="J18" s="40" t="n"/>
      <c r="K18" s="40" t="n"/>
      <c r="L18" s="40" t="n"/>
      <c r="M18" s="40" t="n"/>
      <c r="N18" s="40" t="n"/>
      <c r="O18" s="40" t="n"/>
      <c r="P18" s="40" t="n"/>
      <c r="Q18" s="40" t="n"/>
      <c r="R18" s="40" t="n"/>
    </row>
    <row r="19" ht="30" customHeight="1" s="24">
      <c r="A19" s="40" t="n"/>
      <c r="B19" s="40" t="n"/>
      <c r="C19" s="40" t="n"/>
      <c r="D19" s="40" t="n"/>
      <c r="E19" s="40" t="n"/>
      <c r="F19" s="40" t="n"/>
      <c r="G19" s="40" t="n"/>
      <c r="H19" s="40" t="n"/>
      <c r="I19" s="40" t="n"/>
      <c r="J19" s="40" t="n"/>
      <c r="K19" s="40" t="n"/>
      <c r="L19" s="40" t="n"/>
      <c r="M19" s="40" t="n"/>
      <c r="N19" s="40" t="n"/>
      <c r="O19" s="40" t="n"/>
      <c r="P19" s="40" t="n"/>
      <c r="Q19" s="40" t="n"/>
      <c r="R19" s="40" t="n"/>
    </row>
    <row r="20" ht="30" customHeight="1" s="24">
      <c r="A20" s="40" t="n"/>
      <c r="B20" s="40" t="n"/>
      <c r="C20" s="40" t="n"/>
      <c r="D20" s="40" t="n"/>
      <c r="E20" s="40" t="n"/>
      <c r="F20" s="40" t="n"/>
      <c r="G20" s="40" t="n"/>
      <c r="H20" s="40" t="n"/>
      <c r="I20" s="40" t="n"/>
      <c r="J20" s="40" t="n"/>
      <c r="K20" s="40" t="n"/>
      <c r="L20" s="40" t="n"/>
      <c r="M20" s="40" t="n"/>
      <c r="N20" s="40" t="n"/>
      <c r="O20" s="40" t="n"/>
      <c r="P20" s="40" t="n"/>
      <c r="Q20" s="40" t="n"/>
      <c r="R20" s="40" t="n"/>
    </row>
    <row r="21" ht="30" customHeight="1" s="24">
      <c r="A21" s="40" t="n"/>
      <c r="B21" s="40" t="n"/>
      <c r="C21" s="40" t="n"/>
      <c r="D21" s="40" t="n"/>
      <c r="E21" s="40" t="n"/>
      <c r="F21" s="40" t="n"/>
      <c r="G21" s="40" t="n"/>
      <c r="H21" s="40" t="n"/>
      <c r="I21" s="40" t="n"/>
      <c r="J21" s="40" t="n"/>
      <c r="K21" s="40" t="n"/>
      <c r="L21" s="40" t="n"/>
      <c r="M21" s="40" t="n"/>
      <c r="N21" s="40" t="n"/>
      <c r="O21" s="40" t="n"/>
      <c r="P21" s="40" t="n"/>
      <c r="Q21" s="40" t="n"/>
      <c r="R21" s="40" t="n"/>
    </row>
    <row r="22" ht="30" customHeight="1" s="24">
      <c r="A22" s="40" t="n"/>
      <c r="B22" s="40" t="n"/>
      <c r="C22" s="40" t="n"/>
      <c r="D22" s="40" t="n"/>
      <c r="E22" s="40" t="n"/>
      <c r="F22" s="40" t="n"/>
      <c r="G22" s="40" t="n"/>
      <c r="H22" s="40" t="n"/>
      <c r="I22" s="40" t="n"/>
      <c r="J22" s="40" t="n"/>
      <c r="K22" s="40" t="n"/>
      <c r="L22" s="40" t="n"/>
      <c r="M22" s="40" t="n"/>
      <c r="N22" s="40" t="n"/>
      <c r="O22" s="40" t="n"/>
      <c r="P22" s="40" t="n"/>
      <c r="Q22" s="40" t="n"/>
      <c r="R22" s="40" t="n"/>
    </row>
    <row r="23" ht="30" customHeight="1" s="24">
      <c r="A23" s="40" t="n"/>
      <c r="B23" s="40" t="n"/>
      <c r="C23" s="40" t="n"/>
      <c r="D23" s="40" t="n"/>
      <c r="E23" s="40" t="n"/>
      <c r="F23" s="40" t="n"/>
      <c r="G23" s="40" t="n"/>
      <c r="H23" s="40" t="n"/>
      <c r="I23" s="40" t="n"/>
      <c r="J23" s="40" t="n"/>
      <c r="K23" s="40" t="n"/>
      <c r="L23" s="40" t="n"/>
      <c r="M23" s="40" t="n"/>
      <c r="N23" s="40" t="n"/>
      <c r="O23" s="40" t="n"/>
      <c r="P23" s="40" t="n"/>
      <c r="Q23" s="40" t="n"/>
      <c r="R23" s="40" t="n"/>
    </row>
    <row r="24" ht="30" customHeight="1" s="24">
      <c r="A24" s="40" t="n"/>
      <c r="B24" s="40" t="n"/>
      <c r="C24" s="40" t="n"/>
      <c r="D24" s="40" t="n"/>
      <c r="E24" s="40" t="n"/>
      <c r="F24" s="40" t="n"/>
      <c r="G24" s="40" t="n"/>
      <c r="H24" s="40" t="n"/>
      <c r="I24" s="40" t="n"/>
      <c r="J24" s="40" t="n"/>
      <c r="K24" s="40" t="n"/>
      <c r="L24" s="40" t="n"/>
      <c r="M24" s="40" t="n"/>
      <c r="N24" s="40" t="n"/>
      <c r="O24" s="40" t="n"/>
      <c r="P24" s="40" t="n"/>
      <c r="Q24" s="40" t="n"/>
      <c r="R24" s="40" t="n"/>
    </row>
    <row r="25" ht="30" customHeight="1" s="24">
      <c r="A25" s="40" t="n"/>
      <c r="B25" s="40" t="n"/>
      <c r="C25" s="40" t="n"/>
      <c r="D25" s="40" t="n"/>
      <c r="E25" s="40" t="n"/>
      <c r="F25" s="40" t="n"/>
      <c r="G25" s="40" t="n"/>
      <c r="H25" s="40" t="n"/>
      <c r="I25" s="40" t="n"/>
      <c r="J25" s="40" t="n"/>
      <c r="K25" s="40" t="n"/>
      <c r="L25" s="40" t="n"/>
      <c r="M25" s="40" t="n"/>
      <c r="N25" s="40" t="n"/>
      <c r="O25" s="40" t="n"/>
      <c r="P25" s="40" t="n"/>
      <c r="Q25" s="40" t="n"/>
      <c r="R25" s="40" t="n"/>
    </row>
    <row r="26" ht="30" customHeight="1" s="24">
      <c r="A26" s="40" t="n"/>
      <c r="B26" s="40" t="n"/>
      <c r="C26" s="40" t="n"/>
      <c r="D26" s="40" t="n"/>
      <c r="E26" s="40" t="n"/>
      <c r="F26" s="40" t="n"/>
      <c r="G26" s="40" t="n"/>
      <c r="H26" s="40" t="n"/>
      <c r="I26" s="40" t="n"/>
      <c r="J26" s="40" t="n"/>
      <c r="K26" s="40" t="n"/>
      <c r="L26" s="40" t="n"/>
      <c r="M26" s="40" t="n"/>
      <c r="N26" s="40" t="n"/>
      <c r="O26" s="40" t="n"/>
      <c r="P26" s="40" t="n"/>
      <c r="Q26" s="40" t="n"/>
      <c r="R26" s="40" t="n"/>
    </row>
    <row r="28" ht="19.5" customHeight="1" s="24">
      <c r="A28" s="32" t="inlineStr">
        <is>
          <t>DURABILITY SCORE</t>
        </is>
      </c>
    </row>
    <row r="29" ht="15" customHeight="1" s="24">
      <c r="A29" s="41" t="inlineStr">
        <is>
          <t>Metrics under control</t>
        </is>
      </c>
      <c r="E29" s="42">
        <f>COUNTA(A10:A26)</f>
        <v/>
      </c>
    </row>
    <row r="30" ht="15" customHeight="1" s="24">
      <c r="A30" s="41" t="inlineStr">
        <is>
          <t>Controls at level 1–3 (durable)</t>
        </is>
      </c>
      <c r="E30" s="42">
        <f>SUMPRODUCT((A10:A27&lt;&gt;"")*((LEFT(P10:P27&amp;" ",1)="1")+(LEFT(P10:P27&amp;" ",1)="2")+(LEFT(P10:P27&amp;" ",1)="3")))</f>
        <v/>
      </c>
    </row>
    <row r="31" ht="15" customHeight="1" s="24">
      <c r="A31" s="41" t="inlineStr">
        <is>
          <t>Controls at level 5–6 (will decay)</t>
        </is>
      </c>
      <c r="E31" s="42">
        <f>SUMPRODUCT((A10:A27&lt;&gt;"")*((LEFT(P10:P27&amp;" ",1)="5")+(LEFT(P10:P27&amp;" ",1)="6")))</f>
        <v/>
      </c>
    </row>
    <row r="32" ht="15" customHeight="1" s="24">
      <c r="A32" s="41" t="inlineStr">
        <is>
          <t>Share that are durable</t>
        </is>
      </c>
      <c r="E32" s="43">
        <f>IFERROR(E30/E29,"")</f>
        <v/>
      </c>
    </row>
    <row r="34" ht="39" customHeight="1" s="24">
      <c r="A34" s="44" t="inlineStr">
        <is>
          <t>A control plan whose controls are mostly level 5 and 6 has a predictable half-life. Aim for at least one level 1–3 control per root cause. And test the reaction plan once before handover — simulate a signal and confirm the reaction actually happens.</t>
        </is>
      </c>
    </row>
    <row r="37">
      <c r="A37" s="47" t="inlineStr">
        <is>
          <t>Controls by level — how durable is this control plan?</t>
        </is>
      </c>
    </row>
    <row r="38">
      <c r="A38" s="48" t="inlineStr">
        <is>
          <t>A plan weighted towards levels 5 and 6 decays the moment attrition or a busy week arrives. Levels 1-3 survive without anyone remembering.</t>
        </is>
      </c>
    </row>
    <row r="39">
      <c r="A39" s="23" t="inlineStr">
        <is>
          <t>1 Eliminate the demand</t>
        </is>
      </c>
      <c r="B39" s="49">
        <f>COUNTIF($P$10:$P$27,LEFT(A39,1)&amp;"*")</f>
        <v/>
      </c>
    </row>
    <row r="40">
      <c r="A40" s="23" t="inlineStr">
        <is>
          <t>2 Design it out</t>
        </is>
      </c>
      <c r="B40" s="49">
        <f>COUNTIF($P$10:$P$27,LEFT(A40,1)&amp;"*")</f>
        <v/>
      </c>
    </row>
    <row r="41">
      <c r="A41" s="23" t="inlineStr">
        <is>
          <t>3 Mistake-proof it</t>
        </is>
      </c>
      <c r="B41" s="49">
        <f>COUNTIF($P$10:$P$27,LEFT(A41,1)&amp;"*")</f>
        <v/>
      </c>
    </row>
    <row r="42">
      <c r="A42" s="23" t="inlineStr">
        <is>
          <t>4 Automatic detection</t>
        </is>
      </c>
      <c r="B42" s="49">
        <f>COUNTIF($P$10:$P$27,LEFT(A42,1)&amp;"*")</f>
        <v/>
      </c>
    </row>
    <row r="43">
      <c r="A43" s="23" t="inlineStr">
        <is>
          <t>5 Standard work + training</t>
        </is>
      </c>
      <c r="B43" s="49">
        <f>COUNTIF($P$10:$P$27,LEFT(A43,1)&amp;"*")</f>
        <v/>
      </c>
    </row>
    <row r="44">
      <c r="A44" s="23" t="inlineStr">
        <is>
          <t>6 Reminder or awareness</t>
        </is>
      </c>
      <c r="B44" s="49">
        <f>COUNTIF($P$10:$P$27,LEFT(A44,1)&amp;"*")</f>
        <v/>
      </c>
    </row>
  </sheetData>
  <mergeCells count="12">
    <mergeCell ref="B7:F7"/>
    <mergeCell ref="A31:D31"/>
    <mergeCell ref="B6:F6"/>
    <mergeCell ref="A2:R2"/>
    <mergeCell ref="A28:R28"/>
    <mergeCell ref="B5:F5"/>
    <mergeCell ref="A30:D30"/>
    <mergeCell ref="A29:D29"/>
    <mergeCell ref="A1:R1"/>
    <mergeCell ref="A4:F4"/>
    <mergeCell ref="A32:D32"/>
    <mergeCell ref="A34:R34"/>
  </mergeCells>
  <dataValidations count="4">
    <dataValidation sqref="E10:E26" showDropDown="0" showInputMessage="0" showErrorMessage="0" allowBlank="1" type="list" errorStyle="stop" operator="between">
      <formula1>"I-MR (daily aggregate),Xbar-R (subgroups),Xbar-S (subgroups &gt;8),Laney p' (attribute large n),Laney u' (defects per unit),p-chart (small n only),EWMA (slow drift),CUSUM (step change),t-chart (rare events),g-chart (rare events)"</formula1>
      <formula2>0</formula2>
    </dataValidation>
    <dataValidation sqref="I10:I26" showDropDown="0" showInputMessage="0" showErrorMessage="0" allowBlank="1" type="list" errorStyle="stop" operator="between">
      <formula1>"Real-time,Daily,Weekly,Monthly,Quarterly"</formula1>
      <formula2>0</formula2>
    </dataValidation>
    <dataValidation sqref="P10:P26" showDropDown="0" showInputMessage="0" showErrorMessage="0" allowBlank="1" type="list" errorStyle="stop" operator="between">
      <formula1>"1 Eliminate demand,2 Design it out,3 Guide it,4 Detect it,5 Standardise it,6 Train and remind"</formula1>
      <formula2>0</formula2>
    </dataValidation>
    <dataValidation sqref="Q10:Q26" showDropDown="0" showInputMessage="0" showErrorMessage="0" allowBlank="1" type="list" errorStyle="stop" operator="between">
      <formula1>"1 — system blocks it,2 — override needs a reason,3 — override is easy,4 — nothing stops them,5 — nobody would notice"</formula1>
      <formula2>0</formula2>
    </dataValidation>
  </dataValidation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1"/>
  </sheetPr>
  <dimension ref="A1:C11"/>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heetView>
  </sheetViews>
  <sheetFormatPr baseColWidth="8" defaultColWidth="8.6796875" defaultRowHeight="15" zeroHeight="0" outlineLevelRow="0"/>
  <cols>
    <col width="42" customWidth="1" style="23" min="1" max="1"/>
    <col width="30" customWidth="1" style="23" min="2" max="2"/>
    <col width="74" customWidth="1" style="23" min="3" max="3"/>
  </cols>
  <sheetData>
    <row r="1" ht="25.5" customHeight="1" s="24">
      <c r="A1" s="30" t="inlineStr">
        <is>
          <t>Choosing the right control chart</t>
        </is>
      </c>
    </row>
    <row r="2" ht="27.75" customHeight="1" s="24">
      <c r="A2" s="31" t="inlineStr">
        <is>
          <t>Pick by what your data looks like, not by habit.</t>
        </is>
      </c>
    </row>
    <row r="4" ht="31.5" customHeight="1" s="24">
      <c r="A4" s="37" t="inlineStr">
        <is>
          <t>Your data</t>
        </is>
      </c>
      <c r="B4" s="37" t="inlineStr">
        <is>
          <t>Use this chart</t>
        </is>
      </c>
      <c r="C4" s="37" t="inlineStr">
        <is>
          <t>Why / watch out for</t>
        </is>
      </c>
    </row>
    <row r="5" ht="45.75" customHeight="1" s="24">
      <c r="A5" s="45" t="inlineStr">
        <is>
          <t>One number per day or week (daily AHT, daily backlog, weekly SLA%)</t>
        </is>
      </c>
      <c r="B5" s="46" t="inlineStr">
        <is>
          <t>I-MR</t>
        </is>
      </c>
      <c r="C5" s="45" t="inlineStr">
        <is>
          <t>Fine on daily aggregates. Wrong on raw per-contact durations, which are heavily skewed. Watch for day-of-week patterns.</t>
        </is>
      </c>
    </row>
    <row r="6" ht="45.75" customHeight="1" s="24">
      <c r="A6" s="45" t="inlineStr">
        <is>
          <t>A percentage, with thousands of contacts a day (FCR%, SLA met%, QA pass%, reopen%)</t>
        </is>
      </c>
      <c r="B6" s="46" t="inlineStr">
        <is>
          <t>Laney p'</t>
        </is>
      </c>
      <c r="C6" s="45" t="inlineStr">
        <is>
          <t>THE DEFAULT FOR SUPPORT. An ordinary p-chart's limits are far too tight at these volumes and almost every point will look out of control, until the team stops looking at the chart entirely.</t>
        </is>
      </c>
    </row>
    <row r="7" ht="45.75" customHeight="1" s="24">
      <c r="A7" s="45" t="inlineStr">
        <is>
          <t>Defects per 100 contacts, with varying volume</t>
        </is>
      </c>
      <c r="B7" s="46" t="inlineStr">
        <is>
          <t>Laney u'</t>
        </is>
      </c>
      <c r="C7" s="45" t="inlineStr">
        <is>
          <t>Same overdispersion problem as percentages. Use the Laney version.</t>
        </is>
      </c>
    </row>
    <row r="8" ht="45.75" customHeight="1" s="24">
      <c r="A8" s="45" t="inlineStr">
        <is>
          <t>A continuous metric where you can form sensible subgroups</t>
        </is>
      </c>
      <c r="B8" s="46" t="inlineStr">
        <is>
          <t>Xbar-R or Xbar-S</t>
        </is>
      </c>
      <c r="C8" s="45" t="inlineStr">
        <is>
          <t>Use Xbar-S when subgroups are larger than about 8. Getting the subgrouping right is the hard part.</t>
        </is>
      </c>
    </row>
    <row r="9" ht="45.75" customHeight="1" s="24">
      <c r="A9" s="45" t="inlineStr">
        <is>
          <t>You need to catch a slow slide before it becomes obvious</t>
        </is>
      </c>
      <c r="B9" s="46" t="inlineStr">
        <is>
          <t>EWMA</t>
        </is>
      </c>
      <c r="C9" s="45" t="inlineStr">
        <is>
          <t>Ordinary charts are poor at small sustained shifts — which is exactly what a decaying improvement looks like. Use lambda around 0.2.</t>
        </is>
      </c>
    </row>
    <row r="10" ht="45.75" customHeight="1" s="24">
      <c r="A10" s="45" t="inlineStr">
        <is>
          <t>You need to confirm a change landed on the day you deployed it</t>
        </is>
      </c>
      <c r="B10" s="46" t="inlineStr">
        <is>
          <t>CUSUM</t>
        </is>
      </c>
      <c r="C10" s="45" t="inlineStr">
        <is>
          <t>Fastest detection of a step change.</t>
        </is>
      </c>
    </row>
    <row r="11" ht="45.75" customHeight="1" s="24">
      <c r="A11" s="45" t="inlineStr">
        <is>
          <t>A rare event — sev-1 outages, compliance misses, security incidents</t>
        </is>
      </c>
      <c r="B11" s="46" t="inlineStr">
        <is>
          <t>t-chart or g-chart</t>
        </is>
      </c>
      <c r="C11" s="45" t="inlineStr">
        <is>
          <t>Chart the time BETWEEN events. Charting counts gives you a chart of zeros and tells you nothing.</t>
        </is>
      </c>
    </row>
  </sheetData>
  <mergeCells count="2">
    <mergeCell ref="A1:C1"/>
    <mergeCell ref="A2:C2"/>
  </mergeCell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2026-07-31T15:37:50Z</dcterms:created>
  <dcterms:modified xsi:type="dcterms:W3CDTF">2026-08-01T02:37:14Z</dcterms:modified>
  <cp:revision>0</cp:revision>
</cp:coreProperties>
</file>

<file path=docProps/custom.xml><?xml version="1.0" encoding="utf-8"?>
<Properties xmlns:vt="http://schemas.openxmlformats.org/officeDocument/2006/docPropsVTypes" xmlns="http://schemas.openxmlformats.org/officeDocument/2006/custom-properties">
  <property name="chartspec" fmtid="{D5CDD505-2E9C-101B-9397-08002B2CF9AE}" pid="2">
    <vt:lpwstr>058f0e1a527b</vt:lpwstr>
  </property>
</Properties>
</file>