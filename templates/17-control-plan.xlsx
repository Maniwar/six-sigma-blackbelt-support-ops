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this" sheetId="1" state="visible" r:id="rId3"/>
    <sheet name="Control plan" sheetId="2" state="visible" r:id="rId4"/>
    <sheet name="Which chart to us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<sst xmlns="http://schemas.openxmlformats.org/spreadsheetml/2006/main" count="84" uniqueCount="83">
  <si>
    <t xml:space="preserve">Control Plan and Response Plan</t>
  </si>
  <si>
    <t xml:space="preserve">This is the document you hand to the process owner when the project closes. If it is vague, the improvement will decay and nobody will notice until the numbers are back where they started.</t>
  </si>
  <si>
    <t xml:space="preserve">What makes a control plan actually work</t>
  </si>
  <si>
    <t xml:space="preserve">A NAMED PERSON, not a team. 'The ops team' owns nothing.</t>
  </si>
  <si>
    <t xml:space="preserve">A SPECIFIC FORUM with a day and a time. 'Monday ops review', not 'regularly'.</t>
  </si>
  <si>
    <t xml:space="preserve">A REACTION PLAN written as an instruction someone could follow without asking you. 'Pull 20 reopens the same day, categorise the causes, report at Wednesday standup' — not 'investigate'.</t>
  </si>
  <si>
    <t xml:space="preserve">AN ESCALATION TRIGGER that is separate from the reaction trigger.</t>
  </si>
  <si>
    <t xml:space="preserve">Test the reaction plan once before you hand over. Simulate a signal and check the reaction actually happens. A reaction plan nobody has ever run is a paragraph, not a control.</t>
  </si>
  <si>
    <t xml:space="preserve">Do not skip the durability rating</t>
  </si>
  <si>
    <t xml:space="preserve">Rate every control 1 to 6 on the countermeasure hierarchy, and 1 to 5 on whether an agent could skip it. Anything an agent can skip will be skipped within two hiring classes. The summary at the bottom tells you what share of your controls will actually survive.</t>
  </si>
  <si>
    <t xml:space="preserve">What is watched, by whom, how often — and precisely what happens when it signals. This is the handover artifact.</t>
  </si>
  <si>
    <t xml:space="preserve">HOW TO USE THIS SHEET</t>
  </si>
  <si>
    <t xml:space="preserve">Yellow cells</t>
  </si>
  <si>
    <t xml:space="preserve">You fill these in. Blue text = a number you typed.</t>
  </si>
  <si>
    <t xml:space="preserve">Blue cells</t>
  </si>
  <si>
    <t xml:space="preserve">Calculated for you. Do not type over these — they contain formulas.</t>
  </si>
  <si>
    <t xml:space="preserve">Row 1 example</t>
  </si>
  <si>
    <t xml:space="preserve">A realistic worked example, so you can see the expected format. Delete or overwrite it.</t>
  </si>
  <si>
    <t xml:space="preserve">Metric</t>
  </si>
  <si>
    <t xml:space="preserve">Target / spec</t>
  </si>
  <si>
    <t xml:space="preserve">How it is measured</t>
  </si>
  <si>
    <t xml:space="preserve">Data source</t>
  </si>
  <si>
    <t xml:space="preserve">Chart type</t>
  </si>
  <si>
    <t xml:space="preserve">Centre line</t>
  </si>
  <si>
    <t xml:space="preserve">UCL</t>
  </si>
  <si>
    <t xml:space="preserve">LCL</t>
  </si>
  <si>
    <t xml:space="preserve">How often</t>
  </si>
  <si>
    <t xml:space="preserve">Reviewed where</t>
  </si>
  <si>
    <t xml:space="preserve">Owner</t>
  </si>
  <si>
    <t xml:space="preserve">What triggers a reaction</t>
  </si>
  <si>
    <t xml:space="preserve">Exactly what happens then</t>
  </si>
  <si>
    <t xml:space="preserve">Escalate when</t>
  </si>
  <si>
    <t xml:space="preserve">Escalate to</t>
  </si>
  <si>
    <t xml:space="preserve">Control level (1–6)</t>
  </si>
  <si>
    <t xml:space="preserve">Can an agent skip it? (1–5)</t>
  </si>
  <si>
    <t xml:space="preserve">Docs updated</t>
  </si>
  <si>
    <t xml:space="preserve">7-day reopen rate, billing</t>
  </si>
  <si>
    <t xml:space="preserve">≤ 8.0%</t>
  </si>
  <si>
    <t xml:space="preserve">Warehouse query, def v2.1</t>
  </si>
  <si>
    <t xml:space="preserve">warehouse.tickets</t>
  </si>
  <si>
    <t xml:space="preserve">Laney p' (attribute, large n)</t>
  </si>
  <si>
    <t xml:space="preserve">Weekly</t>
  </si>
  <si>
    <t xml:space="preserve">Monday ops review</t>
  </si>
  <si>
    <t xml:space="preserve">Billing Support Mgr</t>
  </si>
  <si>
    <t xml:space="preserve">Any point above the UCL</t>
  </si>
  <si>
    <t xml:space="preserve">Pull 20 reopens same day, categorise causes, report Wednesday standup</t>
  </si>
  <si>
    <t xml:space="preserve">Two consecutive weeks above UCL</t>
  </si>
  <si>
    <t xml:space="preserve">Ops Director + Champion</t>
  </si>
  <si>
    <t xml:space="preserve">2 Design it out</t>
  </si>
  <si>
    <t xml:space="preserve">1 — system blocks it</t>
  </si>
  <si>
    <t xml:space="preserve">SOP-BIL-014 v3, QA item 7</t>
  </si>
  <si>
    <t xml:space="preserve">DURABILITY SCORE</t>
  </si>
  <si>
    <t xml:space="preserve">Metrics under control</t>
  </si>
  <si>
    <t xml:space="preserve">Controls at level 1–3 (durable)</t>
  </si>
  <si>
    <t xml:space="preserve">Controls at level 5–6 (will decay)</t>
  </si>
  <si>
    <t xml:space="preserve">Share that are durable</t>
  </si>
  <si>
    <t xml:space="preserve">A control plan whose controls are mostly level 5 and 6 has a predictable half-life. Aim for at least one level 1–3 control per root cause. And test the reaction plan once before handover — simulate a signal and confirm the reaction actually happens.</t>
  </si>
  <si>
    <t xml:space="preserve">Choosing the right control chart</t>
  </si>
  <si>
    <t xml:space="preserve">Pick by what your data looks like, not by habit.</t>
  </si>
  <si>
    <t xml:space="preserve">Your data</t>
  </si>
  <si>
    <t xml:space="preserve">Use this chart</t>
  </si>
  <si>
    <t xml:space="preserve">Why / watch out for</t>
  </si>
  <si>
    <t xml:space="preserve">One number per day or week (daily AHT, daily backlog, weekly SLA%)</t>
  </si>
  <si>
    <t xml:space="preserve">I-MR</t>
  </si>
  <si>
    <t xml:space="preserve">Fine on daily aggregates. Wrong on raw per-contact durations, which are heavily skewed. Watch for day-of-week patterns.</t>
  </si>
  <si>
    <t xml:space="preserve">A percentage, with thousands of contacts a day (FCR%, SLA met%, QA pass%, reopen%)</t>
  </si>
  <si>
    <t xml:space="preserve">Laney p'</t>
  </si>
  <si>
    <t xml:space="preserve">THE DEFAULT FOR SUPPORT. An ordinary p-chart's limits are far too tight at these volumes and almost every point will look out of control, until the team stops looking at the chart entirely.</t>
  </si>
  <si>
    <t xml:space="preserve">Defects per 100 contacts, with varying volume</t>
  </si>
  <si>
    <t xml:space="preserve">Laney u'</t>
  </si>
  <si>
    <t xml:space="preserve">Same overdispersion problem as percentages. Use the Laney version.</t>
  </si>
  <si>
    <t xml:space="preserve">A continuous metric where you can form sensible subgroups</t>
  </si>
  <si>
    <t xml:space="preserve">Xbar-R or Xbar-S</t>
  </si>
  <si>
    <t xml:space="preserve">Use Xbar-S when subgroups are larger than about 8. Getting the subgrouping right is the hard part.</t>
  </si>
  <si>
    <t xml:space="preserve">You need to catch a slow slide before it becomes obvious</t>
  </si>
  <si>
    <t xml:space="preserve">EWMA</t>
  </si>
  <si>
    <t xml:space="preserve">Ordinary charts are poor at small sustained shifts — which is exactly what a decaying improvement looks like. Use lambda around 0.2.</t>
  </si>
  <si>
    <t xml:space="preserve">You need to confirm a change landed on the day you deployed it</t>
  </si>
  <si>
    <t xml:space="preserve">CUSUM</t>
  </si>
  <si>
    <t xml:space="preserve">Fastest detection of a step change.</t>
  </si>
  <si>
    <t xml:space="preserve">A rare event — sev-1 outages, compliance misses, security incidents</t>
  </si>
  <si>
    <t xml:space="preserve">t-chart or g-chart</t>
  </si>
  <si>
    <t xml:space="preserve">Chart the time BETWEEN events. Charting counts gives you a chart of zeros and tells you nothing.</t>
  </si>
</sst>
</file>

<file path=xl/styles.xml><?xml version="1.0" encoding="utf-8"?>
<styleSheet xmlns="http://schemas.openxmlformats.org/spreadsheetml/2006/main">
  <numFmts count="4">
    <numFmt numFmtId="164" formatCode="General"/>
    <numFmt numFmtId="165" formatCode="0.0%"/>
    <numFmt numFmtId="166" formatCode="0"/>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1F2937"/>
      <name val="Arial"/>
      <family val="0"/>
      <charset val="1"/>
    </font>
    <font>
      <b val="true"/>
      <sz val="12"/>
      <color rgb="FFB45309"/>
      <name val="Arial"/>
      <family val="0"/>
      <charset val="1"/>
    </font>
    <font>
      <b val="true"/>
      <sz val="10"/>
      <color rgb="FFB91C1C"/>
      <name val="Arial"/>
      <family val="0"/>
      <charset val="1"/>
    </font>
    <font>
      <b val="true"/>
      <sz val="14"/>
      <color rgb="FFFFFFFF"/>
      <name val="Arial"/>
      <family val="0"/>
      <charset val="1"/>
    </font>
    <font>
      <i val="true"/>
      <sz val="9"/>
      <color rgb="FF657085"/>
      <name val="Arial"/>
      <family val="0"/>
      <charset val="1"/>
    </font>
    <font>
      <b val="true"/>
      <sz val="9"/>
      <color rgb="FFB45309"/>
      <name val="Arial"/>
      <family val="0"/>
      <charset val="1"/>
    </font>
    <font>
      <sz val="9"/>
      <color rgb="FF1F2937"/>
      <name val="Arial"/>
      <family val="0"/>
      <charset val="1"/>
    </font>
    <font>
      <b val="true"/>
      <sz val="9"/>
      <color rgb="FFFFFFFF"/>
      <name val="Arial"/>
      <family val="0"/>
      <charset val="1"/>
    </font>
    <font>
      <sz val="10"/>
      <color rgb="FF006100"/>
      <name val="Arial"/>
      <family val="0"/>
      <charset val="1"/>
    </font>
    <font>
      <sz val="10"/>
      <color rgb="FF0000FF"/>
      <name val="Arial"/>
      <family val="0"/>
      <charset val="1"/>
    </font>
    <font>
      <b val="true"/>
      <sz val="10"/>
      <color rgb="FF1F2937"/>
      <name val="Arial"/>
      <family val="0"/>
      <charset val="1"/>
    </font>
    <font>
      <b val="true"/>
      <sz val="11"/>
      <color rgb="FF1F2937"/>
      <name val="Arial"/>
      <family val="0"/>
      <charset val="1"/>
    </font>
    <font>
      <b val="true"/>
      <sz val="10"/>
      <color rgb="FFB45309"/>
      <name val="Arial"/>
      <family val="0"/>
      <charset val="1"/>
    </font>
  </fonts>
  <fills count="9">
    <fill>
      <patternFill patternType="none"/>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diagonalUp="false" diagonalDown="false">
      <left/>
      <right/>
      <top/>
      <bottom/>
      <diagonal/>
    </border>
    <border diagonalUp="false" diagonalDown="false">
      <left style="thin">
        <color rgb="FFD8DEE8"/>
      </left>
      <right style="thin">
        <color rgb="FFD8DEE8"/>
      </right>
      <top style="thin">
        <color rgb="FFD8DEE8"/>
      </top>
      <bottom style="thin">
        <color rgb="FFD8DE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1" shrinkToFit="false"/>
      <protection locked="true" hidden="false"/>
    </xf>
    <xf numFmtId="164" fontId="7" fillId="2" borderId="1" xfId="0" applyFont="true" applyBorder="true" applyAlignment="true" applyProtection="false">
      <alignment horizontal="general" vertical="top" textRotation="0" wrapText="true" indent="1" shrinkToFit="false"/>
      <protection locked="true" hidden="false"/>
    </xf>
    <xf numFmtId="164" fontId="8" fillId="3" borderId="0" xfId="0" applyFont="true" applyBorder="true" applyAlignment="true" applyProtection="false">
      <alignment horizontal="general" vertical="center" textRotation="0" wrapText="false" indent="1" shrinkToFit="false"/>
      <protection locked="true" hidden="false"/>
    </xf>
    <xf numFmtId="164" fontId="9" fillId="0" borderId="0" xfId="0" applyFont="true" applyBorder="true" applyAlignment="true" applyProtection="false">
      <alignment horizontal="general" vertical="center" textRotation="0" wrapText="true" indent="1" shrinkToFit="false"/>
      <protection locked="true" hidden="false"/>
    </xf>
    <xf numFmtId="164" fontId="10" fillId="4" borderId="0" xfId="0" applyFont="true" applyBorder="true" applyAlignment="true" applyProtection="false">
      <alignment horizontal="general" vertical="center" textRotation="0" wrapText="false" indent="1"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0" fillId="6" borderId="1" xfId="0" applyFont="true" applyBorder="true" applyAlignment="false" applyProtection="false">
      <alignment horizontal="general" vertical="bottom" textRotation="0" wrapText="false" indent="0" shrinkToFit="false"/>
      <protection locked="true" hidden="false"/>
    </xf>
    <xf numFmtId="164" fontId="0" fillId="7" borderId="1" xfId="0" applyFont="true" applyBorder="true" applyAlignment="false" applyProtection="false">
      <alignment horizontal="general" vertical="bottom" textRotation="0" wrapText="false" indent="0" shrinkToFit="false"/>
      <protection locked="true" hidden="false"/>
    </xf>
    <xf numFmtId="164" fontId="12" fillId="8" borderId="1" xfId="0" applyFont="true" applyBorder="true" applyAlignment="true" applyProtection="false">
      <alignment horizontal="general" vertical="bottom" textRotation="0" wrapText="true" indent="0" shrinkToFit="false"/>
      <protection locked="true" hidden="false"/>
    </xf>
    <xf numFmtId="164" fontId="13" fillId="7" borderId="1" xfId="0" applyFont="true" applyBorder="true" applyAlignment="true" applyProtection="false">
      <alignment horizontal="general" vertical="top" textRotation="0" wrapText="true" indent="0" shrinkToFit="false"/>
      <protection locked="true" hidden="false"/>
    </xf>
    <xf numFmtId="165" fontId="13" fillId="7"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6" fontId="16" fillId="6" borderId="1" xfId="0" applyFont="true" applyBorder="true" applyAlignment="false" applyProtection="false">
      <alignment horizontal="general" vertical="bottom" textRotation="0" wrapText="false" indent="0" shrinkToFit="false"/>
      <protection locked="true" hidden="false"/>
    </xf>
    <xf numFmtId="167" fontId="16" fillId="6"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1"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8"/>
  </cols>
  <sheetData>
    <row r="2" customFormat="false" ht="30" hidden="false" customHeight="true" outlineLevel="0" collapsed="false">
      <c r="B2" s="1" t="s">
        <v>0</v>
      </c>
    </row>
    <row r="3" customFormat="false" ht="25.5" hidden="false" customHeight="true" outlineLevel="0" collapsed="false">
      <c r="B3" s="2" t="s">
        <v>1</v>
      </c>
    </row>
    <row r="5" customFormat="false" ht="24" hidden="false" customHeight="true" outlineLevel="0" collapsed="false">
      <c r="B5" s="3" t="s">
        <v>2</v>
      </c>
    </row>
    <row r="6" customFormat="false" ht="15" hidden="false" customHeight="true" outlineLevel="0" collapsed="false">
      <c r="B6" s="4" t="s">
        <v>3</v>
      </c>
    </row>
    <row r="7" customFormat="false" ht="15" hidden="false" customHeight="true" outlineLevel="0" collapsed="false">
      <c r="B7" s="4" t="s">
        <v>4</v>
      </c>
    </row>
    <row r="8" customFormat="false" ht="25.5" hidden="false" customHeight="true" outlineLevel="0" collapsed="false">
      <c r="B8" s="4" t="s">
        <v>5</v>
      </c>
    </row>
    <row r="9" customFormat="false" ht="15" hidden="false" customHeight="true" outlineLevel="0" collapsed="false">
      <c r="B9" s="4" t="s">
        <v>6</v>
      </c>
    </row>
    <row r="11" customFormat="false" ht="25.5" hidden="false" customHeight="true" outlineLevel="0" collapsed="false">
      <c r="B11" s="5" t="s">
        <v>7</v>
      </c>
    </row>
    <row r="13" customFormat="false" ht="24" hidden="false" customHeight="true" outlineLevel="0" collapsed="false">
      <c r="B13" s="3" t="s">
        <v>8</v>
      </c>
    </row>
    <row r="14" customFormat="false" ht="39" hidden="false" customHeight="true" outlineLevel="0" collapsed="false">
      <c r="B14"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6"/>
    <col collapsed="false" customWidth="true" hidden="false" outlineLevel="0" max="3" min="3" style="0" width="26"/>
    <col collapsed="false" customWidth="true" hidden="false" outlineLevel="0" max="5" min="4" style="0" width="2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22"/>
    <col collapsed="false" customWidth="true" hidden="false" outlineLevel="0" max="11" min="11" style="0" width="16"/>
    <col collapsed="false" customWidth="true" hidden="false" outlineLevel="0" max="12" min="12" style="0" width="30"/>
    <col collapsed="false" customWidth="true" hidden="false" outlineLevel="0" max="13" min="13" style="0" width="42"/>
    <col collapsed="false" customWidth="true" hidden="false" outlineLevel="0" max="14" min="14" style="0" width="24"/>
    <col collapsed="false" customWidth="true" hidden="false" outlineLevel="0" max="16" min="15" style="0" width="18"/>
    <col collapsed="false" customWidth="true" hidden="false" outlineLevel="0" max="17" min="17" style="0" width="20"/>
    <col collapsed="false" customWidth="true" hidden="false" outlineLevel="0" max="18" min="18" style="0" width="26"/>
  </cols>
  <sheetData>
    <row r="1" customFormat="false" ht="25.5" hidden="false" customHeight="true" outlineLevel="0" collapsed="false">
      <c r="A1" s="6" t="s">
        <v>0</v>
      </c>
      <c r="B1" s="6"/>
      <c r="C1" s="6"/>
      <c r="D1" s="6"/>
      <c r="E1" s="6"/>
      <c r="F1" s="6"/>
      <c r="G1" s="6"/>
      <c r="H1" s="6"/>
      <c r="I1" s="6"/>
      <c r="J1" s="6"/>
      <c r="K1" s="6"/>
      <c r="L1" s="6"/>
      <c r="M1" s="6"/>
      <c r="N1" s="6"/>
      <c r="O1" s="6"/>
      <c r="P1" s="6"/>
      <c r="Q1" s="6"/>
      <c r="R1" s="6"/>
    </row>
    <row r="2" customFormat="false" ht="27.75" hidden="false" customHeight="true" outlineLevel="0" collapsed="false">
      <c r="A2" s="7" t="s">
        <v>10</v>
      </c>
      <c r="B2" s="7"/>
      <c r="C2" s="7"/>
      <c r="D2" s="7"/>
      <c r="E2" s="7"/>
      <c r="F2" s="7"/>
      <c r="G2" s="7"/>
      <c r="H2" s="7"/>
      <c r="I2" s="7"/>
      <c r="J2" s="7"/>
      <c r="K2" s="7"/>
      <c r="L2" s="7"/>
      <c r="M2" s="7"/>
      <c r="N2" s="7"/>
      <c r="O2" s="7"/>
      <c r="P2" s="7"/>
      <c r="Q2" s="7"/>
      <c r="R2" s="7"/>
    </row>
    <row r="4" customFormat="false" ht="19.5" hidden="false" customHeight="true" outlineLevel="0" collapsed="false">
      <c r="A4" s="8" t="s">
        <v>11</v>
      </c>
      <c r="B4" s="8"/>
      <c r="C4" s="8"/>
      <c r="D4" s="8"/>
      <c r="E4" s="8"/>
      <c r="F4" s="8"/>
    </row>
    <row r="5" customFormat="false" ht="15" hidden="false" customHeight="false" outlineLevel="0" collapsed="false">
      <c r="A5" s="9" t="s">
        <v>12</v>
      </c>
      <c r="B5" s="10" t="s">
        <v>13</v>
      </c>
      <c r="C5" s="10"/>
      <c r="D5" s="10"/>
      <c r="E5" s="10"/>
      <c r="F5" s="10"/>
    </row>
    <row r="6" customFormat="false" ht="15" hidden="false" customHeight="false" outlineLevel="0" collapsed="false">
      <c r="A6" s="11" t="s">
        <v>14</v>
      </c>
      <c r="B6" s="10" t="s">
        <v>15</v>
      </c>
      <c r="C6" s="10"/>
      <c r="D6" s="10"/>
      <c r="E6" s="10"/>
      <c r="F6" s="10"/>
    </row>
    <row r="7" customFormat="false" ht="15" hidden="false" customHeight="false" outlineLevel="0" collapsed="false">
      <c r="A7" s="12" t="s">
        <v>16</v>
      </c>
      <c r="B7" s="10" t="s">
        <v>17</v>
      </c>
      <c r="C7" s="10"/>
      <c r="D7" s="10"/>
      <c r="E7" s="10"/>
      <c r="F7" s="10"/>
    </row>
    <row r="9" customFormat="false" ht="31.5" hidden="false" customHeight="true" outlineLevel="0" collapsed="false">
      <c r="A9" s="13" t="s">
        <v>18</v>
      </c>
      <c r="B9" s="13" t="s">
        <v>19</v>
      </c>
      <c r="C9" s="13" t="s">
        <v>20</v>
      </c>
      <c r="D9" s="13" t="s">
        <v>21</v>
      </c>
      <c r="E9" s="13" t="s">
        <v>22</v>
      </c>
      <c r="F9" s="13" t="s">
        <v>23</v>
      </c>
      <c r="G9" s="13" t="s">
        <v>24</v>
      </c>
      <c r="H9" s="13" t="s">
        <v>25</v>
      </c>
      <c r="I9" s="13" t="s">
        <v>26</v>
      </c>
      <c r="J9" s="13" t="s">
        <v>27</v>
      </c>
      <c r="K9" s="13" t="s">
        <v>28</v>
      </c>
      <c r="L9" s="13" t="s">
        <v>29</v>
      </c>
      <c r="M9" s="13" t="s">
        <v>30</v>
      </c>
      <c r="N9" s="13" t="s">
        <v>31</v>
      </c>
      <c r="O9" s="13" t="s">
        <v>32</v>
      </c>
      <c r="P9" s="13" t="s">
        <v>33</v>
      </c>
      <c r="Q9" s="13" t="s">
        <v>34</v>
      </c>
      <c r="R9" s="13" t="s">
        <v>35</v>
      </c>
    </row>
    <row r="10" customFormat="false" ht="43.5" hidden="false" customHeight="true" outlineLevel="0" collapsed="false">
      <c r="A10" s="14" t="s">
        <v>36</v>
      </c>
      <c r="B10" s="14" t="s">
        <v>37</v>
      </c>
      <c r="C10" s="14" t="s">
        <v>38</v>
      </c>
      <c r="D10" s="14" t="s">
        <v>39</v>
      </c>
      <c r="E10" s="14" t="s">
        <v>40</v>
      </c>
      <c r="F10" s="15" t="n">
        <v>0.086</v>
      </c>
      <c r="G10" s="15" t="n">
        <v>0.104</v>
      </c>
      <c r="H10" s="15" t="n">
        <v>0.068</v>
      </c>
      <c r="I10" s="14" t="s">
        <v>41</v>
      </c>
      <c r="J10" s="14" t="s">
        <v>42</v>
      </c>
      <c r="K10" s="14" t="s">
        <v>43</v>
      </c>
      <c r="L10" s="14" t="s">
        <v>44</v>
      </c>
      <c r="M10" s="14" t="s">
        <v>45</v>
      </c>
      <c r="N10" s="14" t="s">
        <v>46</v>
      </c>
      <c r="O10" s="14" t="s">
        <v>47</v>
      </c>
      <c r="P10" s="14" t="s">
        <v>48</v>
      </c>
      <c r="Q10" s="14" t="s">
        <v>49</v>
      </c>
      <c r="R10" s="14" t="s">
        <v>50</v>
      </c>
    </row>
    <row r="11" customFormat="false" ht="30" hidden="false" customHeight="true" outlineLevel="0" collapsed="false">
      <c r="A11" s="16"/>
      <c r="B11" s="16"/>
      <c r="C11" s="16"/>
      <c r="D11" s="16"/>
      <c r="E11" s="16"/>
      <c r="F11" s="16"/>
      <c r="G11" s="16"/>
      <c r="H11" s="16"/>
      <c r="I11" s="16"/>
      <c r="J11" s="16"/>
      <c r="K11" s="16"/>
      <c r="L11" s="16"/>
      <c r="M11" s="16"/>
      <c r="N11" s="16"/>
      <c r="O11" s="16"/>
      <c r="P11" s="16"/>
      <c r="Q11" s="16"/>
      <c r="R11" s="16"/>
    </row>
    <row r="12" customFormat="false" ht="30" hidden="false" customHeight="true" outlineLevel="0" collapsed="false">
      <c r="A12" s="16"/>
      <c r="B12" s="16"/>
      <c r="C12" s="16"/>
      <c r="D12" s="16"/>
      <c r="E12" s="16"/>
      <c r="F12" s="16"/>
      <c r="G12" s="16"/>
      <c r="H12" s="16"/>
      <c r="I12" s="16"/>
      <c r="J12" s="16"/>
      <c r="K12" s="16"/>
      <c r="L12" s="16"/>
      <c r="M12" s="16"/>
      <c r="N12" s="16"/>
      <c r="O12" s="16"/>
      <c r="P12" s="16"/>
      <c r="Q12" s="16"/>
      <c r="R12" s="16"/>
    </row>
    <row r="13" customFormat="false" ht="30" hidden="false" customHeight="true" outlineLevel="0" collapsed="false">
      <c r="A13" s="16"/>
      <c r="B13" s="16"/>
      <c r="C13" s="16"/>
      <c r="D13" s="16"/>
      <c r="E13" s="16"/>
      <c r="F13" s="16"/>
      <c r="G13" s="16"/>
      <c r="H13" s="16"/>
      <c r="I13" s="16"/>
      <c r="J13" s="16"/>
      <c r="K13" s="16"/>
      <c r="L13" s="16"/>
      <c r="M13" s="16"/>
      <c r="N13" s="16"/>
      <c r="O13" s="16"/>
      <c r="P13" s="16"/>
      <c r="Q13" s="16"/>
      <c r="R13" s="16"/>
    </row>
    <row r="14" customFormat="false" ht="30" hidden="false" customHeight="true" outlineLevel="0" collapsed="false">
      <c r="A14" s="16"/>
      <c r="B14" s="16"/>
      <c r="C14" s="16"/>
      <c r="D14" s="16"/>
      <c r="E14" s="16"/>
      <c r="F14" s="16"/>
      <c r="G14" s="16"/>
      <c r="H14" s="16"/>
      <c r="I14" s="16"/>
      <c r="J14" s="16"/>
      <c r="K14" s="16"/>
      <c r="L14" s="16"/>
      <c r="M14" s="16"/>
      <c r="N14" s="16"/>
      <c r="O14" s="16"/>
      <c r="P14" s="16"/>
      <c r="Q14" s="16"/>
      <c r="R14" s="16"/>
    </row>
    <row r="15" customFormat="false" ht="30" hidden="false" customHeight="true" outlineLevel="0" collapsed="false">
      <c r="A15" s="16"/>
      <c r="B15" s="16"/>
      <c r="C15" s="16"/>
      <c r="D15" s="16"/>
      <c r="E15" s="16"/>
      <c r="F15" s="16"/>
      <c r="G15" s="16"/>
      <c r="H15" s="16"/>
      <c r="I15" s="16"/>
      <c r="J15" s="16"/>
      <c r="K15" s="16"/>
      <c r="L15" s="16"/>
      <c r="M15" s="16"/>
      <c r="N15" s="16"/>
      <c r="O15" s="16"/>
      <c r="P15" s="16"/>
      <c r="Q15" s="16"/>
      <c r="R15" s="16"/>
    </row>
    <row r="16" customFormat="false" ht="30" hidden="false" customHeight="true" outlineLevel="0" collapsed="false">
      <c r="A16" s="16"/>
      <c r="B16" s="16"/>
      <c r="C16" s="16"/>
      <c r="D16" s="16"/>
      <c r="E16" s="16"/>
      <c r="F16" s="16"/>
      <c r="G16" s="16"/>
      <c r="H16" s="16"/>
      <c r="I16" s="16"/>
      <c r="J16" s="16"/>
      <c r="K16" s="16"/>
      <c r="L16" s="16"/>
      <c r="M16" s="16"/>
      <c r="N16" s="16"/>
      <c r="O16" s="16"/>
      <c r="P16" s="16"/>
      <c r="Q16" s="16"/>
      <c r="R16" s="16"/>
    </row>
    <row r="17" customFormat="false" ht="30" hidden="false" customHeight="true" outlineLevel="0" collapsed="false">
      <c r="A17" s="16"/>
      <c r="B17" s="16"/>
      <c r="C17" s="16"/>
      <c r="D17" s="16"/>
      <c r="E17" s="16"/>
      <c r="F17" s="16"/>
      <c r="G17" s="16"/>
      <c r="H17" s="16"/>
      <c r="I17" s="16"/>
      <c r="J17" s="16"/>
      <c r="K17" s="16"/>
      <c r="L17" s="16"/>
      <c r="M17" s="16"/>
      <c r="N17" s="16"/>
      <c r="O17" s="16"/>
      <c r="P17" s="16"/>
      <c r="Q17" s="16"/>
      <c r="R17" s="16"/>
    </row>
    <row r="18" customFormat="false" ht="30" hidden="false" customHeight="true" outlineLevel="0" collapsed="false">
      <c r="A18" s="16"/>
      <c r="B18" s="16"/>
      <c r="C18" s="16"/>
      <c r="D18" s="16"/>
      <c r="E18" s="16"/>
      <c r="F18" s="16"/>
      <c r="G18" s="16"/>
      <c r="H18" s="16"/>
      <c r="I18" s="16"/>
      <c r="J18" s="16"/>
      <c r="K18" s="16"/>
      <c r="L18" s="16"/>
      <c r="M18" s="16"/>
      <c r="N18" s="16"/>
      <c r="O18" s="16"/>
      <c r="P18" s="16"/>
      <c r="Q18" s="16"/>
      <c r="R18" s="16"/>
    </row>
    <row r="19" customFormat="false" ht="30" hidden="false" customHeight="true" outlineLevel="0" collapsed="false">
      <c r="A19" s="16"/>
      <c r="B19" s="16"/>
      <c r="C19" s="16"/>
      <c r="D19" s="16"/>
      <c r="E19" s="16"/>
      <c r="F19" s="16"/>
      <c r="G19" s="16"/>
      <c r="H19" s="16"/>
      <c r="I19" s="16"/>
      <c r="J19" s="16"/>
      <c r="K19" s="16"/>
      <c r="L19" s="16"/>
      <c r="M19" s="16"/>
      <c r="N19" s="16"/>
      <c r="O19" s="16"/>
      <c r="P19" s="16"/>
      <c r="Q19" s="16"/>
      <c r="R19" s="16"/>
    </row>
    <row r="20" customFormat="false" ht="30" hidden="false" customHeight="true" outlineLevel="0" collapsed="false">
      <c r="A20" s="16"/>
      <c r="B20" s="16"/>
      <c r="C20" s="16"/>
      <c r="D20" s="16"/>
      <c r="E20" s="16"/>
      <c r="F20" s="16"/>
      <c r="G20" s="16"/>
      <c r="H20" s="16"/>
      <c r="I20" s="16"/>
      <c r="J20" s="16"/>
      <c r="K20" s="16"/>
      <c r="L20" s="16"/>
      <c r="M20" s="16"/>
      <c r="N20" s="16"/>
      <c r="O20" s="16"/>
      <c r="P20" s="16"/>
      <c r="Q20" s="16"/>
      <c r="R20" s="16"/>
    </row>
    <row r="21" customFormat="false" ht="30" hidden="false" customHeight="true" outlineLevel="0" collapsed="false">
      <c r="A21" s="16"/>
      <c r="B21" s="16"/>
      <c r="C21" s="16"/>
      <c r="D21" s="16"/>
      <c r="E21" s="16"/>
      <c r="F21" s="16"/>
      <c r="G21" s="16"/>
      <c r="H21" s="16"/>
      <c r="I21" s="16"/>
      <c r="J21" s="16"/>
      <c r="K21" s="16"/>
      <c r="L21" s="16"/>
      <c r="M21" s="16"/>
      <c r="N21" s="16"/>
      <c r="O21" s="16"/>
      <c r="P21" s="16"/>
      <c r="Q21" s="16"/>
      <c r="R21" s="16"/>
    </row>
    <row r="22" customFormat="false" ht="30" hidden="false" customHeight="true" outlineLevel="0" collapsed="false">
      <c r="A22" s="16"/>
      <c r="B22" s="16"/>
      <c r="C22" s="16"/>
      <c r="D22" s="16"/>
      <c r="E22" s="16"/>
      <c r="F22" s="16"/>
      <c r="G22" s="16"/>
      <c r="H22" s="16"/>
      <c r="I22" s="16"/>
      <c r="J22" s="16"/>
      <c r="K22" s="16"/>
      <c r="L22" s="16"/>
      <c r="M22" s="16"/>
      <c r="N22" s="16"/>
      <c r="O22" s="16"/>
      <c r="P22" s="16"/>
      <c r="Q22" s="16"/>
      <c r="R22" s="16"/>
    </row>
    <row r="23" customFormat="false" ht="30" hidden="false" customHeight="true" outlineLevel="0" collapsed="false">
      <c r="A23" s="16"/>
      <c r="B23" s="16"/>
      <c r="C23" s="16"/>
      <c r="D23" s="16"/>
      <c r="E23" s="16"/>
      <c r="F23" s="16"/>
      <c r="G23" s="16"/>
      <c r="H23" s="16"/>
      <c r="I23" s="16"/>
      <c r="J23" s="16"/>
      <c r="K23" s="16"/>
      <c r="L23" s="16"/>
      <c r="M23" s="16"/>
      <c r="N23" s="16"/>
      <c r="O23" s="16"/>
      <c r="P23" s="16"/>
      <c r="Q23" s="16"/>
      <c r="R23" s="16"/>
    </row>
    <row r="24" customFormat="false" ht="30" hidden="false" customHeight="true" outlineLevel="0" collapsed="false">
      <c r="A24" s="16"/>
      <c r="B24" s="16"/>
      <c r="C24" s="16"/>
      <c r="D24" s="16"/>
      <c r="E24" s="16"/>
      <c r="F24" s="16"/>
      <c r="G24" s="16"/>
      <c r="H24" s="16"/>
      <c r="I24" s="16"/>
      <c r="J24" s="16"/>
      <c r="K24" s="16"/>
      <c r="L24" s="16"/>
      <c r="M24" s="16"/>
      <c r="N24" s="16"/>
      <c r="O24" s="16"/>
      <c r="P24" s="16"/>
      <c r="Q24" s="16"/>
      <c r="R24" s="16"/>
    </row>
    <row r="25" customFormat="false" ht="30" hidden="false" customHeight="true" outlineLevel="0" collapsed="false">
      <c r="A25" s="16"/>
      <c r="B25" s="16"/>
      <c r="C25" s="16"/>
      <c r="D25" s="16"/>
      <c r="E25" s="16"/>
      <c r="F25" s="16"/>
      <c r="G25" s="16"/>
      <c r="H25" s="16"/>
      <c r="I25" s="16"/>
      <c r="J25" s="16"/>
      <c r="K25" s="16"/>
      <c r="L25" s="16"/>
      <c r="M25" s="16"/>
      <c r="N25" s="16"/>
      <c r="O25" s="16"/>
      <c r="P25" s="16"/>
      <c r="Q25" s="16"/>
      <c r="R25" s="16"/>
    </row>
    <row r="26" customFormat="false" ht="30" hidden="false" customHeight="true" outlineLevel="0" collapsed="false">
      <c r="A26" s="16"/>
      <c r="B26" s="16"/>
      <c r="C26" s="16"/>
      <c r="D26" s="16"/>
      <c r="E26" s="16"/>
      <c r="F26" s="16"/>
      <c r="G26" s="16"/>
      <c r="H26" s="16"/>
      <c r="I26" s="16"/>
      <c r="J26" s="16"/>
      <c r="K26" s="16"/>
      <c r="L26" s="16"/>
      <c r="M26" s="16"/>
      <c r="N26" s="16"/>
      <c r="O26" s="16"/>
      <c r="P26" s="16"/>
      <c r="Q26" s="16"/>
      <c r="R26" s="16"/>
    </row>
    <row r="28" customFormat="false" ht="19.5" hidden="false" customHeight="true" outlineLevel="0" collapsed="false">
      <c r="A28" s="8" t="s">
        <v>51</v>
      </c>
      <c r="B28" s="8"/>
      <c r="C28" s="8"/>
      <c r="D28" s="8"/>
      <c r="E28" s="8"/>
      <c r="F28" s="8"/>
      <c r="G28" s="8"/>
      <c r="H28" s="8"/>
      <c r="I28" s="8"/>
      <c r="J28" s="8"/>
      <c r="K28" s="8"/>
      <c r="L28" s="8"/>
      <c r="M28" s="8"/>
      <c r="N28" s="8"/>
      <c r="O28" s="8"/>
      <c r="P28" s="8"/>
      <c r="Q28" s="8"/>
      <c r="R28" s="8"/>
    </row>
    <row r="29" customFormat="false" ht="15" hidden="false" customHeight="false" outlineLevel="0" collapsed="false">
      <c r="A29" s="17" t="s">
        <v>52</v>
      </c>
      <c r="B29" s="17"/>
      <c r="C29" s="17"/>
      <c r="D29" s="17"/>
      <c r="E29" s="18" t="n">
        <f aca="false">COUNTA(A10:A26)</f>
        <v>1</v>
      </c>
    </row>
    <row r="30" customFormat="false" ht="15" hidden="false" customHeight="false" outlineLevel="0" collapsed="false">
      <c r="A30" s="17" t="s">
        <v>53</v>
      </c>
      <c r="B30" s="17"/>
      <c r="C30" s="17"/>
      <c r="D30" s="17"/>
      <c r="E30" s="18" t="n">
        <f aca="false">SUMPRODUCT((A10:A26&lt;&gt;"")*(VALUE(LEFT(P10:P26&amp;"9",1))&lt;=3))</f>
        <v>1</v>
      </c>
    </row>
    <row r="31" customFormat="false" ht="15" hidden="false" customHeight="false" outlineLevel="0" collapsed="false">
      <c r="A31" s="17" t="s">
        <v>54</v>
      </c>
      <c r="B31" s="17"/>
      <c r="C31" s="17"/>
      <c r="D31" s="17"/>
      <c r="E31" s="18" t="n">
        <f aca="false">SUMPRODUCT((A10:A26&lt;&gt;"")*(VALUE(LEFT(P10:P26&amp;"0",1))&gt;=5))</f>
        <v>0</v>
      </c>
    </row>
    <row r="32" customFormat="false" ht="15" hidden="false" customHeight="false" outlineLevel="0" collapsed="false">
      <c r="A32" s="17" t="s">
        <v>55</v>
      </c>
      <c r="B32" s="17"/>
      <c r="C32" s="17"/>
      <c r="D32" s="17"/>
      <c r="E32" s="19" t="n">
        <f aca="false">IFERROR(SUMPRODUCT((A10:A26&lt;&gt;"")*(VALUE(LEFT(P10:P26&amp;"9",1))&lt;=3))/COUNTA(A10:A26),"")</f>
        <v>1</v>
      </c>
    </row>
    <row r="34" customFormat="false" ht="39" hidden="false" customHeight="true" outlineLevel="0" collapsed="false">
      <c r="A34" s="20" t="s">
        <v>56</v>
      </c>
      <c r="B34" s="20"/>
      <c r="C34" s="20"/>
      <c r="D34" s="20"/>
      <c r="E34" s="20"/>
      <c r="F34" s="20"/>
      <c r="G34" s="20"/>
      <c r="H34" s="20"/>
      <c r="I34" s="20"/>
      <c r="J34" s="20"/>
      <c r="K34" s="20"/>
      <c r="L34" s="20"/>
      <c r="M34" s="20"/>
      <c r="N34" s="20"/>
      <c r="O34" s="20"/>
      <c r="P34" s="20"/>
      <c r="Q34" s="20"/>
      <c r="R34" s="20"/>
    </row>
  </sheetData>
  <mergeCells count="12">
    <mergeCell ref="A1:R1"/>
    <mergeCell ref="A2:R2"/>
    <mergeCell ref="A4:F4"/>
    <mergeCell ref="B5:F5"/>
    <mergeCell ref="B6:F6"/>
    <mergeCell ref="B7:F7"/>
    <mergeCell ref="A28:R28"/>
    <mergeCell ref="A29:D29"/>
    <mergeCell ref="A30:D30"/>
    <mergeCell ref="A31:D31"/>
    <mergeCell ref="A32:D32"/>
    <mergeCell ref="A34:R34"/>
  </mergeCells>
  <dataValidations count="4">
    <dataValidation allowBlank="true" errorStyle="stop" operator="between" showDropDown="false" showErrorMessage="false" showInputMessage="false" sqref="E10:E26" type="list">
      <formula1>"I-MR (daily aggregate),Xbar-R (subgroups),Xbar-S (subgroups &gt;8),Laney p' (attribute large n),Laney u' (defects per unit),p-chart (small n only),EWMA (slow drift),CUSUM (step change),t-chart (rare events),g-chart (rare events)"</formula1>
      <formula2>0</formula2>
    </dataValidation>
    <dataValidation allowBlank="true" errorStyle="stop" operator="between" showDropDown="false" showErrorMessage="false" showInputMessage="false" sqref="I10:I26" type="list">
      <formula1>"Real-time,Daily,Weekly,Monthly,Quarterly"</formula1>
      <formula2>0</formula2>
    </dataValidation>
    <dataValidation allowBlank="true" errorStyle="stop" operator="between" showDropDown="false" showErrorMessage="false" showInputMessage="false" sqref="P10:P26" type="list">
      <formula1>"1 Eliminate demand,2 Design it out,3 Guide it,4 Detect it,5 Standardise it,6 Train and remind"</formula1>
      <formula2>0</formula2>
    </dataValidation>
    <dataValidation allowBlank="true" errorStyle="stop" operator="between" showDropDown="false" showErrorMessage="false" showInputMessage="false" sqref="Q10:Q26" type="list">
      <formula1>"1 — system blocks it,2 — override needs a reason,3 — override is easy,4 — nothing stops them,5 — nobody would notice"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3" min="3" style="0" width="74"/>
  </cols>
  <sheetData>
    <row r="1" customFormat="false" ht="25.5" hidden="false" customHeight="true" outlineLevel="0" collapsed="false">
      <c r="A1" s="6" t="s">
        <v>57</v>
      </c>
      <c r="B1" s="6"/>
      <c r="C1" s="6"/>
    </row>
    <row r="2" customFormat="false" ht="27.75" hidden="false" customHeight="true" outlineLevel="0" collapsed="false">
      <c r="A2" s="7" t="s">
        <v>58</v>
      </c>
      <c r="B2" s="7"/>
      <c r="C2" s="7"/>
    </row>
    <row r="4" customFormat="false" ht="31.5" hidden="false" customHeight="true" outlineLevel="0" collapsed="false">
      <c r="A4" s="13" t="s">
        <v>59</v>
      </c>
      <c r="B4" s="13" t="s">
        <v>60</v>
      </c>
      <c r="C4" s="13" t="s">
        <v>61</v>
      </c>
    </row>
    <row r="5" customFormat="false" ht="45.75" hidden="false" customHeight="true" outlineLevel="0" collapsed="false">
      <c r="A5" s="21" t="s">
        <v>62</v>
      </c>
      <c r="B5" s="22" t="s">
        <v>63</v>
      </c>
      <c r="C5" s="21" t="s">
        <v>64</v>
      </c>
    </row>
    <row r="6" customFormat="false" ht="45.75" hidden="false" customHeight="true" outlineLevel="0" collapsed="false">
      <c r="A6" s="21" t="s">
        <v>65</v>
      </c>
      <c r="B6" s="22" t="s">
        <v>66</v>
      </c>
      <c r="C6" s="21" t="s">
        <v>67</v>
      </c>
    </row>
    <row r="7" customFormat="false" ht="45.75" hidden="false" customHeight="true" outlineLevel="0" collapsed="false">
      <c r="A7" s="21" t="s">
        <v>68</v>
      </c>
      <c r="B7" s="22" t="s">
        <v>69</v>
      </c>
      <c r="C7" s="21" t="s">
        <v>70</v>
      </c>
    </row>
    <row r="8" customFormat="false" ht="45.75" hidden="false" customHeight="true" outlineLevel="0" collapsed="false">
      <c r="A8" s="21" t="s">
        <v>71</v>
      </c>
      <c r="B8" s="22" t="s">
        <v>72</v>
      </c>
      <c r="C8" s="21" t="s">
        <v>73</v>
      </c>
    </row>
    <row r="9" customFormat="false" ht="45.75" hidden="false" customHeight="true" outlineLevel="0" collapsed="false">
      <c r="A9" s="21" t="s">
        <v>74</v>
      </c>
      <c r="B9" s="22" t="s">
        <v>75</v>
      </c>
      <c r="C9" s="21" t="s">
        <v>76</v>
      </c>
    </row>
    <row r="10" customFormat="false" ht="45.75" hidden="false" customHeight="true" outlineLevel="0" collapsed="false">
      <c r="A10" s="21" t="s">
        <v>77</v>
      </c>
      <c r="B10" s="22" t="s">
        <v>78</v>
      </c>
      <c r="C10" s="21" t="s">
        <v>79</v>
      </c>
    </row>
    <row r="11" customFormat="false" ht="45.75" hidden="false" customHeight="true" outlineLevel="0" collapsed="false">
      <c r="A11" s="21" t="s">
        <v>80</v>
      </c>
      <c r="B11" s="22" t="s">
        <v>81</v>
      </c>
      <c r="C11" s="21" t="s">
        <v>82</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2026-07-31T15:37:50Z</dcterms:created>
  <dc:creator>openpyxl</dc:creator>
  <dc:description/>
  <dc:language>en-US</dc:language>
  <cp:lastModifiedBy/>
  <dcterms:modified xsi:type="dcterms:W3CDTF">2026-07-31T15:37:50Z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