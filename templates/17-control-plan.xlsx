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18" fillId="0" borderId="0" applyAlignment="1" pivotButton="0" quotePrefix="0" xfId="0">
      <alignment vertical="center" wrapText="1"/>
    </xf>
    <xf numFmtId="0" fontId="19" fillId="0" borderId="0" pivotButton="0" quotePrefix="0" xfId="0"/>
    <xf numFmtId="1" fontId="0" fillId="9" borderId="0" pivotButton="0" quotePrefix="0" xfId="0"/>
    <xf numFmtId="0" fontId="13"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4" fillId="1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Controls by level — lower is more durable</a:t>
            </a:r>
          </a:p>
        </rich>
      </tx>
    </title>
    <plotArea>
      <barChart>
        <barDir val="bar"/>
        <grouping val="clustered"/>
        <ser>
          <idx val="0"/>
          <order val="0"/>
          <spPr>
            <a:ln>
              <a:prstDash val="solid"/>
            </a:ln>
          </spPr>
          <invertIfNegative val="0"/>
          <dPt>
            <idx val="0"/>
            <spPr>
              <a:solidFill>
                <a:srgbClr val="3F8F5A"/>
              </a:solidFill>
              <a:ln>
                <a:prstDash val="solid"/>
              </a:ln>
            </spPr>
          </dPt>
          <dPt>
            <idx val="1"/>
            <spPr>
              <a:solidFill>
                <a:srgbClr val="3F8F5A"/>
              </a:solidFill>
              <a:ln>
                <a:prstDash val="solid"/>
              </a:ln>
            </spPr>
          </dPt>
          <dPt>
            <idx val="2"/>
            <spPr>
              <a:solidFill>
                <a:srgbClr val="3F8F5A"/>
              </a:solidFill>
              <a:ln>
                <a:prstDash val="solid"/>
              </a:ln>
            </spPr>
          </dPt>
          <dPt>
            <idx val="3"/>
            <spPr>
              <a:solidFill>
                <a:srgbClr val="B45309"/>
              </a:solidFill>
              <a:ln>
                <a:prstDash val="solid"/>
              </a:ln>
            </spPr>
          </dPt>
          <dPt>
            <idx val="4"/>
            <spPr>
              <a:solidFill>
                <a:srgbClr val="C0392B"/>
              </a:solidFill>
              <a:ln>
                <a:prstDash val="solid"/>
              </a:ln>
            </spPr>
          </dPt>
          <dPt>
            <idx val="5"/>
            <spPr>
              <a:solidFill>
                <a:srgbClr val="C0392B"/>
              </a:solidFill>
              <a:ln>
                <a:prstDash val="solid"/>
              </a:ln>
            </spPr>
          </dPt>
          <cat>
            <numRef>
              <f>'Control plan'!$A$39:$A$44</f>
            </numRef>
          </cat>
          <val>
            <numRef>
              <f>'Control plan'!$B$39:$B$44</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1"/>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4"/>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0"/>
    <row r="11" ht="25.5" customHeight="1" s="24">
      <c r="B11" s="29" t="inlineStr">
        <is>
          <t>Test the reaction plan once before you hand over. Simulate a signal and check the reaction actually happens. A reaction plan nobody has ever run is a paragraph, not a control.</t>
        </is>
      </c>
    </row>
    <row r="12"/>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R44"/>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2" customWidth="1" style="23" min="6" max="6"/>
    <col width="10" customWidth="1" style="23" min="7"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3"/>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Row 1 example</t>
        </is>
      </c>
      <c r="B7" s="34" t="inlineStr">
        <is>
          <t>A realistic worked example, so you can see the expected format. Delete or overwrite it.</t>
        </is>
      </c>
    </row>
    <row r="8"/>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50" t="inlineStr">
        <is>
          <t>7-day reopen rate, billing</t>
        </is>
      </c>
      <c r="B10" s="50" t="inlineStr">
        <is>
          <t>&lt;= 8.0%</t>
        </is>
      </c>
      <c r="C10" s="50" t="inlineStr">
        <is>
          <t>Warehouse query, def v3</t>
        </is>
      </c>
      <c r="D10" s="50" t="inlineStr">
        <is>
          <t>warehouse.tickets</t>
        </is>
      </c>
      <c r="E10" s="50" t="inlineStr">
        <is>
          <t>Laney p' (attribute, large n)</t>
        </is>
      </c>
      <c r="F10" s="51" t="n">
        <v>0.08599999999999999</v>
      </c>
      <c r="G10" s="51" t="n">
        <v>0.104</v>
      </c>
      <c r="H10" s="51" t="n">
        <v>0.068</v>
      </c>
      <c r="I10" s="50" t="inlineStr">
        <is>
          <t>Weekly</t>
        </is>
      </c>
      <c r="J10" s="50" t="inlineStr">
        <is>
          <t>Monday ops review</t>
        </is>
      </c>
      <c r="K10" s="50" t="inlineStr">
        <is>
          <t>Billing Support Mgr</t>
        </is>
      </c>
      <c r="L10" s="50" t="inlineStr">
        <is>
          <t>Any point above the UCL</t>
        </is>
      </c>
      <c r="M10" s="50" t="inlineStr">
        <is>
          <t>Pull 20 reopens same day and classify</t>
        </is>
      </c>
      <c r="N10" s="50" t="inlineStr">
        <is>
          <t>Two consecutive weeks above</t>
        </is>
      </c>
      <c r="O10" s="50" t="inlineStr">
        <is>
          <t>Ops Director + Champion</t>
        </is>
      </c>
      <c r="P10" s="50" t="inlineStr">
        <is>
          <t>2 Design it out</t>
        </is>
      </c>
      <c r="Q10" s="50" t="inlineStr">
        <is>
          <t>1 — system blocks it</t>
        </is>
      </c>
      <c r="R10" s="50" t="inlineStr">
        <is>
          <t>SOP-BIL-014 v3, QA item 7</t>
        </is>
      </c>
    </row>
    <row r="11" ht="30" customHeight="1" s="24">
      <c r="A11" s="52" t="inlineStr">
        <is>
          <t>Routing accuracy</t>
        </is>
      </c>
      <c r="B11" s="52" t="inlineStr">
        <is>
          <t>&gt;= 90%</t>
        </is>
      </c>
      <c r="C11" s="52" t="inlineStr">
        <is>
          <t>QA audit sample, 200/week</t>
        </is>
      </c>
      <c r="D11" s="52" t="inlineStr">
        <is>
          <t>QA tool</t>
        </is>
      </c>
      <c r="E11" s="52" t="inlineStr">
        <is>
          <t>Laney p' (attribute, large n)</t>
        </is>
      </c>
      <c r="F11" s="52" t="n">
        <v>0.91</v>
      </c>
      <c r="G11" s="52" t="n">
        <v>0.9399999999999999</v>
      </c>
      <c r="H11" s="52" t="n">
        <v>0.88</v>
      </c>
      <c r="I11" s="52" t="inlineStr">
        <is>
          <t>Weekly</t>
        </is>
      </c>
      <c r="J11" s="52" t="inlineStr">
        <is>
          <t>Monday ops review</t>
        </is>
      </c>
      <c r="K11" s="52" t="inlineStr">
        <is>
          <t>Support Ops Mgr</t>
        </is>
      </c>
      <c r="L11" s="52" t="inlineStr">
        <is>
          <t>Below the LCL, or 8 points under the centre line</t>
        </is>
      </c>
      <c r="M11" s="52" t="inlineStr">
        <is>
          <t>Re-audit 50 tickets and review the code list</t>
        </is>
      </c>
      <c r="N11" s="52" t="inlineStr">
        <is>
          <t>Two weeks below target</t>
        </is>
      </c>
      <c r="O11" s="52" t="inlineStr">
        <is>
          <t>Ops Director</t>
        </is>
      </c>
      <c r="P11" s="52" t="inlineStr">
        <is>
          <t>2 Design it out</t>
        </is>
      </c>
      <c r="Q11" s="52" t="inlineStr">
        <is>
          <t>2 — tool warns</t>
        </is>
      </c>
      <c r="R11" s="52" t="inlineStr">
        <is>
          <t>SOP-SUP-021 v2</t>
        </is>
      </c>
    </row>
    <row r="12" ht="30" customHeight="1" s="24">
      <c r="A12" s="52" t="inlineStr">
        <is>
          <t>Nightly batch completion</t>
        </is>
      </c>
      <c r="B12" s="52" t="inlineStr">
        <is>
          <t>100%</t>
        </is>
      </c>
      <c r="C12" s="52" t="inlineStr">
        <is>
          <t>Batch exit code</t>
        </is>
      </c>
      <c r="D12" s="52" t="inlineStr">
        <is>
          <t>Platform monitoring</t>
        </is>
      </c>
      <c r="E12" s="52" t="inlineStr">
        <is>
          <t>t-chart (days between failures)</t>
        </is>
      </c>
      <c r="F12" s="52" t="n">
        <v>0</v>
      </c>
      <c r="G12" s="52" t="n">
        <v>0</v>
      </c>
      <c r="H12" s="52" t="n">
        <v>0</v>
      </c>
      <c r="I12" s="52" t="inlineStr">
        <is>
          <t>Daily</t>
        </is>
      </c>
      <c r="J12" s="52" t="inlineStr">
        <is>
          <t>Automated alert</t>
        </is>
      </c>
      <c r="K12" s="52" t="inlineStr">
        <is>
          <t>Platform Eng on-call</t>
        </is>
      </c>
      <c r="L12" s="52" t="inlineStr">
        <is>
          <t>Any non-zero exit code</t>
        </is>
      </c>
      <c r="M12" s="52" t="inlineStr">
        <is>
          <t>On-call investigates before 08:00; Billing Ops notified</t>
        </is>
      </c>
      <c r="N12" s="52" t="inlineStr">
        <is>
          <t>Two failures in a week</t>
        </is>
      </c>
      <c r="O12" s="52" t="inlineStr">
        <is>
          <t>Eng Manager</t>
        </is>
      </c>
      <c r="P12" s="52" t="inlineStr">
        <is>
          <t>4 Automatic detection</t>
        </is>
      </c>
      <c r="Q12" s="52" t="inlineStr">
        <is>
          <t>1 — system blocks it</t>
        </is>
      </c>
      <c r="R12" s="52" t="inlineStr">
        <is>
          <t>RUN-BATCH-002</t>
        </is>
      </c>
    </row>
    <row r="13" ht="30" customHeight="1" s="24">
      <c r="A13" s="52" t="inlineStr">
        <is>
          <t>Median resolution time, billing</t>
        </is>
      </c>
      <c r="B13" s="52" t="inlineStr">
        <is>
          <t>&lt;= 4.0 h</t>
        </is>
      </c>
      <c r="C13" s="52" t="inlineStr">
        <is>
          <t>Warehouse query, def v3</t>
        </is>
      </c>
      <c r="D13" s="52" t="inlineStr">
        <is>
          <t>warehouse.tickets</t>
        </is>
      </c>
      <c r="E13" s="52" t="inlineStr">
        <is>
          <t>I-MR (daily aggregate)</t>
        </is>
      </c>
      <c r="F13" s="52" t="n">
        <v>2.6</v>
      </c>
      <c r="G13" s="52" t="n">
        <v>4.1</v>
      </c>
      <c r="H13" s="52" t="n">
        <v>1.1</v>
      </c>
      <c r="I13" s="52" t="inlineStr">
        <is>
          <t>Daily</t>
        </is>
      </c>
      <c r="J13" s="52" t="inlineStr">
        <is>
          <t>Daily stand-up</t>
        </is>
      </c>
      <c r="K13" s="52" t="inlineStr">
        <is>
          <t>Billing Support Mgr</t>
        </is>
      </c>
      <c r="L13" s="52" t="inlineStr">
        <is>
          <t>Any point above the UCL</t>
        </is>
      </c>
      <c r="M13" s="52" t="inlineStr">
        <is>
          <t>Check queue depth and staffing for that day</t>
        </is>
      </c>
      <c r="N13" s="52" t="inlineStr">
        <is>
          <t>Three days in a row above</t>
        </is>
      </c>
      <c r="O13" s="52" t="inlineStr">
        <is>
          <t>Ops Director</t>
        </is>
      </c>
      <c r="P13" s="52" t="inlineStr">
        <is>
          <t>3 Mistake-proof it</t>
        </is>
      </c>
      <c r="Q13" s="52" t="inlineStr">
        <is>
          <t>3 — checklist step</t>
        </is>
      </c>
      <c r="R13" s="52" t="inlineStr">
        <is>
          <t>SOP-BIL-014 v3</t>
        </is>
      </c>
    </row>
    <row r="14" ht="30" customHeight="1" s="24">
      <c r="A14" s="52" t="inlineStr">
        <is>
          <t>Goodwill credit within authority</t>
        </is>
      </c>
      <c r="B14" s="52" t="inlineStr">
        <is>
          <t>100%</t>
        </is>
      </c>
      <c r="C14" s="52" t="inlineStr">
        <is>
          <t>Month-end reconciliation</t>
        </is>
      </c>
      <c r="D14" s="52" t="inlineStr">
        <is>
          <t>Finance ledger</t>
        </is>
      </c>
      <c r="E14" s="52" t="inlineStr">
        <is>
          <t>g-chart (contacts between breaches)</t>
        </is>
      </c>
      <c r="F14" s="52" t="n">
        <v>0</v>
      </c>
      <c r="G14" s="52" t="n">
        <v>0</v>
      </c>
      <c r="H14" s="52" t="n">
        <v>0</v>
      </c>
      <c r="I14" s="52" t="inlineStr">
        <is>
          <t>Monthly</t>
        </is>
      </c>
      <c r="J14" s="52" t="inlineStr">
        <is>
          <t>Month-end close</t>
        </is>
      </c>
      <c r="K14" s="52" t="inlineStr">
        <is>
          <t>Finance Business Partner</t>
        </is>
      </c>
      <c r="L14" s="52" t="inlineStr">
        <is>
          <t>Any credit above the limit</t>
        </is>
      </c>
      <c r="M14" s="52" t="inlineStr">
        <is>
          <t>Recover or approve retrospectively; coach the agent</t>
        </is>
      </c>
      <c r="N14" s="52" t="inlineStr">
        <is>
          <t>Two in one month</t>
        </is>
      </c>
      <c r="O14" s="52" t="inlineStr">
        <is>
          <t>Finance Director</t>
        </is>
      </c>
      <c r="P14" s="52" t="inlineStr">
        <is>
          <t>5 Standard work + training</t>
        </is>
      </c>
      <c r="Q14" s="52" t="inlineStr">
        <is>
          <t>5 — nothing stops them</t>
        </is>
      </c>
      <c r="R14" s="52" t="inlineStr">
        <is>
          <t>SOP-BIL-009 v1</t>
        </is>
      </c>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7"/>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SUMPRODUCT((A10:A27&lt;&gt;"")*((LEFT(P10:P27&amp;" ",1)="1")+(LEFT(P10:P27&amp;" ",1)="2")+(LEFT(P10:P27&amp;" ",1)="3")))</f>
        <v/>
      </c>
    </row>
    <row r="31" ht="15" customHeight="1" s="24">
      <c r="A31" s="41" t="inlineStr">
        <is>
          <t>Controls at level 5–6 (will decay)</t>
        </is>
      </c>
      <c r="E31" s="42">
        <f>SUMPRODUCT((A10:A27&lt;&gt;"")*((LEFT(P10:P27&amp;" ",1)="5")+(LEFT(P10:P27&amp;" ",1)="6")))</f>
        <v/>
      </c>
    </row>
    <row r="32" ht="15" customHeight="1" s="24">
      <c r="A32" s="41" t="inlineStr">
        <is>
          <t>Share that are durable</t>
        </is>
      </c>
      <c r="E32" s="43">
        <f>IFERROR(E30/E29,"")</f>
        <v/>
      </c>
    </row>
    <row r="33"/>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row r="35"/>
    <row r="36"/>
    <row r="37">
      <c r="A37" s="47" t="inlineStr">
        <is>
          <t>Controls by level — how durable is this control plan?</t>
        </is>
      </c>
    </row>
    <row r="38">
      <c r="A38" s="48" t="inlineStr">
        <is>
          <t>A plan weighted towards levels 5 and 6 decays the moment attrition or a busy week arrives. Levels 1-3 survive without anyone remembering.</t>
        </is>
      </c>
    </row>
    <row r="39">
      <c r="A39" s="23" t="inlineStr">
        <is>
          <t>1 Eliminate the demand</t>
        </is>
      </c>
      <c r="B39" s="49">
        <f>COUNTIF($P$10:$P$27,LEFT(A39,1)&amp;"*")</f>
        <v/>
      </c>
    </row>
    <row r="40">
      <c r="A40" s="23" t="inlineStr">
        <is>
          <t>2 Design it out</t>
        </is>
      </c>
      <c r="B40" s="49">
        <f>COUNTIF($P$10:$P$27,LEFT(A40,1)&amp;"*")</f>
        <v/>
      </c>
    </row>
    <row r="41">
      <c r="A41" s="23" t="inlineStr">
        <is>
          <t>3 Mistake-proof it</t>
        </is>
      </c>
      <c r="B41" s="49">
        <f>COUNTIF($P$10:$P$27,LEFT(A41,1)&amp;"*")</f>
        <v/>
      </c>
    </row>
    <row r="42">
      <c r="A42" s="23" t="inlineStr">
        <is>
          <t>4 Automatic detection</t>
        </is>
      </c>
      <c r="B42" s="49">
        <f>COUNTIF($P$10:$P$27,LEFT(A42,1)&amp;"*")</f>
        <v/>
      </c>
    </row>
    <row r="43">
      <c r="A43" s="23" t="inlineStr">
        <is>
          <t>5 Standard work + training</t>
        </is>
      </c>
      <c r="B43" s="49">
        <f>COUNTIF($P$10:$P$27,LEFT(A43,1)&amp;"*")</f>
        <v/>
      </c>
    </row>
    <row r="44">
      <c r="A44" s="23" t="inlineStr">
        <is>
          <t>6 Reminder or awareness</t>
        </is>
      </c>
      <c r="B44" s="49">
        <f>COUNTIF($P$10:$P$27,LEFT(A44,1)&amp;"*")</f>
        <v/>
      </c>
    </row>
  </sheetData>
  <mergeCells count="12">
    <mergeCell ref="B7:F7"/>
    <mergeCell ref="A31:D31"/>
    <mergeCell ref="B6:F6"/>
    <mergeCell ref="A2:R2"/>
    <mergeCell ref="A28:R28"/>
    <mergeCell ref="B5:F5"/>
    <mergeCell ref="A30:D30"/>
    <mergeCell ref="A29:D29"/>
    <mergeCell ref="A1:R1"/>
    <mergeCell ref="A4:F4"/>
    <mergeCell ref="A32:D32"/>
    <mergeCell ref="A34:R34"/>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2026-08-01T03:12:28Z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058f0e1a527b</vt:lpwstr>
  </property>
</Properties>
</file>