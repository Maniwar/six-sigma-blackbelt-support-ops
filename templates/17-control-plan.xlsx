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solidFill>
              <a:srgbClr val="1F4E79"/>
            </a:solidFill>
            <a:ln>
              <a:prstDash val="solid"/>
            </a:ln>
          </spPr>
          <cat>
            <numRef>
              <f>'Control plan'!$A$39:$A$44</f>
            </numRef>
          </cat>
          <val>
            <numRef>
              <f>'Control plan'!$B$39:$B$44</f>
            </numRef>
          </val>
        </ser>
        <dLbls>
          <numFmt formatCode="#,##0"/>
          <showVal val="1"/>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36</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SUMPRODUCT((A10:A26&lt;&gt;"")*((LEFT(P10:P26&amp;" ",1)="1")+(LEFT(P10:P26&amp;" ",1)="2")+(LEFT(P10:P26&amp;" ",1)="3")))</f>
        <v/>
      </c>
    </row>
    <row r="31" ht="15" customHeight="1" s="24">
      <c r="A31" s="41" t="inlineStr">
        <is>
          <t>Controls at level 5–6 (will decay)</t>
        </is>
      </c>
      <c r="E31" s="42">
        <f>SUMPRODUCT((A10:A26&lt;&gt;"")*((LEFT(P10:P26&amp;" ",1)="5")+(LEFT(P10:P26&amp;" ",1)="6")))</f>
        <v/>
      </c>
    </row>
    <row r="32" ht="15" customHeight="1" s="24">
      <c r="A32" s="41" t="inlineStr">
        <is>
          <t>Share that are durable</t>
        </is>
      </c>
      <c r="E32" s="43">
        <f>IFERROR(E30/E29,"")</f>
        <v/>
      </c>
    </row>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2026-07-31T22:42:46Z</dcterms:modified>
  <cp:revision>0</cp:revision>
</cp:coreProperties>
</file>