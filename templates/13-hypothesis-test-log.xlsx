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165" fontId="0" fillId="10" borderId="0" pivotButton="0" quotePrefix="0" xfId="0"/>
    <xf numFmtId="0" fontId="13" fillId="11" borderId="1" applyAlignment="1" pivotButton="0" quotePrefix="0" xfId="0">
      <alignment horizontal="center" vertical="bottom"/>
    </xf>
    <xf numFmtId="0" fontId="14" fillId="11" borderId="1" applyAlignment="1" pivotButton="0" quotePrefix="0" xfId="0">
      <alignment horizontal="general" vertical="top" wrapText="1"/>
    </xf>
    <xf numFmtId="2" fontId="14" fillId="11" borderId="1" applyAlignment="1" pivotButton="0" quotePrefix="0" xfId="0">
      <alignment horizontal="general" vertical="top" wrapText="1"/>
    </xf>
    <xf numFmtId="164" fontId="14" fillId="11" borderId="1" applyAlignment="1" pivotButton="0" quotePrefix="0" xfId="0">
      <alignment horizontal="general" vertical="top" wrapText="1"/>
    </xf>
    <xf numFmtId="0" fontId="16" fillId="11" borderId="1" applyAlignment="1" pivotButton="0" quotePrefix="0" xfId="0">
      <alignment horizontal="general" vertical="top" wrapText="1"/>
    </xf>
    <xf numFmtId="2" fontId="16" fillId="11" borderId="1" applyAlignment="1" pivotButton="0" quotePrefix="0" xfId="0">
      <alignment horizontal="general" vertical="top" wrapText="1"/>
    </xf>
    <xf numFmtId="164" fontId="16" fillId="11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p-value by test, against alpha = 0.05</a:t>
            </a:r>
          </a:p>
        </rich>
      </tx>
    </title>
    <plotArea>
      <lineChart>
        <grouping val="standard"/>
        <ser>
          <idx val="0"/>
          <order val="0"/>
          <tx>
            <v>p-value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>
                <a:srgbClr val="1F4E79"/>
              </a:solidFill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log'!$J$11:$J$35</f>
            </numRef>
          </val>
          <smooth val="0"/>
        </ser>
        <ser>
          <idx val="1"/>
          <order val="1"/>
          <tx>
            <v>alpha (0.05)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log'!$T$11:$T$35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p-value</a:t>
                </a:r>
              </a:p>
            </rich>
          </tx>
        </title>
        <numFmt formatCode="0.00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9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T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50" customWidth="1" style="23" min="4" max="4"/>
    <col width="12" customWidth="1" style="23" min="5" max="5"/>
    <col width="4" customWidth="1" style="23" min="6" max="18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Row 1 example</t>
        </is>
      </c>
      <c r="B7" s="34" t="inlineStr">
        <is>
          <t>A realistic worked example, so you can see the expected format. Delete or overwrite it.</t>
        </is>
      </c>
    </row>
    <row r="8">
      <c r="A8" s="37" t="inlineStr">
        <is>
          <t>Significance level (alpha)</t>
        </is>
      </c>
      <c r="B8" s="38" t="n">
        <v>0.05</v>
      </c>
      <c r="C8" s="39" t="inlineStr">
        <is>
          <t>Used by the 'Above threshold?' column. 0.05 is standard; drop to 0.01 when acting on the result is expensive.</t>
        </is>
      </c>
    </row>
    <row r="9" ht="19.5" customHeight="1" s="24">
      <c r="A9" s="32" t="inlineStr">
        <is>
          <t>BEFORE EVERY TEST:  stratify first  ·  check independence  ·  declare the practical threshold  ·  plot the data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  <c r="T10" s="37" t="inlineStr">
        <is>
          <t>alpha</t>
        </is>
      </c>
    </row>
    <row r="11" ht="348.5" customHeight="1" s="24">
      <c r="A11" s="51" t="n">
        <v>1</v>
      </c>
      <c r="B11" s="52" t="inlineStr">
        <is>
          <t>Did the deferred-close rule cut reopens?</t>
        </is>
      </c>
      <c r="C11" s="52" t="inlineStr">
        <is>
          <t>2-proportion test</t>
        </is>
      </c>
      <c r="D11" s="52" t="inlineStr">
        <is>
          <t>Proportion</t>
        </is>
      </c>
      <c r="E11" s="52" t="inlineStr">
        <is>
          <t>Yes</t>
        </is>
      </c>
      <c r="F11" s="52" t="inlineStr">
        <is>
          <t>Contact reason, tenure</t>
        </is>
      </c>
      <c r="G11" s="53" t="n">
        <v>0.41</v>
      </c>
      <c r="H11" s="52" t="n">
        <v>7420</v>
      </c>
      <c r="I11" s="52" t="n">
        <v>7180</v>
      </c>
      <c r="J11" s="54" t="n">
        <v>0.0001</v>
      </c>
      <c r="K11" s="52" t="inlineStr">
        <is>
          <t>-4.9 pts</t>
        </is>
      </c>
      <c r="L11" s="52" t="inlineStr">
        <is>
          <t>-6.1 to -3.7</t>
        </is>
      </c>
      <c r="M11" s="5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52" t="inlineStr">
        <is>
          <t>Reopens fell 4.9 points, well past the 1.5 we agreed mattered</t>
        </is>
      </c>
      <c r="P11" s="52" t="inlineStr">
        <is>
          <t>Accepted</t>
        </is>
      </c>
      <c r="Q11" s="52" t="inlineStr">
        <is>
          <t>2026-06-14</t>
        </is>
      </c>
      <c r="R11" s="52" t="inlineStr">
        <is>
          <t>M. Berenji</t>
        </is>
      </c>
      <c r="T11" s="50">
        <f>IF(J11="","",0.05)</f>
        <v/>
      </c>
    </row>
    <row r="12" ht="30" customHeight="1" s="24">
      <c r="A12" s="51" t="n">
        <v>2</v>
      </c>
      <c r="B12" s="55" t="inlineStr">
        <is>
          <t>Did the shorter code list improve routing accuracy?</t>
        </is>
      </c>
      <c r="C12" s="55" t="inlineStr">
        <is>
          <t>2-proportion test</t>
        </is>
      </c>
      <c r="D12" s="55" t="inlineStr">
        <is>
          <t>Proportion</t>
        </is>
      </c>
      <c r="E12" s="55" t="inlineStr">
        <is>
          <t>Yes</t>
        </is>
      </c>
      <c r="F12" s="55" t="inlineStr">
        <is>
          <t>Queue, tenure</t>
        </is>
      </c>
      <c r="G12" s="56" t="n">
        <v>0.22</v>
      </c>
      <c r="H12" s="55" t="n">
        <v>4100</v>
      </c>
      <c r="I12" s="55" t="n">
        <v>4260</v>
      </c>
      <c r="J12" s="57" t="n">
        <v>0.0031</v>
      </c>
      <c r="K12" s="55" t="inlineStr">
        <is>
          <t>+6.2 pts</t>
        </is>
      </c>
      <c r="L12" s="55" t="inlineStr">
        <is>
          <t>+2.1 to +10.3</t>
        </is>
      </c>
      <c r="M12" s="55" t="inlineStr">
        <is>
          <t>3.0 pts</t>
        </is>
      </c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55" t="inlineStr">
        <is>
          <t>Routing accuracy up 6.2 points</t>
        </is>
      </c>
      <c r="P12" s="55" t="inlineStr">
        <is>
          <t>Accepted</t>
        </is>
      </c>
      <c r="Q12" s="55" t="inlineStr">
        <is>
          <t>2026-07-02</t>
        </is>
      </c>
      <c r="R12" s="55" t="inlineStr">
        <is>
          <t>M. Berenji</t>
        </is>
      </c>
      <c r="T12" s="50">
        <f>IF(J12="","",0.05)</f>
        <v/>
      </c>
    </row>
    <row r="13" ht="30" customHeight="1" s="24">
      <c r="A13" s="51" t="n">
        <v>3</v>
      </c>
      <c r="B13" s="55" t="inlineStr">
        <is>
          <t>Is handle time different across the three sites?</t>
        </is>
      </c>
      <c r="C13" s="55" t="inlineStr">
        <is>
          <t>One-way ANOVA</t>
        </is>
      </c>
      <c r="D13" s="55" t="inlineStr">
        <is>
          <t>Continuous</t>
        </is>
      </c>
      <c r="E13" s="55" t="inlineStr">
        <is>
          <t>Yes</t>
        </is>
      </c>
      <c r="F13" s="55" t="inlineStr">
        <is>
          <t>Contact reason</t>
        </is>
      </c>
      <c r="G13" s="56" t="n">
        <v>0.68</v>
      </c>
      <c r="H13" s="55" t="n">
        <v>5200</v>
      </c>
      <c r="I13" s="55" t="n">
        <v>5150</v>
      </c>
      <c r="J13" s="57" t="n">
        <v>0.214</v>
      </c>
      <c r="K13" s="55" t="inlineStr">
        <is>
          <t>0.4 min</t>
        </is>
      </c>
      <c r="L13" s="55" t="inlineStr">
        <is>
          <t>-0.3 to 1.1</t>
        </is>
      </c>
      <c r="M13" s="55" t="inlineStr">
        <is>
          <t>1.0 min</t>
        </is>
      </c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55" t="inlineStr">
        <is>
          <t>No detectable site difference once contact mix is held constant</t>
        </is>
      </c>
      <c r="P13" s="55" t="inlineStr">
        <is>
          <t>Rejected</t>
        </is>
      </c>
      <c r="Q13" s="55" t="inlineStr">
        <is>
          <t>2026-07-19</t>
        </is>
      </c>
      <c r="R13" s="55" t="inlineStr">
        <is>
          <t>A. Okafor</t>
        </is>
      </c>
      <c r="T13" s="50">
        <f>IF(J13="","",0.05)</f>
        <v/>
      </c>
    </row>
    <row r="14" ht="30" customHeight="1" s="24">
      <c r="A14" s="51" t="n">
        <v>4</v>
      </c>
      <c r="B14" s="55" t="inlineStr">
        <is>
          <t>Did the 48-hour reminder reduce auto-closes?</t>
        </is>
      </c>
      <c r="C14" s="55" t="inlineStr">
        <is>
          <t>2-proportion test</t>
        </is>
      </c>
      <c r="D14" s="55" t="inlineStr">
        <is>
          <t>Proportion</t>
        </is>
      </c>
      <c r="E14" s="55" t="inlineStr">
        <is>
          <t>Yes</t>
        </is>
      </c>
      <c r="F14" s="55" t="inlineStr">
        <is>
          <t>Contact reason</t>
        </is>
      </c>
      <c r="G14" s="56" t="n">
        <v>0.55</v>
      </c>
      <c r="H14" s="55" t="n">
        <v>3900</v>
      </c>
      <c r="I14" s="55" t="n">
        <v>3880</v>
      </c>
      <c r="J14" s="57" t="n">
        <v>0.0009</v>
      </c>
      <c r="K14" s="55" t="inlineStr">
        <is>
          <t>-3.1 pts</t>
        </is>
      </c>
      <c r="L14" s="55" t="inlineStr">
        <is>
          <t>-4.8 to -1.4</t>
        </is>
      </c>
      <c r="M14" s="55" t="inlineStr">
        <is>
          <t>2.0 pts</t>
        </is>
      </c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55" t="inlineStr">
        <is>
          <t>Auto-closes down 3.1 points</t>
        </is>
      </c>
      <c r="P14" s="55" t="inlineStr">
        <is>
          <t>Accepted</t>
        </is>
      </c>
      <c r="Q14" s="55" t="inlineStr">
        <is>
          <t>2026-08-05</t>
        </is>
      </c>
      <c r="R14" s="55" t="inlineStr">
        <is>
          <t>A. Okafor</t>
        </is>
      </c>
      <c r="T14" s="50">
        <f>IF(J14="","",0.05)</f>
        <v/>
      </c>
    </row>
    <row r="15" ht="30" customHeight="1" s="24">
      <c r="A15" s="51" t="n">
        <v>5</v>
      </c>
      <c r="B15" s="55" t="inlineStr">
        <is>
          <t>Does tenure predict QA score?</t>
        </is>
      </c>
      <c r="C15" s="55" t="inlineStr">
        <is>
          <t>Simple regression</t>
        </is>
      </c>
      <c r="D15" s="55" t="inlineStr">
        <is>
          <t>Continuous</t>
        </is>
      </c>
      <c r="E15" s="55" t="inlineStr">
        <is>
          <t>Yes</t>
        </is>
      </c>
      <c r="F15" s="55" t="inlineStr">
        <is>
          <t>Queue</t>
        </is>
      </c>
      <c r="G15" s="56" t="n">
        <v>0.31</v>
      </c>
      <c r="H15" s="55" t="n">
        <v>840</v>
      </c>
      <c r="I15" s="55" t="n">
        <v>0</v>
      </c>
      <c r="J15" s="57" t="n">
        <v>0.04</v>
      </c>
      <c r="K15" s="55" t="inlineStr">
        <is>
          <t>R-sq 0.09</t>
        </is>
      </c>
      <c r="L15" s="55" t="inlineStr">
        <is>
          <t>slope 0.02 to 0.31</t>
        </is>
      </c>
      <c r="M15" s="55" t="inlineStr">
        <is>
          <t>R-sq 0.25</t>
        </is>
      </c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55" t="inlineStr">
        <is>
          <t>Significant but explains only 9% — statistically real, operationally thin</t>
        </is>
      </c>
      <c r="P15" s="55" t="inlineStr">
        <is>
          <t>Noted</t>
        </is>
      </c>
      <c r="Q15" s="55" t="inlineStr">
        <is>
          <t>2026-08-21</t>
        </is>
      </c>
      <c r="R15" s="55" t="inlineStr">
        <is>
          <t>M. Berenji</t>
        </is>
      </c>
      <c r="T15" s="50">
        <f>IF(J15="","",0.05)</f>
        <v/>
      </c>
    </row>
    <row r="16" ht="30" customHeight="1" s="24">
      <c r="A16" s="46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  <c r="T16" s="50">
        <f>IF(J16="","",0.05)</f>
        <v/>
      </c>
    </row>
    <row r="17" ht="30" customHeight="1" s="24">
      <c r="A17" s="46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  <c r="T17" s="50">
        <f>IF(J17="","",0.05)</f>
        <v/>
      </c>
    </row>
    <row r="18" ht="30" customHeight="1" s="24">
      <c r="A18" s="46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  <c r="T18" s="50">
        <f>IF(J18="","",0.05)</f>
        <v/>
      </c>
    </row>
    <row r="19" ht="30" customHeight="1" s="24">
      <c r="A19" s="46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  <c r="T19" s="50">
        <f>IF(J19="","",0.05)</f>
        <v/>
      </c>
    </row>
    <row r="20" ht="30" customHeight="1" s="24">
      <c r="A20" s="46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  <c r="T20" s="50">
        <f>IF(J20="","",0.05)</f>
        <v/>
      </c>
    </row>
    <row r="21" ht="30" customHeight="1" s="24">
      <c r="A21" s="46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  <c r="T21" s="50">
        <f>IF(J21="","",0.05)</f>
        <v/>
      </c>
    </row>
    <row r="22" ht="30" customHeight="1" s="24">
      <c r="A22" s="46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  <c r="T22" s="50">
        <f>IF(J22="","",0.05)</f>
        <v/>
      </c>
    </row>
    <row r="23" ht="30" customHeight="1" s="24">
      <c r="A23" s="46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  <c r="T23" s="50">
        <f>IF(J23="","",0.05)</f>
        <v/>
      </c>
    </row>
    <row r="24" ht="30" customHeight="1" s="24">
      <c r="A24" s="46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  <c r="T24" s="50">
        <f>IF(J24="","",0.05)</f>
        <v/>
      </c>
    </row>
    <row r="25" ht="30" customHeight="1" s="24">
      <c r="A25" s="46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  <c r="T25" s="50">
        <f>IF(J25="","",0.05)</f>
        <v/>
      </c>
    </row>
    <row r="26" ht="30" customHeight="1" s="24">
      <c r="A26" s="46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  <c r="T26" s="50">
        <f>IF(J26="","",0.05)</f>
        <v/>
      </c>
    </row>
    <row r="27" ht="30" customHeight="1" s="24">
      <c r="A27" s="46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  <c r="T27" s="50">
        <f>IF(J27="","",0.05)</f>
        <v/>
      </c>
    </row>
    <row r="28" ht="30" customHeight="1" s="24">
      <c r="A28" s="46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  <c r="T28" s="50">
        <f>IF(J28="","",0.05)</f>
        <v/>
      </c>
    </row>
    <row r="29" ht="30" customHeight="1" s="24">
      <c r="A29" s="46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  <c r="T29" s="50">
        <f>IF(J29="","",0.05)</f>
        <v/>
      </c>
    </row>
    <row r="30" ht="30" customHeight="1" s="24">
      <c r="A30" s="46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  <c r="T30" s="50">
        <f>IF(J30="","",0.05)</f>
        <v/>
      </c>
    </row>
    <row r="31" ht="30" customHeight="1" s="24">
      <c r="A31" s="46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  <c r="T31" s="50">
        <f>IF(J31="","",0.05)</f>
        <v/>
      </c>
    </row>
    <row r="32" ht="30" customHeight="1" s="24">
      <c r="A32" s="46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  <c r="T32" s="50">
        <f>IF(J32="","",0.05)</f>
        <v/>
      </c>
    </row>
    <row r="33" ht="30" customHeight="1" s="24">
      <c r="A33" s="46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  <c r="T33" s="50">
        <f>IF(J33="","",0.05)</f>
        <v/>
      </c>
    </row>
    <row r="34">
      <c r="T34" s="50">
        <f>IF(J34="","",0.05)</f>
        <v/>
      </c>
    </row>
    <row r="35">
      <c r="T35" s="50">
        <f>IF(J35="","",0.05)</f>
        <v/>
      </c>
    </row>
    <row r="36" ht="19.5" customHeight="1" s="24">
      <c r="A36" s="32" t="inlineStr">
        <is>
          <t>TESTS RUN AND REJECTED  —  record these so nobody re-litigates them in month five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8">
    <mergeCell ref="B7:F7"/>
    <mergeCell ref="B6:F6"/>
    <mergeCell ref="A2:R2"/>
    <mergeCell ref="B5:F5"/>
    <mergeCell ref="A36:R36"/>
    <mergeCell ref="A1:R1"/>
    <mergeCell ref="A4:F4"/>
    <mergeCell ref="A9:R9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2026-08-01T00:09:57Z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3b2d0637f88e</vt:lpwstr>
  </property>
</Properties>
</file>