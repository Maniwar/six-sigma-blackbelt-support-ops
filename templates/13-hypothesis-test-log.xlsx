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41" t="n">
        <v>1</v>
      </c>
      <c r="B11" s="42" t="inlineStr">
        <is>
          <t>Did the deferred-close rule reduce 7-day reopens?</t>
        </is>
      </c>
      <c r="C11" s="42" t="inlineStr">
        <is>
          <t>2-proportion test</t>
        </is>
      </c>
      <c r="D11" s="42" t="inlineStr">
        <is>
          <t>Proportion</t>
        </is>
      </c>
      <c r="E11" s="42" t="inlineStr">
        <is>
          <t>Yes</t>
        </is>
      </c>
      <c r="F11" s="42" t="inlineStr">
        <is>
          <t>Contact reason, tenure band</t>
        </is>
      </c>
      <c r="G11" s="43" t="n">
        <v>0.41</v>
      </c>
      <c r="H11" s="42" t="n">
        <v>7420</v>
      </c>
      <c r="I11" s="42" t="n">
        <v>7180</v>
      </c>
      <c r="J11" s="44" t="n">
        <v>0.0001</v>
      </c>
      <c r="K11" s="42" t="inlineStr">
        <is>
          <t>-4.9 pts</t>
        </is>
      </c>
      <c r="L11" s="42" t="inlineStr">
        <is>
          <t>-6.1 to -3.7</t>
        </is>
      </c>
      <c r="M11" s="4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42" t="inlineStr">
        <is>
          <t>Reopens fell 4.9 points in the treatment pods versus a matched control. Well above the 1.5-point threshold.</t>
        </is>
      </c>
      <c r="P11" s="42" t="inlineStr">
        <is>
          <t>Accepted</t>
        </is>
      </c>
      <c r="Q11" s="42" t="inlineStr">
        <is>
          <t>2026-06-14</t>
        </is>
      </c>
      <c r="R11" s="42" t="inlineStr">
        <is>
          <t>M. Berenji</t>
        </is>
      </c>
      <c r="T11" s="50">
        <f>IF(J11="","",0.05)</f>
        <v/>
      </c>
    </row>
    <row r="12" ht="30" customHeight="1" s="24">
      <c r="A12" s="46" t="n">
        <v>2</v>
      </c>
      <c r="B12" s="47" t="n"/>
      <c r="C12" s="47" t="n"/>
      <c r="D12" s="47" t="n"/>
      <c r="E12" s="47" t="n"/>
      <c r="F12" s="47" t="n"/>
      <c r="G12" s="48" t="n"/>
      <c r="H12" s="47" t="n"/>
      <c r="I12" s="47" t="n"/>
      <c r="J12" s="49" t="n"/>
      <c r="K12" s="47" t="n"/>
      <c r="L12" s="47" t="n"/>
      <c r="M12" s="47" t="n"/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47" t="n"/>
      <c r="P12" s="47" t="n"/>
      <c r="Q12" s="47" t="n"/>
      <c r="R12" s="47" t="n"/>
      <c r="T12" s="50">
        <f>IF(J12="","",0.05)</f>
        <v/>
      </c>
    </row>
    <row r="13" ht="30" customHeight="1" s="24">
      <c r="A13" s="46" t="n">
        <v>3</v>
      </c>
      <c r="B13" s="47" t="n"/>
      <c r="C13" s="47" t="n"/>
      <c r="D13" s="47" t="n"/>
      <c r="E13" s="47" t="n"/>
      <c r="F13" s="47" t="n"/>
      <c r="G13" s="48" t="n"/>
      <c r="H13" s="47" t="n"/>
      <c r="I13" s="47" t="n"/>
      <c r="J13" s="49" t="n"/>
      <c r="K13" s="47" t="n"/>
      <c r="L13" s="47" t="n"/>
      <c r="M13" s="47" t="n"/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47" t="n"/>
      <c r="P13" s="47" t="n"/>
      <c r="Q13" s="47" t="n"/>
      <c r="R13" s="47" t="n"/>
      <c r="T13" s="50">
        <f>IF(J13="","",0.05)</f>
        <v/>
      </c>
    </row>
    <row r="14" ht="30" customHeight="1" s="24">
      <c r="A14" s="46" t="n">
        <v>4</v>
      </c>
      <c r="B14" s="47" t="n"/>
      <c r="C14" s="47" t="n"/>
      <c r="D14" s="47" t="n"/>
      <c r="E14" s="47" t="n"/>
      <c r="F14" s="47" t="n"/>
      <c r="G14" s="48" t="n"/>
      <c r="H14" s="47" t="n"/>
      <c r="I14" s="47" t="n"/>
      <c r="J14" s="49" t="n"/>
      <c r="K14" s="47" t="n"/>
      <c r="L14" s="47" t="n"/>
      <c r="M14" s="47" t="n"/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47" t="n"/>
      <c r="P14" s="47" t="n"/>
      <c r="Q14" s="47" t="n"/>
      <c r="R14" s="47" t="n"/>
      <c r="T14" s="50">
        <f>IF(J14="","",0.05)</f>
        <v/>
      </c>
    </row>
    <row r="15" ht="30" customHeight="1" s="24">
      <c r="A15" s="46" t="n">
        <v>5</v>
      </c>
      <c r="B15" s="47" t="n"/>
      <c r="C15" s="47" t="n"/>
      <c r="D15" s="47" t="n"/>
      <c r="E15" s="47" t="n"/>
      <c r="F15" s="47" t="n"/>
      <c r="G15" s="48" t="n"/>
      <c r="H15" s="47" t="n"/>
      <c r="I15" s="47" t="n"/>
      <c r="J15" s="49" t="n"/>
      <c r="K15" s="47" t="n"/>
      <c r="L15" s="47" t="n"/>
      <c r="M15" s="47" t="n"/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47" t="n"/>
      <c r="P15" s="47" t="n"/>
      <c r="Q15" s="47" t="n"/>
      <c r="R15" s="47" t="n"/>
      <c r="T15" s="50">
        <f>IF(J15="","",0.05)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IF(J16="","",0.05)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IF(J17="","",0.05)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IF(J18="","",0.05)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IF(J19="","",0.05)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IF(J20="","",0.05)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IF(J21="","",0.05)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IF(J22="","",0.05)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IF(J23="","",0.05)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IF(J24="","",0.05)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IF(J25="","",0.05)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IF(J26="","",0.05)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IF(J27="","",0.05)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IF(J28="","",0.05)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IF(J29="","",0.05)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IF(J30="","",0.05)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IF(J31="","",0.05)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IF(J32="","",0.05)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IF(J33="","",0.05)</f>
        <v/>
      </c>
    </row>
    <row r="34">
      <c r="T34" s="50">
        <f>IF(J34="","",0.05)</f>
        <v/>
      </c>
    </row>
    <row r="35">
      <c r="T35" s="50">
        <f>IF(J35="","",0.05)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2026-07-31T22:38:24Z</dcterms:modified>
  <cp:revision>0</cp:revision>
</cp:coreProperties>
</file>