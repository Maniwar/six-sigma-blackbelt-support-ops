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How to use this" sheetId="1" state="visible" r:id="rId1"/>
    <sheet name="Test log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2937"/>
      <sz val="18"/>
    </font>
    <font>
      <name val="Arial"/>
      <charset val="1"/>
      <family val="0"/>
      <color rgb="FF1F2937"/>
      <sz val="10"/>
    </font>
    <font>
      <name val="Arial"/>
      <charset val="1"/>
      <family val="0"/>
      <b val="1"/>
      <color rgb="FFB45309"/>
      <sz val="12"/>
    </font>
    <font>
      <name val="Arial"/>
      <charset val="1"/>
      <family val="0"/>
      <b val="1"/>
      <color rgb="FFB91C1C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657085"/>
      <sz val="9"/>
    </font>
    <font>
      <name val="Arial"/>
      <charset val="1"/>
      <family val="0"/>
      <b val="1"/>
      <color rgb="FFB45309"/>
      <sz val="9"/>
    </font>
    <font>
      <name val="Arial"/>
      <charset val="1"/>
      <family val="0"/>
      <color rgb="FF1F2937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657085"/>
      <sz val="10"/>
    </font>
    <font>
      <name val="Arial"/>
      <charset val="1"/>
      <family val="0"/>
      <color rgb="FF006100"/>
      <sz val="10"/>
    </font>
    <font>
      <name val="Arial"/>
      <charset val="1"/>
      <family val="0"/>
      <b val="1"/>
      <color rgb="FF1F2937"/>
      <sz val="10"/>
    </font>
    <font>
      <name val="Arial"/>
      <charset val="1"/>
      <family val="0"/>
      <color rgb="FF0000FF"/>
      <sz val="10"/>
    </font>
    <font>
      <b val="1"/>
      <sz val="10"/>
    </font>
    <font>
      <i val="1"/>
      <color rgb="FF6B7280"/>
      <sz val="9"/>
    </font>
  </fonts>
  <fills count="12">
    <fill>
      <patternFill/>
    </fill>
    <fill>
      <patternFill patternType="gray125"/>
    </fill>
    <fill>
      <patternFill patternType="solid">
        <fgColor rgb="FFFDEEEE"/>
        <bgColor rgb="FFEEF1F6"/>
      </patternFill>
    </fill>
    <fill>
      <patternFill patternType="solid">
        <fgColor rgb="FF151B24"/>
        <bgColor rgb="FF1F2937"/>
      </patternFill>
    </fill>
    <fill>
      <patternFill patternType="solid">
        <fgColor rgb="FFEEF1F6"/>
        <bgColor rgb="FFF2F7FF"/>
      </patternFill>
    </fill>
    <fill>
      <patternFill patternType="solid">
        <fgColor rgb="FFFFF9E3"/>
        <bgColor rgb="FFFDEEEE"/>
      </patternFill>
    </fill>
    <fill>
      <patternFill patternType="solid">
        <fgColor rgb="FFF2F7FF"/>
        <bgColor rgb="FFEEF1F6"/>
      </patternFill>
    </fill>
    <fill>
      <patternFill patternType="solid">
        <fgColor rgb="FFECFAEF"/>
        <bgColor rgb="FFF2F7FF"/>
      </patternFill>
    </fill>
    <fill>
      <patternFill patternType="solid">
        <fgColor rgb="FF333C49"/>
        <bgColor rgb="FF1F2937"/>
      </patternFill>
    </fill>
    <fill>
      <patternFill patternType="solid">
        <fgColor rgb="FFFFF9E3"/>
      </patternFill>
    </fill>
    <fill>
      <patternFill patternType="solid">
        <fgColor rgb="FFF2F7FF"/>
      </patternFill>
    </fill>
    <fill>
      <patternFill patternType="solid">
        <fgColor rgb="FFECFAEF"/>
      </patternFill>
    </fill>
  </fills>
  <borders count="2">
    <border>
      <left/>
      <right/>
      <top/>
      <bottom/>
      <diagonal/>
    </border>
    <border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 indent="1"/>
    </xf>
    <xf numFmtId="0" fontId="7" fillId="2" borderId="1" applyAlignment="1" pivotButton="0" quotePrefix="0" xfId="0">
      <alignment horizontal="general" vertical="top" wrapText="1" indent="1"/>
    </xf>
    <xf numFmtId="0" fontId="8" fillId="3" borderId="0" applyAlignment="1" pivotButton="0" quotePrefix="0" xfId="0">
      <alignment horizontal="general" vertical="center" indent="1"/>
    </xf>
    <xf numFmtId="0" fontId="9" fillId="0" borderId="0" applyAlignment="1" pivotButton="0" quotePrefix="0" xfId="0">
      <alignment horizontal="general" vertical="center" wrapText="1" indent="1"/>
    </xf>
    <xf numFmtId="0" fontId="10" fillId="4" borderId="0" applyAlignment="1" pivotButton="0" quotePrefix="0" xfId="0">
      <alignment horizontal="general" vertical="center" indent="1"/>
    </xf>
    <xf numFmtId="0" fontId="0" fillId="5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12" fillId="8" borderId="1" applyAlignment="1" pivotButton="0" quotePrefix="0" xfId="0">
      <alignment horizontal="general" vertical="bottom" wrapText="1"/>
    </xf>
    <xf numFmtId="0" fontId="13" fillId="7" borderId="1" applyAlignment="1" pivotButton="0" quotePrefix="0" xfId="0">
      <alignment horizontal="center" vertical="bottom"/>
    </xf>
    <xf numFmtId="0" fontId="14" fillId="7" borderId="1" applyAlignment="1" pivotButton="0" quotePrefix="0" xfId="0">
      <alignment horizontal="general" vertical="top" wrapText="1"/>
    </xf>
    <xf numFmtId="2" fontId="14" fillId="7" borderId="1" applyAlignment="1" pivotButton="0" quotePrefix="0" xfId="0">
      <alignment horizontal="general" vertical="top" wrapText="1"/>
    </xf>
    <xf numFmtId="164" fontId="14" fillId="7" borderId="1" applyAlignment="1" pivotButton="0" quotePrefix="0" xfId="0">
      <alignment horizontal="general" vertical="top" wrapText="1"/>
    </xf>
    <xf numFmtId="0" fontId="15" fillId="6" borderId="1" applyAlignment="1" pivotButton="0" quotePrefix="0" xfId="0">
      <alignment horizontal="general" vertical="top" wrapText="1"/>
    </xf>
    <xf numFmtId="0" fontId="13" fillId="5" borderId="1" applyAlignment="1" pivotButton="0" quotePrefix="0" xfId="0">
      <alignment horizontal="center" vertical="bottom"/>
    </xf>
    <xf numFmtId="0" fontId="16" fillId="5" borderId="1" applyAlignment="1" pivotButton="0" quotePrefix="0" xfId="0">
      <alignment horizontal="general" vertical="top" wrapText="1"/>
    </xf>
    <xf numFmtId="2" fontId="16" fillId="5" borderId="1" applyAlignment="1" pivotButton="0" quotePrefix="0" xfId="0">
      <alignment horizontal="general" vertical="top" wrapText="1"/>
    </xf>
    <xf numFmtId="164" fontId="16" fillId="5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 indent="1"/>
    </xf>
    <xf numFmtId="0" fontId="7" fillId="2" borderId="1" applyAlignment="1" pivotButton="0" quotePrefix="0" xfId="0">
      <alignment horizontal="general" vertical="top" wrapText="1" indent="1"/>
    </xf>
    <xf numFmtId="0" fontId="8" fillId="3" borderId="0" applyAlignment="1" pivotButton="0" quotePrefix="0" xfId="0">
      <alignment horizontal="general" vertical="center" indent="1"/>
    </xf>
    <xf numFmtId="0" fontId="9" fillId="0" borderId="0" applyAlignment="1" pivotButton="0" quotePrefix="0" xfId="0">
      <alignment horizontal="general" vertical="center" wrapText="1" indent="1"/>
    </xf>
    <xf numFmtId="0" fontId="10" fillId="4" borderId="0" applyAlignment="1" pivotButton="0" quotePrefix="0" xfId="0">
      <alignment horizontal="general" vertical="center" indent="1"/>
    </xf>
    <xf numFmtId="0" fontId="0" fillId="5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17" fillId="0" borderId="0" pivotButton="0" quotePrefix="0" xfId="0"/>
    <xf numFmtId="2" fontId="0" fillId="9" borderId="0" applyAlignment="1" pivotButton="0" quotePrefix="0" xfId="0">
      <alignment horizontal="center"/>
    </xf>
    <xf numFmtId="0" fontId="18" fillId="0" borderId="0" pivotButton="0" quotePrefix="0" xfId="0"/>
    <xf numFmtId="0" fontId="12" fillId="8" borderId="1" applyAlignment="1" pivotButton="0" quotePrefix="0" xfId="0">
      <alignment horizontal="general" vertical="bottom" wrapText="1"/>
    </xf>
    <xf numFmtId="0" fontId="13" fillId="7" borderId="1" applyAlignment="1" pivotButton="0" quotePrefix="0" xfId="0">
      <alignment horizontal="center" vertical="bottom"/>
    </xf>
    <xf numFmtId="0" fontId="14" fillId="7" borderId="1" applyAlignment="1" pivotButton="0" quotePrefix="0" xfId="0">
      <alignment horizontal="general" vertical="top" wrapText="1"/>
    </xf>
    <xf numFmtId="2" fontId="14" fillId="7" borderId="1" applyAlignment="1" pivotButton="0" quotePrefix="0" xfId="0">
      <alignment horizontal="general" vertical="top" wrapText="1"/>
    </xf>
    <xf numFmtId="164" fontId="14" fillId="7" borderId="1" applyAlignment="1" pivotButton="0" quotePrefix="0" xfId="0">
      <alignment horizontal="general" vertical="top" wrapText="1"/>
    </xf>
    <xf numFmtId="0" fontId="15" fillId="6" borderId="1" applyAlignment="1" pivotButton="0" quotePrefix="0" xfId="0">
      <alignment horizontal="general" vertical="top" wrapText="1"/>
    </xf>
    <xf numFmtId="0" fontId="13" fillId="5" borderId="1" applyAlignment="1" pivotButton="0" quotePrefix="0" xfId="0">
      <alignment horizontal="center" vertical="bottom"/>
    </xf>
    <xf numFmtId="0" fontId="16" fillId="5" borderId="1" applyAlignment="1" pivotButton="0" quotePrefix="0" xfId="0">
      <alignment horizontal="general" vertical="top" wrapText="1"/>
    </xf>
    <xf numFmtId="2" fontId="16" fillId="5" borderId="1" applyAlignment="1" pivotButton="0" quotePrefix="0" xfId="0">
      <alignment horizontal="general" vertical="top" wrapText="1"/>
    </xf>
    <xf numFmtId="164" fontId="16" fillId="5" borderId="1" applyAlignment="1" pivotButton="0" quotePrefix="0" xfId="0">
      <alignment horizontal="general" vertical="top" wrapText="1"/>
    </xf>
    <xf numFmtId="165" fontId="0" fillId="10" borderId="0" pivotButton="0" quotePrefix="0" xfId="0"/>
    <xf numFmtId="0" fontId="13" fillId="11" borderId="1" applyAlignment="1" pivotButton="0" quotePrefix="0" xfId="0">
      <alignment horizontal="center" vertical="bottom"/>
    </xf>
    <xf numFmtId="0" fontId="14" fillId="11" borderId="1" applyAlignment="1" pivotButton="0" quotePrefix="0" xfId="0">
      <alignment horizontal="general" vertical="top" wrapText="1"/>
    </xf>
    <xf numFmtId="2" fontId="14" fillId="11" borderId="1" applyAlignment="1" pivotButton="0" quotePrefix="0" xfId="0">
      <alignment horizontal="general" vertical="top" wrapText="1"/>
    </xf>
    <xf numFmtId="164" fontId="14" fillId="11" borderId="1" applyAlignment="1" pivotButton="0" quotePrefix="0" xfId="0">
      <alignment horizontal="general" vertical="top" wrapText="1"/>
    </xf>
    <xf numFmtId="0" fontId="16" fillId="11" borderId="1" applyAlignment="1" pivotButton="0" quotePrefix="0" xfId="0">
      <alignment horizontal="general" vertical="top" wrapText="1"/>
    </xf>
    <xf numFmtId="2" fontId="16" fillId="11" borderId="1" applyAlignment="1" pivotButton="0" quotePrefix="0" xfId="0">
      <alignment horizontal="general" vertical="top" wrapText="1"/>
    </xf>
    <xf numFmtId="164" fontId="16" fillId="11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ont>
        <name val="Arial"/>
        <charset val="1"/>
        <family val="0"/>
        <b val="1"/>
        <color rgb="FF006100"/>
      </font>
      <fill>
        <patternFill>
          <bgColor rgb="FFECFAEF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DEE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B45309"/>
      <rgbColor rgb="FFFFF9E3"/>
      <rgbColor rgb="FFECFAEF"/>
      <rgbColor rgb="FF660066"/>
      <rgbColor rgb="FFFF8080"/>
      <rgbColor rgb="FF0066CC"/>
      <rgbColor rgb="FFD8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F"/>
      <rgbColor rgb="FFEEF1F6"/>
      <rgbColor rgb="FFFDEE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57085"/>
      <rgbColor rgb="FF969696"/>
      <rgbColor rgb="FF003366"/>
      <rgbColor rgb="FF339966"/>
      <rgbColor rgb="FF151B24"/>
      <rgbColor rgb="FF1F2937"/>
      <rgbColor rgb="FFB91C1C"/>
      <rgbColor rgb="FF993366"/>
      <rgbColor rgb="FF333399"/>
      <rgbColor rgb="FF333C4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roundedCorners val="0"/>
  <style val="2"/>
  <chart>
    <title>
      <tx>
        <rich>
          <a:bodyPr/>
          <a:p>
            <a:pPr>
              <a:defRPr/>
            </a:pPr>
            <a:r>
              <a:t>p-value by test, against alpha = 0.05</a:t>
            </a:r>
          </a:p>
        </rich>
      </tx>
    </title>
    <plotArea>
      <lineChart>
        <grouping val="standard"/>
        <ser>
          <idx val="0"/>
          <order val="0"/>
          <tx>
            <v>p-value</v>
          </tx>
          <spPr>
            <a:ln w="28000">
              <a:solidFill>
                <a:srgbClr val="1F4E79"/>
              </a:solidFill>
              <a:prstDash val="solid"/>
            </a:ln>
          </spPr>
          <marker>
            <symbol val="circle"/>
            <size val="6"/>
            <spPr>
              <a:solidFill>
                <a:srgbClr val="1F4E79"/>
              </a:solidFill>
              <a:ln>
                <a:prstDash val="solid"/>
              </a:ln>
            </spPr>
          </marker>
          <cat>
            <numRef>
              <f>'Test log'!$A$11:$A$35</f>
            </numRef>
          </cat>
          <val>
            <numRef>
              <f>'Test log'!$J$11:$J$35</f>
            </numRef>
          </val>
          <smooth val="0"/>
        </ser>
        <ser>
          <idx val="1"/>
          <order val="1"/>
          <tx>
            <v>alpha (0.05)</v>
          </tx>
          <spPr>
            <a:ln w="16000">
              <a:solidFill>
                <a:srgbClr val="C0392B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'Test log'!$A$11:$A$35</f>
            </numRef>
          </cat>
          <val>
            <numRef>
              <f>'Test log'!$T$11:$T$35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  <tickLblSkip val="3"/>
        <tickMarkSkip val="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p-value</a:t>
                </a:r>
              </a:p>
            </rich>
          </tx>
        </title>
        <numFmt formatCode="0.000" sourceLinked="0"/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19</col>
      <colOff>0</colOff>
      <row>9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B4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3" min="1" max="1"/>
    <col width="108" customWidth="1" style="23" min="2" max="2"/>
  </cols>
  <sheetData>
    <row r="1"/>
    <row r="2" ht="30" customHeight="1" s="24">
      <c r="B2" s="25" t="inlineStr">
        <is>
          <t>Hypothesis Test Log</t>
        </is>
      </c>
    </row>
    <row r="3" ht="25.5" customHeight="1" s="24">
      <c r="B3" s="26" t="inlineStr">
        <is>
          <t>One row per statistical test. This log is what a tollgate reviewer reads, and it is what stops a project from quietly acting on a result that was never actually valid.</t>
        </is>
      </c>
    </row>
    <row r="4"/>
    <row r="5" ht="24" customHeight="1" s="24">
      <c r="B5" s="27" t="inlineStr">
        <is>
          <t>The three columns people skip, and why they matter</t>
        </is>
      </c>
    </row>
    <row r="6" ht="39" customHeight="1" s="24">
      <c r="B6" s="28" t="inlineStr">
        <is>
          <t>STRATIFIED BY — support comparisons are almost always contaminated by a change in what customers contacted about. If you did not stratify, you may be measuring a mix shift rather than an improvement.</t>
        </is>
      </c>
    </row>
    <row r="7" ht="25.5" customHeight="1" s="24">
      <c r="B7" s="28" t="inlineStr">
        <is>
          <t>MIX SHIFT RULED OUT — run a chi-square on contact-reason mix between your two groups. If it comes back significant, your headline comparison is confounded.</t>
        </is>
      </c>
    </row>
    <row r="8" ht="25.5" customHeight="1" s="24">
      <c r="B8" s="28" t="inlineStr">
        <is>
          <t>PRACTICAL THRESHOLD — the smallest change worth the effort, decided before you looked at the data. Work it backwards from your benefit target.</t>
        </is>
      </c>
    </row>
    <row r="9"/>
    <row r="10" ht="24" customHeight="1" s="24">
      <c r="B10" s="27" t="inlineStr">
        <is>
          <t>How the verdict column works</t>
        </is>
      </c>
    </row>
    <row r="11" ht="51.75" customHeight="1" s="24">
      <c r="B11" s="26" t="inlineStr">
        <is>
          <t>Type the p-value, the effect size and the practical threshold, and the sheet decides: not significant, significant but too small to matter, or real and worth acting on. At support volumes the middle verdict is far more common than people expect — three million contacts will make a two-second difference statistically significant and commercially worthless.</t>
        </is>
      </c>
    </row>
    <row r="12"/>
    <row r="13" ht="25.5" customHeight="1" s="24">
      <c r="B13" s="29" t="inlineStr">
        <is>
          <t>Never present a p-value without an effect size and a confidence interval next to it. A tollgate reviewer who sees a bare p-value should send the project back.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printOptions horizontalCentered="1" verticalCentered="0" headings="0" gridLines="0" gridLinesSet="1"/>
  <pageMargins left="0.4" right="0.4" top="0.5" bottom="0.5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T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baseColWidth="8" defaultColWidth="8.6796875" defaultRowHeight="15" zeroHeight="0" outlineLevelRow="0"/>
  <cols>
    <col width="38" customWidth="1" style="23" min="1" max="1"/>
    <col width="22" customWidth="1" style="23" min="2" max="3"/>
    <col width="50" customWidth="1" style="23" min="4" max="4"/>
    <col width="12" customWidth="1" style="23" min="5" max="5"/>
    <col width="4" customWidth="1" style="23" min="6" max="18"/>
  </cols>
  <sheetData>
    <row r="1" ht="25.5" customHeight="1" s="24">
      <c r="A1" s="30" t="inlineStr">
        <is>
          <t>Hypothesis Test Log</t>
        </is>
      </c>
    </row>
    <row r="2" ht="27.75" customHeight="1" s="24">
      <c r="A2" s="31" t="inlineStr">
        <is>
          <t>One row per test. The 'above threshold' column decides for you whether a significant result actually matters.</t>
        </is>
      </c>
    </row>
    <row r="4" ht="19.5" customHeight="1" s="24">
      <c r="A4" s="32" t="inlineStr">
        <is>
          <t>HOW TO USE THIS SHEET</t>
        </is>
      </c>
    </row>
    <row r="5" ht="15" customHeight="1" s="24">
      <c r="A5" s="33" t="inlineStr">
        <is>
          <t>Yellow cells</t>
        </is>
      </c>
      <c r="B5" s="34" t="inlineStr">
        <is>
          <t>You fill these in. Blue text = a number you typed.</t>
        </is>
      </c>
    </row>
    <row r="6" ht="15" customHeight="1" s="24">
      <c r="A6" s="35" t="inlineStr">
        <is>
          <t>Blue cells</t>
        </is>
      </c>
      <c r="B6" s="34" t="inlineStr">
        <is>
          <t>Calculated for you. Do not type over these — they contain formulas.</t>
        </is>
      </c>
    </row>
    <row r="7" ht="15" customHeight="1" s="24">
      <c r="A7" s="36" t="inlineStr">
        <is>
          <t>Row 1 example</t>
        </is>
      </c>
      <c r="B7" s="34" t="inlineStr">
        <is>
          <t>A realistic worked example, so you can see the expected format. Delete or overwrite it.</t>
        </is>
      </c>
    </row>
    <row r="8">
      <c r="A8" s="37" t="inlineStr">
        <is>
          <t>Significance level (alpha)</t>
        </is>
      </c>
      <c r="B8" s="38" t="n">
        <v>0.05</v>
      </c>
      <c r="C8" s="39" t="inlineStr">
        <is>
          <t>Used by the 'Above threshold?' column. 0.05 is standard; drop to 0.01 when acting on the result is expensive.</t>
        </is>
      </c>
    </row>
    <row r="9" ht="19.5" customHeight="1" s="24">
      <c r="A9" s="32" t="inlineStr">
        <is>
          <t>BEFORE EVERY TEST:  stratify first  ·  check independence  ·  declare the practical threshold  ·  plot the data</t>
        </is>
      </c>
    </row>
    <row r="10" ht="31.5" customHeight="1" s="24">
      <c r="A10" s="40" t="inlineStr">
        <is>
          <t>#</t>
        </is>
      </c>
      <c r="B10" s="40" t="inlineStr">
        <is>
          <t>Business question</t>
        </is>
      </c>
      <c r="C10" s="40" t="inlineStr">
        <is>
          <t>Test used</t>
        </is>
      </c>
      <c r="D10" s="40" t="inlineStr">
        <is>
          <t>Data type</t>
        </is>
      </c>
      <c r="E10" s="40" t="inlineStr">
        <is>
          <t>Assumptions checked?</t>
        </is>
      </c>
      <c r="F10" s="40" t="inlineStr">
        <is>
          <t>Stratified by</t>
        </is>
      </c>
      <c r="G10" s="40" t="inlineStr">
        <is>
          <t>Mix shift ruled out? (chi-sq p)</t>
        </is>
      </c>
      <c r="H10" s="40" t="inlineStr">
        <is>
          <t>n group 1</t>
        </is>
      </c>
      <c r="I10" s="40" t="inlineStr">
        <is>
          <t>n group 2</t>
        </is>
      </c>
      <c r="J10" s="40" t="inlineStr">
        <is>
          <t>p-value</t>
        </is>
      </c>
      <c r="K10" s="40" t="inlineStr">
        <is>
          <t>Effect size</t>
        </is>
      </c>
      <c r="L10" s="40" t="inlineStr">
        <is>
          <t>Effect 95% CI</t>
        </is>
      </c>
      <c r="M10" s="40" t="inlineStr">
        <is>
          <t>Practical threshold</t>
        </is>
      </c>
      <c r="N10" s="40" t="inlineStr">
        <is>
          <t>Above threshold?</t>
        </is>
      </c>
      <c r="O10" s="40" t="inlineStr">
        <is>
          <t>Conclusion in plain English</t>
        </is>
      </c>
      <c r="P10" s="40" t="inlineStr">
        <is>
          <t>Accepted?</t>
        </is>
      </c>
      <c r="Q10" s="40" t="inlineStr">
        <is>
          <t>Date</t>
        </is>
      </c>
      <c r="R10" s="40" t="inlineStr">
        <is>
          <t>Analyst</t>
        </is>
      </c>
      <c r="T10" s="37" t="inlineStr">
        <is>
          <t>alpha</t>
        </is>
      </c>
    </row>
    <row r="11" ht="348.5" customHeight="1" s="24">
      <c r="A11" s="51" t="n">
        <v>1</v>
      </c>
      <c r="B11" s="52" t="inlineStr">
        <is>
          <t>Did the deferred-close rule cut reopens?</t>
        </is>
      </c>
      <c r="C11" s="52" t="inlineStr">
        <is>
          <t>2-proportion test</t>
        </is>
      </c>
      <c r="D11" s="52" t="inlineStr">
        <is>
          <t>Proportion</t>
        </is>
      </c>
      <c r="E11" s="52" t="inlineStr">
        <is>
          <t>Yes</t>
        </is>
      </c>
      <c r="F11" s="52" t="inlineStr">
        <is>
          <t>Contact reason, tenure</t>
        </is>
      </c>
      <c r="G11" s="53" t="n">
        <v>0.41</v>
      </c>
      <c r="H11" s="52" t="n">
        <v>7420</v>
      </c>
      <c r="I11" s="52" t="n">
        <v>7180</v>
      </c>
      <c r="J11" s="54" t="n">
        <v>0.0001</v>
      </c>
      <c r="K11" s="52" t="inlineStr">
        <is>
          <t>-4.9 pts</t>
        </is>
      </c>
      <c r="L11" s="52" t="inlineStr">
        <is>
          <t>-6.1 to -3.7</t>
        </is>
      </c>
      <c r="M11" s="52" t="inlineStr">
        <is>
          <t>1.5 pts</t>
        </is>
      </c>
      <c r="N11" s="45">
        <f>IF(OR(J11="",K11="",M11=""),"",IF(J11&gt;$B$8,"NOT SIGNIFICANT",IF(ABS(IFERROR(VALUE(SUBSTITUTE(SUBSTITUTE(K11,"pts",""),"%","")),0))&gt;=ABS(IFERROR(VALUE(SUBSTITUTE(SUBSTITUTE(M11,"pts",""),"%","")),0)),"YES — real and matters","NO — significant but too small")))</f>
        <v/>
      </c>
      <c r="O11" s="52" t="inlineStr">
        <is>
          <t>Reopens fell 4.9 points, well past the 1.5 we agreed mattered</t>
        </is>
      </c>
      <c r="P11" s="52" t="inlineStr">
        <is>
          <t>Accepted</t>
        </is>
      </c>
      <c r="Q11" s="52" t="inlineStr">
        <is>
          <t>2026-06-14</t>
        </is>
      </c>
      <c r="R11" s="52" t="inlineStr">
        <is>
          <t>M. Berenji</t>
        </is>
      </c>
      <c r="T11" s="50">
        <f>IF(J11="","",0.05)</f>
        <v/>
      </c>
    </row>
    <row r="12" ht="30" customHeight="1" s="24">
      <c r="A12" s="51" t="n">
        <v>2</v>
      </c>
      <c r="B12" s="55" t="inlineStr">
        <is>
          <t>Did the shorter code list improve routing accuracy?</t>
        </is>
      </c>
      <c r="C12" s="55" t="inlineStr">
        <is>
          <t>2-proportion test</t>
        </is>
      </c>
      <c r="D12" s="55" t="inlineStr">
        <is>
          <t>Proportion</t>
        </is>
      </c>
      <c r="E12" s="55" t="inlineStr">
        <is>
          <t>Yes</t>
        </is>
      </c>
      <c r="F12" s="55" t="inlineStr">
        <is>
          <t>Queue, tenure</t>
        </is>
      </c>
      <c r="G12" s="56" t="n">
        <v>0.22</v>
      </c>
      <c r="H12" s="55" t="n">
        <v>4100</v>
      </c>
      <c r="I12" s="55" t="n">
        <v>4260</v>
      </c>
      <c r="J12" s="57" t="n">
        <v>0.0031</v>
      </c>
      <c r="K12" s="55" t="inlineStr">
        <is>
          <t>+6.2 pts</t>
        </is>
      </c>
      <c r="L12" s="55" t="inlineStr">
        <is>
          <t>+2.1 to +10.3</t>
        </is>
      </c>
      <c r="M12" s="55" t="inlineStr">
        <is>
          <t>3.0 pts</t>
        </is>
      </c>
      <c r="N12" s="45">
        <f>IF(OR(J12="",K12="",M12=""),"",IF(J12&gt;$B$8,"NOT SIGNIFICANT",IF(ABS(IFERROR(VALUE(SUBSTITUTE(SUBSTITUTE(K12,"pts",""),"%","")),0))&gt;=ABS(IFERROR(VALUE(SUBSTITUTE(SUBSTITUTE(M12,"pts",""),"%","")),0)),"YES — real and matters","NO — significant but too small")))</f>
        <v/>
      </c>
      <c r="O12" s="55" t="inlineStr">
        <is>
          <t>Routing accuracy up 6.2 points</t>
        </is>
      </c>
      <c r="P12" s="55" t="inlineStr">
        <is>
          <t>Accepted</t>
        </is>
      </c>
      <c r="Q12" s="55" t="inlineStr">
        <is>
          <t>2026-07-02</t>
        </is>
      </c>
      <c r="R12" s="55" t="inlineStr">
        <is>
          <t>M. Berenji</t>
        </is>
      </c>
      <c r="T12" s="50">
        <f>IF(J12="","",0.05)</f>
        <v/>
      </c>
    </row>
    <row r="13" ht="30" customHeight="1" s="24">
      <c r="A13" s="51" t="n">
        <v>3</v>
      </c>
      <c r="B13" s="55" t="inlineStr">
        <is>
          <t>Is handle time different across the three sites?</t>
        </is>
      </c>
      <c r="C13" s="55" t="inlineStr">
        <is>
          <t>One-way ANOVA</t>
        </is>
      </c>
      <c r="D13" s="55" t="inlineStr">
        <is>
          <t>Continuous</t>
        </is>
      </c>
      <c r="E13" s="55" t="inlineStr">
        <is>
          <t>Yes</t>
        </is>
      </c>
      <c r="F13" s="55" t="inlineStr">
        <is>
          <t>Contact reason</t>
        </is>
      </c>
      <c r="G13" s="56" t="n">
        <v>0.68</v>
      </c>
      <c r="H13" s="55" t="n">
        <v>5200</v>
      </c>
      <c r="I13" s="55" t="n">
        <v>5150</v>
      </c>
      <c r="J13" s="57" t="n">
        <v>0.214</v>
      </c>
      <c r="K13" s="55" t="inlineStr">
        <is>
          <t>0.4 min</t>
        </is>
      </c>
      <c r="L13" s="55" t="inlineStr">
        <is>
          <t>-0.3 to 1.1</t>
        </is>
      </c>
      <c r="M13" s="55" t="inlineStr">
        <is>
          <t>1.0 min</t>
        </is>
      </c>
      <c r="N13" s="45">
        <f>IF(OR(J13="",K13="",M13=""),"",IF(J13&gt;$B$8,"NOT SIGNIFICANT",IF(ABS(IFERROR(VALUE(SUBSTITUTE(SUBSTITUTE(K13,"pts",""),"%","")),0))&gt;=ABS(IFERROR(VALUE(SUBSTITUTE(SUBSTITUTE(M13,"pts",""),"%","")),0)),"YES — real and matters","NO — significant but too small")))</f>
        <v/>
      </c>
      <c r="O13" s="55" t="inlineStr">
        <is>
          <t>No detectable site difference once contact mix is held constant</t>
        </is>
      </c>
      <c r="P13" s="55" t="inlineStr">
        <is>
          <t>Rejected</t>
        </is>
      </c>
      <c r="Q13" s="55" t="inlineStr">
        <is>
          <t>2026-07-19</t>
        </is>
      </c>
      <c r="R13" s="55" t="inlineStr">
        <is>
          <t>A. Okafor</t>
        </is>
      </c>
      <c r="T13" s="50">
        <f>IF(J13="","",0.05)</f>
        <v/>
      </c>
    </row>
    <row r="14" ht="30" customHeight="1" s="24">
      <c r="A14" s="51" t="n">
        <v>4</v>
      </c>
      <c r="B14" s="55" t="inlineStr">
        <is>
          <t>Did the 48-hour reminder reduce auto-closes?</t>
        </is>
      </c>
      <c r="C14" s="55" t="inlineStr">
        <is>
          <t>2-proportion test</t>
        </is>
      </c>
      <c r="D14" s="55" t="inlineStr">
        <is>
          <t>Proportion</t>
        </is>
      </c>
      <c r="E14" s="55" t="inlineStr">
        <is>
          <t>Yes</t>
        </is>
      </c>
      <c r="F14" s="55" t="inlineStr">
        <is>
          <t>Contact reason</t>
        </is>
      </c>
      <c r="G14" s="56" t="n">
        <v>0.55</v>
      </c>
      <c r="H14" s="55" t="n">
        <v>3900</v>
      </c>
      <c r="I14" s="55" t="n">
        <v>3880</v>
      </c>
      <c r="J14" s="57" t="n">
        <v>0.0009</v>
      </c>
      <c r="K14" s="55" t="inlineStr">
        <is>
          <t>-3.1 pts</t>
        </is>
      </c>
      <c r="L14" s="55" t="inlineStr">
        <is>
          <t>-4.8 to -1.4</t>
        </is>
      </c>
      <c r="M14" s="55" t="inlineStr">
        <is>
          <t>2.0 pts</t>
        </is>
      </c>
      <c r="N14" s="45">
        <f>IF(OR(J14="",K14="",M14=""),"",IF(J14&gt;$B$8,"NOT SIGNIFICANT",IF(ABS(IFERROR(VALUE(SUBSTITUTE(SUBSTITUTE(K14,"pts",""),"%","")),0))&gt;=ABS(IFERROR(VALUE(SUBSTITUTE(SUBSTITUTE(M14,"pts",""),"%","")),0)),"YES — real and matters","NO — significant but too small")))</f>
        <v/>
      </c>
      <c r="O14" s="55" t="inlineStr">
        <is>
          <t>Auto-closes down 3.1 points</t>
        </is>
      </c>
      <c r="P14" s="55" t="inlineStr">
        <is>
          <t>Accepted</t>
        </is>
      </c>
      <c r="Q14" s="55" t="inlineStr">
        <is>
          <t>2026-08-05</t>
        </is>
      </c>
      <c r="R14" s="55" t="inlineStr">
        <is>
          <t>A. Okafor</t>
        </is>
      </c>
      <c r="T14" s="50">
        <f>IF(J14="","",0.05)</f>
        <v/>
      </c>
    </row>
    <row r="15" ht="30" customHeight="1" s="24">
      <c r="A15" s="51" t="n">
        <v>5</v>
      </c>
      <c r="B15" s="55" t="inlineStr">
        <is>
          <t>Does tenure predict QA score?</t>
        </is>
      </c>
      <c r="C15" s="55" t="inlineStr">
        <is>
          <t>Simple regression</t>
        </is>
      </c>
      <c r="D15" s="55" t="inlineStr">
        <is>
          <t>Continuous</t>
        </is>
      </c>
      <c r="E15" s="55" t="inlineStr">
        <is>
          <t>Yes</t>
        </is>
      </c>
      <c r="F15" s="55" t="inlineStr">
        <is>
          <t>Queue</t>
        </is>
      </c>
      <c r="G15" s="56" t="n">
        <v>0.31</v>
      </c>
      <c r="H15" s="55" t="n">
        <v>840</v>
      </c>
      <c r="I15" s="55" t="n">
        <v>0</v>
      </c>
      <c r="J15" s="57" t="n">
        <v>0.04</v>
      </c>
      <c r="K15" s="55" t="inlineStr">
        <is>
          <t>R-sq 0.09</t>
        </is>
      </c>
      <c r="L15" s="55" t="inlineStr">
        <is>
          <t>slope 0.02 to 0.31</t>
        </is>
      </c>
      <c r="M15" s="55" t="inlineStr">
        <is>
          <t>R-sq 0.25</t>
        </is>
      </c>
      <c r="N15" s="45">
        <f>IF(OR(J15="",K15="",M15=""),"",IF(J15&gt;$B$8,"NOT SIGNIFICANT",IF(ABS(IFERROR(VALUE(SUBSTITUTE(SUBSTITUTE(K15,"pts",""),"%","")),0))&gt;=ABS(IFERROR(VALUE(SUBSTITUTE(SUBSTITUTE(M15,"pts",""),"%","")),0)),"YES — real and matters","NO — significant but too small")))</f>
        <v/>
      </c>
      <c r="O15" s="55" t="inlineStr">
        <is>
          <t>Significant but explains only 9% — statistically real, operationally thin</t>
        </is>
      </c>
      <c r="P15" s="55" t="inlineStr">
        <is>
          <t>Noted</t>
        </is>
      </c>
      <c r="Q15" s="55" t="inlineStr">
        <is>
          <t>2026-08-21</t>
        </is>
      </c>
      <c r="R15" s="55" t="inlineStr">
        <is>
          <t>M. Berenji</t>
        </is>
      </c>
      <c r="T15" s="50">
        <f>IF(J15="","",0.05)</f>
        <v/>
      </c>
    </row>
    <row r="16" ht="30" customHeight="1" s="24">
      <c r="A16" s="46" t="n">
        <v>6</v>
      </c>
      <c r="B16" s="47" t="n"/>
      <c r="C16" s="47" t="n"/>
      <c r="D16" s="47" t="n"/>
      <c r="E16" s="47" t="n"/>
      <c r="F16" s="47" t="n"/>
      <c r="G16" s="48" t="n"/>
      <c r="H16" s="47" t="n"/>
      <c r="I16" s="47" t="n"/>
      <c r="J16" s="49" t="n"/>
      <c r="K16" s="47" t="n"/>
      <c r="L16" s="47" t="n"/>
      <c r="M16" s="47" t="n"/>
      <c r="N16" s="45">
        <f>IF(OR(J16="",K16="",M16=""),"",IF(J16&gt;$B$8,"NOT SIGNIFICANT",IF(ABS(IFERROR(VALUE(SUBSTITUTE(SUBSTITUTE(K16,"pts",""),"%","")),0))&gt;=ABS(IFERROR(VALUE(SUBSTITUTE(SUBSTITUTE(M16,"pts",""),"%","")),0)),"YES — real and matters","NO — significant but too small")))</f>
        <v/>
      </c>
      <c r="O16" s="47" t="n"/>
      <c r="P16" s="47" t="n"/>
      <c r="Q16" s="47" t="n"/>
      <c r="R16" s="47" t="n"/>
      <c r="T16" s="50">
        <f>IF(J16="","",0.05)</f>
        <v/>
      </c>
    </row>
    <row r="17" ht="30" customHeight="1" s="24">
      <c r="A17" s="46" t="n">
        <v>7</v>
      </c>
      <c r="B17" s="47" t="n"/>
      <c r="C17" s="47" t="n"/>
      <c r="D17" s="47" t="n"/>
      <c r="E17" s="47" t="n"/>
      <c r="F17" s="47" t="n"/>
      <c r="G17" s="48" t="n"/>
      <c r="H17" s="47" t="n"/>
      <c r="I17" s="47" t="n"/>
      <c r="J17" s="49" t="n"/>
      <c r="K17" s="47" t="n"/>
      <c r="L17" s="47" t="n"/>
      <c r="M17" s="47" t="n"/>
      <c r="N17" s="45">
        <f>IF(OR(J17="",K17="",M17=""),"",IF(J17&gt;$B$8,"NOT SIGNIFICANT",IF(ABS(IFERROR(VALUE(SUBSTITUTE(SUBSTITUTE(K17,"pts",""),"%","")),0))&gt;=ABS(IFERROR(VALUE(SUBSTITUTE(SUBSTITUTE(M17,"pts",""),"%","")),0)),"YES — real and matters","NO — significant but too small")))</f>
        <v/>
      </c>
      <c r="O17" s="47" t="n"/>
      <c r="P17" s="47" t="n"/>
      <c r="Q17" s="47" t="n"/>
      <c r="R17" s="47" t="n"/>
      <c r="T17" s="50">
        <f>IF(J17="","",0.05)</f>
        <v/>
      </c>
    </row>
    <row r="18" ht="30" customHeight="1" s="24">
      <c r="A18" s="46" t="n">
        <v>8</v>
      </c>
      <c r="B18" s="47" t="n"/>
      <c r="C18" s="47" t="n"/>
      <c r="D18" s="47" t="n"/>
      <c r="E18" s="47" t="n"/>
      <c r="F18" s="47" t="n"/>
      <c r="G18" s="48" t="n"/>
      <c r="H18" s="47" t="n"/>
      <c r="I18" s="47" t="n"/>
      <c r="J18" s="49" t="n"/>
      <c r="K18" s="47" t="n"/>
      <c r="L18" s="47" t="n"/>
      <c r="M18" s="47" t="n"/>
      <c r="N18" s="45">
        <f>IF(OR(J18="",K18="",M18=""),"",IF(J18&gt;$B$8,"NOT SIGNIFICANT",IF(ABS(IFERROR(VALUE(SUBSTITUTE(SUBSTITUTE(K18,"pts",""),"%","")),0))&gt;=ABS(IFERROR(VALUE(SUBSTITUTE(SUBSTITUTE(M18,"pts",""),"%","")),0)),"YES — real and matters","NO — significant but too small")))</f>
        <v/>
      </c>
      <c r="O18" s="47" t="n"/>
      <c r="P18" s="47" t="n"/>
      <c r="Q18" s="47" t="n"/>
      <c r="R18" s="47" t="n"/>
      <c r="T18" s="50">
        <f>IF(J18="","",0.05)</f>
        <v/>
      </c>
    </row>
    <row r="19" ht="30" customHeight="1" s="24">
      <c r="A19" s="46" t="n">
        <v>9</v>
      </c>
      <c r="B19" s="47" t="n"/>
      <c r="C19" s="47" t="n"/>
      <c r="D19" s="47" t="n"/>
      <c r="E19" s="47" t="n"/>
      <c r="F19" s="47" t="n"/>
      <c r="G19" s="48" t="n"/>
      <c r="H19" s="47" t="n"/>
      <c r="I19" s="47" t="n"/>
      <c r="J19" s="49" t="n"/>
      <c r="K19" s="47" t="n"/>
      <c r="L19" s="47" t="n"/>
      <c r="M19" s="47" t="n"/>
      <c r="N19" s="45">
        <f>IF(OR(J19="",K19="",M19=""),"",IF(J19&gt;$B$8,"NOT SIGNIFICANT",IF(ABS(IFERROR(VALUE(SUBSTITUTE(SUBSTITUTE(K19,"pts",""),"%","")),0))&gt;=ABS(IFERROR(VALUE(SUBSTITUTE(SUBSTITUTE(M19,"pts",""),"%","")),0)),"YES — real and matters","NO — significant but too small")))</f>
        <v/>
      </c>
      <c r="O19" s="47" t="n"/>
      <c r="P19" s="47" t="n"/>
      <c r="Q19" s="47" t="n"/>
      <c r="R19" s="47" t="n"/>
      <c r="T19" s="50">
        <f>IF(J19="","",0.05)</f>
        <v/>
      </c>
    </row>
    <row r="20" ht="30" customHeight="1" s="24">
      <c r="A20" s="46" t="n">
        <v>10</v>
      </c>
      <c r="B20" s="47" t="n"/>
      <c r="C20" s="47" t="n"/>
      <c r="D20" s="47" t="n"/>
      <c r="E20" s="47" t="n"/>
      <c r="F20" s="47" t="n"/>
      <c r="G20" s="48" t="n"/>
      <c r="H20" s="47" t="n"/>
      <c r="I20" s="47" t="n"/>
      <c r="J20" s="49" t="n"/>
      <c r="K20" s="47" t="n"/>
      <c r="L20" s="47" t="n"/>
      <c r="M20" s="47" t="n"/>
      <c r="N20" s="45">
        <f>IF(OR(J20="",K20="",M20=""),"",IF(J20&gt;$B$8,"NOT SIGNIFICANT",IF(ABS(IFERROR(VALUE(SUBSTITUTE(SUBSTITUTE(K20,"pts",""),"%","")),0))&gt;=ABS(IFERROR(VALUE(SUBSTITUTE(SUBSTITUTE(M20,"pts",""),"%","")),0)),"YES — real and matters","NO — significant but too small")))</f>
        <v/>
      </c>
      <c r="O20" s="47" t="n"/>
      <c r="P20" s="47" t="n"/>
      <c r="Q20" s="47" t="n"/>
      <c r="R20" s="47" t="n"/>
      <c r="T20" s="50">
        <f>IF(J20="","",0.05)</f>
        <v/>
      </c>
    </row>
    <row r="21" ht="30" customHeight="1" s="24">
      <c r="A21" s="46" t="n">
        <v>11</v>
      </c>
      <c r="B21" s="47" t="n"/>
      <c r="C21" s="47" t="n"/>
      <c r="D21" s="47" t="n"/>
      <c r="E21" s="47" t="n"/>
      <c r="F21" s="47" t="n"/>
      <c r="G21" s="48" t="n"/>
      <c r="H21" s="47" t="n"/>
      <c r="I21" s="47" t="n"/>
      <c r="J21" s="49" t="n"/>
      <c r="K21" s="47" t="n"/>
      <c r="L21" s="47" t="n"/>
      <c r="M21" s="47" t="n"/>
      <c r="N21" s="45">
        <f>IF(OR(J21="",K21="",M21=""),"",IF(J21&gt;$B$8,"NOT SIGNIFICANT",IF(ABS(IFERROR(VALUE(SUBSTITUTE(SUBSTITUTE(K21,"pts",""),"%","")),0))&gt;=ABS(IFERROR(VALUE(SUBSTITUTE(SUBSTITUTE(M21,"pts",""),"%","")),0)),"YES — real and matters","NO — significant but too small")))</f>
        <v/>
      </c>
      <c r="O21" s="47" t="n"/>
      <c r="P21" s="47" t="n"/>
      <c r="Q21" s="47" t="n"/>
      <c r="R21" s="47" t="n"/>
      <c r="T21" s="50">
        <f>IF(J21="","",0.05)</f>
        <v/>
      </c>
    </row>
    <row r="22" ht="30" customHeight="1" s="24">
      <c r="A22" s="46" t="n">
        <v>12</v>
      </c>
      <c r="B22" s="47" t="n"/>
      <c r="C22" s="47" t="n"/>
      <c r="D22" s="47" t="n"/>
      <c r="E22" s="47" t="n"/>
      <c r="F22" s="47" t="n"/>
      <c r="G22" s="48" t="n"/>
      <c r="H22" s="47" t="n"/>
      <c r="I22" s="47" t="n"/>
      <c r="J22" s="49" t="n"/>
      <c r="K22" s="47" t="n"/>
      <c r="L22" s="47" t="n"/>
      <c r="M22" s="47" t="n"/>
      <c r="N22" s="45">
        <f>IF(OR(J22="",K22="",M22=""),"",IF(J22&gt;$B$8,"NOT SIGNIFICANT",IF(ABS(IFERROR(VALUE(SUBSTITUTE(SUBSTITUTE(K22,"pts",""),"%","")),0))&gt;=ABS(IFERROR(VALUE(SUBSTITUTE(SUBSTITUTE(M22,"pts",""),"%","")),0)),"YES — real and matters","NO — significant but too small")))</f>
        <v/>
      </c>
      <c r="O22" s="47" t="n"/>
      <c r="P22" s="47" t="n"/>
      <c r="Q22" s="47" t="n"/>
      <c r="R22" s="47" t="n"/>
      <c r="T22" s="50">
        <f>IF(J22="","",0.05)</f>
        <v/>
      </c>
    </row>
    <row r="23" ht="30" customHeight="1" s="24">
      <c r="A23" s="46" t="n">
        <v>13</v>
      </c>
      <c r="B23" s="47" t="n"/>
      <c r="C23" s="47" t="n"/>
      <c r="D23" s="47" t="n"/>
      <c r="E23" s="47" t="n"/>
      <c r="F23" s="47" t="n"/>
      <c r="G23" s="48" t="n"/>
      <c r="H23" s="47" t="n"/>
      <c r="I23" s="47" t="n"/>
      <c r="J23" s="49" t="n"/>
      <c r="K23" s="47" t="n"/>
      <c r="L23" s="47" t="n"/>
      <c r="M23" s="47" t="n"/>
      <c r="N23" s="45">
        <f>IF(OR(J23="",K23="",M23=""),"",IF(J23&gt;$B$8,"NOT SIGNIFICANT",IF(ABS(IFERROR(VALUE(SUBSTITUTE(SUBSTITUTE(K23,"pts",""),"%","")),0))&gt;=ABS(IFERROR(VALUE(SUBSTITUTE(SUBSTITUTE(M23,"pts",""),"%","")),0)),"YES — real and matters","NO — significant but too small")))</f>
        <v/>
      </c>
      <c r="O23" s="47" t="n"/>
      <c r="P23" s="47" t="n"/>
      <c r="Q23" s="47" t="n"/>
      <c r="R23" s="47" t="n"/>
      <c r="T23" s="50">
        <f>IF(J23="","",0.05)</f>
        <v/>
      </c>
    </row>
    <row r="24" ht="30" customHeight="1" s="24">
      <c r="A24" s="46" t="n">
        <v>14</v>
      </c>
      <c r="B24" s="47" t="n"/>
      <c r="C24" s="47" t="n"/>
      <c r="D24" s="47" t="n"/>
      <c r="E24" s="47" t="n"/>
      <c r="F24" s="47" t="n"/>
      <c r="G24" s="48" t="n"/>
      <c r="H24" s="47" t="n"/>
      <c r="I24" s="47" t="n"/>
      <c r="J24" s="49" t="n"/>
      <c r="K24" s="47" t="n"/>
      <c r="L24" s="47" t="n"/>
      <c r="M24" s="47" t="n"/>
      <c r="N24" s="45">
        <f>IF(OR(J24="",K24="",M24=""),"",IF(J24&gt;$B$8,"NOT SIGNIFICANT",IF(ABS(IFERROR(VALUE(SUBSTITUTE(SUBSTITUTE(K24,"pts",""),"%","")),0))&gt;=ABS(IFERROR(VALUE(SUBSTITUTE(SUBSTITUTE(M24,"pts",""),"%","")),0)),"YES — real and matters","NO — significant but too small")))</f>
        <v/>
      </c>
      <c r="O24" s="47" t="n"/>
      <c r="P24" s="47" t="n"/>
      <c r="Q24" s="47" t="n"/>
      <c r="R24" s="47" t="n"/>
      <c r="T24" s="50">
        <f>IF(J24="","",0.05)</f>
        <v/>
      </c>
    </row>
    <row r="25" ht="30" customHeight="1" s="24">
      <c r="A25" s="46" t="n">
        <v>15</v>
      </c>
      <c r="B25" s="47" t="n"/>
      <c r="C25" s="47" t="n"/>
      <c r="D25" s="47" t="n"/>
      <c r="E25" s="47" t="n"/>
      <c r="F25" s="47" t="n"/>
      <c r="G25" s="48" t="n"/>
      <c r="H25" s="47" t="n"/>
      <c r="I25" s="47" t="n"/>
      <c r="J25" s="49" t="n"/>
      <c r="K25" s="47" t="n"/>
      <c r="L25" s="47" t="n"/>
      <c r="M25" s="47" t="n"/>
      <c r="N25" s="45">
        <f>IF(OR(J25="",K25="",M25=""),"",IF(J25&gt;$B$8,"NOT SIGNIFICANT",IF(ABS(IFERROR(VALUE(SUBSTITUTE(SUBSTITUTE(K25,"pts",""),"%","")),0))&gt;=ABS(IFERROR(VALUE(SUBSTITUTE(SUBSTITUTE(M25,"pts",""),"%","")),0)),"YES — real and matters","NO — significant but too small")))</f>
        <v/>
      </c>
      <c r="O25" s="47" t="n"/>
      <c r="P25" s="47" t="n"/>
      <c r="Q25" s="47" t="n"/>
      <c r="R25" s="47" t="n"/>
      <c r="T25" s="50">
        <f>IF(J25="","",0.05)</f>
        <v/>
      </c>
    </row>
    <row r="26" ht="30" customHeight="1" s="24">
      <c r="A26" s="46" t="n">
        <v>16</v>
      </c>
      <c r="B26" s="47" t="n"/>
      <c r="C26" s="47" t="n"/>
      <c r="D26" s="47" t="n"/>
      <c r="E26" s="47" t="n"/>
      <c r="F26" s="47" t="n"/>
      <c r="G26" s="48" t="n"/>
      <c r="H26" s="47" t="n"/>
      <c r="I26" s="47" t="n"/>
      <c r="J26" s="49" t="n"/>
      <c r="K26" s="47" t="n"/>
      <c r="L26" s="47" t="n"/>
      <c r="M26" s="47" t="n"/>
      <c r="N26" s="45">
        <f>IF(OR(J26="",K26="",M26=""),"",IF(J26&gt;$B$8,"NOT SIGNIFICANT",IF(ABS(IFERROR(VALUE(SUBSTITUTE(SUBSTITUTE(K26,"pts",""),"%","")),0))&gt;=ABS(IFERROR(VALUE(SUBSTITUTE(SUBSTITUTE(M26,"pts",""),"%","")),0)),"YES — real and matters","NO — significant but too small")))</f>
        <v/>
      </c>
      <c r="O26" s="47" t="n"/>
      <c r="P26" s="47" t="n"/>
      <c r="Q26" s="47" t="n"/>
      <c r="R26" s="47" t="n"/>
      <c r="T26" s="50">
        <f>IF(J26="","",0.05)</f>
        <v/>
      </c>
    </row>
    <row r="27" ht="30" customHeight="1" s="24">
      <c r="A27" s="46" t="n">
        <v>17</v>
      </c>
      <c r="B27" s="47" t="n"/>
      <c r="C27" s="47" t="n"/>
      <c r="D27" s="47" t="n"/>
      <c r="E27" s="47" t="n"/>
      <c r="F27" s="47" t="n"/>
      <c r="G27" s="48" t="n"/>
      <c r="H27" s="47" t="n"/>
      <c r="I27" s="47" t="n"/>
      <c r="J27" s="49" t="n"/>
      <c r="K27" s="47" t="n"/>
      <c r="L27" s="47" t="n"/>
      <c r="M27" s="47" t="n"/>
      <c r="N27" s="45">
        <f>IF(OR(J27="",K27="",M27=""),"",IF(J27&gt;$B$8,"NOT SIGNIFICANT",IF(ABS(IFERROR(VALUE(SUBSTITUTE(SUBSTITUTE(K27,"pts",""),"%","")),0))&gt;=ABS(IFERROR(VALUE(SUBSTITUTE(SUBSTITUTE(M27,"pts",""),"%","")),0)),"YES — real and matters","NO — significant but too small")))</f>
        <v/>
      </c>
      <c r="O27" s="47" t="n"/>
      <c r="P27" s="47" t="n"/>
      <c r="Q27" s="47" t="n"/>
      <c r="R27" s="47" t="n"/>
      <c r="T27" s="50">
        <f>IF(J27="","",0.05)</f>
        <v/>
      </c>
    </row>
    <row r="28" ht="30" customHeight="1" s="24">
      <c r="A28" s="46" t="n">
        <v>18</v>
      </c>
      <c r="B28" s="47" t="n"/>
      <c r="C28" s="47" t="n"/>
      <c r="D28" s="47" t="n"/>
      <c r="E28" s="47" t="n"/>
      <c r="F28" s="47" t="n"/>
      <c r="G28" s="48" t="n"/>
      <c r="H28" s="47" t="n"/>
      <c r="I28" s="47" t="n"/>
      <c r="J28" s="49" t="n"/>
      <c r="K28" s="47" t="n"/>
      <c r="L28" s="47" t="n"/>
      <c r="M28" s="47" t="n"/>
      <c r="N28" s="45">
        <f>IF(OR(J28="",K28="",M28=""),"",IF(J28&gt;$B$8,"NOT SIGNIFICANT",IF(ABS(IFERROR(VALUE(SUBSTITUTE(SUBSTITUTE(K28,"pts",""),"%","")),0))&gt;=ABS(IFERROR(VALUE(SUBSTITUTE(SUBSTITUTE(M28,"pts",""),"%","")),0)),"YES — real and matters","NO — significant but too small")))</f>
        <v/>
      </c>
      <c r="O28" s="47" t="n"/>
      <c r="P28" s="47" t="n"/>
      <c r="Q28" s="47" t="n"/>
      <c r="R28" s="47" t="n"/>
      <c r="T28" s="50">
        <f>IF(J28="","",0.05)</f>
        <v/>
      </c>
    </row>
    <row r="29" ht="30" customHeight="1" s="24">
      <c r="A29" s="46" t="n">
        <v>19</v>
      </c>
      <c r="B29" s="47" t="n"/>
      <c r="C29" s="47" t="n"/>
      <c r="D29" s="47" t="n"/>
      <c r="E29" s="47" t="n"/>
      <c r="F29" s="47" t="n"/>
      <c r="G29" s="48" t="n"/>
      <c r="H29" s="47" t="n"/>
      <c r="I29" s="47" t="n"/>
      <c r="J29" s="49" t="n"/>
      <c r="K29" s="47" t="n"/>
      <c r="L29" s="47" t="n"/>
      <c r="M29" s="47" t="n"/>
      <c r="N29" s="45">
        <f>IF(OR(J29="",K29="",M29=""),"",IF(J29&gt;$B$8,"NOT SIGNIFICANT",IF(ABS(IFERROR(VALUE(SUBSTITUTE(SUBSTITUTE(K29,"pts",""),"%","")),0))&gt;=ABS(IFERROR(VALUE(SUBSTITUTE(SUBSTITUTE(M29,"pts",""),"%","")),0)),"YES — real and matters","NO — significant but too small")))</f>
        <v/>
      </c>
      <c r="O29" s="47" t="n"/>
      <c r="P29" s="47" t="n"/>
      <c r="Q29" s="47" t="n"/>
      <c r="R29" s="47" t="n"/>
      <c r="T29" s="50">
        <f>IF(J29="","",0.05)</f>
        <v/>
      </c>
    </row>
    <row r="30" ht="30" customHeight="1" s="24">
      <c r="A30" s="46" t="n">
        <v>20</v>
      </c>
      <c r="B30" s="47" t="n"/>
      <c r="C30" s="47" t="n"/>
      <c r="D30" s="47" t="n"/>
      <c r="E30" s="47" t="n"/>
      <c r="F30" s="47" t="n"/>
      <c r="G30" s="48" t="n"/>
      <c r="H30" s="47" t="n"/>
      <c r="I30" s="47" t="n"/>
      <c r="J30" s="49" t="n"/>
      <c r="K30" s="47" t="n"/>
      <c r="L30" s="47" t="n"/>
      <c r="M30" s="47" t="n"/>
      <c r="N30" s="45">
        <f>IF(OR(J30="",K30="",M30=""),"",IF(J30&gt;$B$8,"NOT SIGNIFICANT",IF(ABS(IFERROR(VALUE(SUBSTITUTE(SUBSTITUTE(K30,"pts",""),"%","")),0))&gt;=ABS(IFERROR(VALUE(SUBSTITUTE(SUBSTITUTE(M30,"pts",""),"%","")),0)),"YES — real and matters","NO — significant but too small")))</f>
        <v/>
      </c>
      <c r="O30" s="47" t="n"/>
      <c r="P30" s="47" t="n"/>
      <c r="Q30" s="47" t="n"/>
      <c r="R30" s="47" t="n"/>
      <c r="T30" s="50">
        <f>IF(J30="","",0.05)</f>
        <v/>
      </c>
    </row>
    <row r="31" ht="30" customHeight="1" s="24">
      <c r="A31" s="46" t="n">
        <v>21</v>
      </c>
      <c r="B31" s="47" t="n"/>
      <c r="C31" s="47" t="n"/>
      <c r="D31" s="47" t="n"/>
      <c r="E31" s="47" t="n"/>
      <c r="F31" s="47" t="n"/>
      <c r="G31" s="48" t="n"/>
      <c r="H31" s="47" t="n"/>
      <c r="I31" s="47" t="n"/>
      <c r="J31" s="49" t="n"/>
      <c r="K31" s="47" t="n"/>
      <c r="L31" s="47" t="n"/>
      <c r="M31" s="47" t="n"/>
      <c r="N31" s="45">
        <f>IF(OR(J31="",K31="",M31=""),"",IF(J31&gt;$B$8,"NOT SIGNIFICANT",IF(ABS(IFERROR(VALUE(SUBSTITUTE(SUBSTITUTE(K31,"pts",""),"%","")),0))&gt;=ABS(IFERROR(VALUE(SUBSTITUTE(SUBSTITUTE(M31,"pts",""),"%","")),0)),"YES — real and matters","NO — significant but too small")))</f>
        <v/>
      </c>
      <c r="O31" s="47" t="n"/>
      <c r="P31" s="47" t="n"/>
      <c r="Q31" s="47" t="n"/>
      <c r="R31" s="47" t="n"/>
      <c r="T31" s="50">
        <f>IF(J31="","",0.05)</f>
        <v/>
      </c>
    </row>
    <row r="32" ht="30" customHeight="1" s="24">
      <c r="A32" s="46" t="n">
        <v>22</v>
      </c>
      <c r="B32" s="47" t="n"/>
      <c r="C32" s="47" t="n"/>
      <c r="D32" s="47" t="n"/>
      <c r="E32" s="47" t="n"/>
      <c r="F32" s="47" t="n"/>
      <c r="G32" s="48" t="n"/>
      <c r="H32" s="47" t="n"/>
      <c r="I32" s="47" t="n"/>
      <c r="J32" s="49" t="n"/>
      <c r="K32" s="47" t="n"/>
      <c r="L32" s="47" t="n"/>
      <c r="M32" s="47" t="n"/>
      <c r="N32" s="45">
        <f>IF(OR(J32="",K32="",M32=""),"",IF(J32&gt;$B$8,"NOT SIGNIFICANT",IF(ABS(IFERROR(VALUE(SUBSTITUTE(SUBSTITUTE(K32,"pts",""),"%","")),0))&gt;=ABS(IFERROR(VALUE(SUBSTITUTE(SUBSTITUTE(M32,"pts",""),"%","")),0)),"YES — real and matters","NO — significant but too small")))</f>
        <v/>
      </c>
      <c r="O32" s="47" t="n"/>
      <c r="P32" s="47" t="n"/>
      <c r="Q32" s="47" t="n"/>
      <c r="R32" s="47" t="n"/>
      <c r="T32" s="50">
        <f>IF(J32="","",0.05)</f>
        <v/>
      </c>
    </row>
    <row r="33" ht="30" customHeight="1" s="24">
      <c r="A33" s="46" t="n">
        <v>23</v>
      </c>
      <c r="B33" s="47" t="n"/>
      <c r="C33" s="47" t="n"/>
      <c r="D33" s="47" t="n"/>
      <c r="E33" s="47" t="n"/>
      <c r="F33" s="47" t="n"/>
      <c r="G33" s="48" t="n"/>
      <c r="H33" s="47" t="n"/>
      <c r="I33" s="47" t="n"/>
      <c r="J33" s="49" t="n"/>
      <c r="K33" s="47" t="n"/>
      <c r="L33" s="47" t="n"/>
      <c r="M33" s="47" t="n"/>
      <c r="N33" s="45">
        <f>IF(OR(J33="",K33="",M33=""),"",IF(J33&gt;$B$8,"NOT SIGNIFICANT",IF(ABS(IFERROR(VALUE(SUBSTITUTE(SUBSTITUTE(K33,"pts",""),"%","")),0))&gt;=ABS(IFERROR(VALUE(SUBSTITUTE(SUBSTITUTE(M33,"pts",""),"%","")),0)),"YES — real and matters","NO — significant but too small")))</f>
        <v/>
      </c>
      <c r="O33" s="47" t="n"/>
      <c r="P33" s="47" t="n"/>
      <c r="Q33" s="47" t="n"/>
      <c r="R33" s="47" t="n"/>
      <c r="T33" s="50">
        <f>IF(J33="","",0.05)</f>
        <v/>
      </c>
    </row>
    <row r="34">
      <c r="T34" s="50">
        <f>IF(J34="","",0.05)</f>
        <v/>
      </c>
    </row>
    <row r="35">
      <c r="T35" s="50">
        <f>IF(J35="","",0.05)</f>
        <v/>
      </c>
    </row>
    <row r="36" ht="19.5" customHeight="1" s="24">
      <c r="A36" s="32" t="inlineStr">
        <is>
          <t>TESTS RUN AND REJECTED  —  record these so nobody re-litigates them in month five</t>
        </is>
      </c>
    </row>
    <row r="37" ht="31.5" customHeight="1" s="24">
      <c r="A37" s="40" t="inlineStr">
        <is>
          <t>Hypothesis</t>
        </is>
      </c>
      <c r="B37" s="40" t="inlineStr">
        <is>
          <t>Test</t>
        </is>
      </c>
      <c r="C37" s="40" t="inlineStr">
        <is>
          <t>Result</t>
        </is>
      </c>
      <c r="D37" s="40" t="inlineStr">
        <is>
          <t>Why it was rejected</t>
        </is>
      </c>
      <c r="E37" s="40" t="inlineStr">
        <is>
          <t>Date</t>
        </is>
      </c>
      <c r="F37" s="40" t="n"/>
      <c r="G37" s="40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</row>
    <row r="38" ht="30" customHeight="1" s="24">
      <c r="A38" s="47" t="n"/>
      <c r="B38" s="47" t="n"/>
      <c r="C38" s="47" t="n"/>
      <c r="D38" s="47" t="n"/>
      <c r="E38" s="47" t="n"/>
    </row>
    <row r="39" ht="30" customHeight="1" s="24">
      <c r="A39" s="47" t="n"/>
      <c r="B39" s="47" t="n"/>
      <c r="C39" s="47" t="n"/>
      <c r="D39" s="47" t="n"/>
      <c r="E39" s="47" t="n"/>
    </row>
    <row r="40" ht="30" customHeight="1" s="24">
      <c r="A40" s="47" t="n"/>
      <c r="B40" s="47" t="n"/>
      <c r="C40" s="47" t="n"/>
      <c r="D40" s="47" t="n"/>
      <c r="E40" s="47" t="n"/>
    </row>
    <row r="41" ht="30" customHeight="1" s="24">
      <c r="A41" s="47" t="n"/>
      <c r="B41" s="47" t="n"/>
      <c r="C41" s="47" t="n"/>
      <c r="D41" s="47" t="n"/>
      <c r="E41" s="47" t="n"/>
    </row>
    <row r="42" ht="30" customHeight="1" s="24">
      <c r="A42" s="47" t="n"/>
      <c r="B42" s="47" t="n"/>
      <c r="C42" s="47" t="n"/>
      <c r="D42" s="47" t="n"/>
      <c r="E42" s="47" t="n"/>
    </row>
    <row r="43" ht="30" customHeight="1" s="24">
      <c r="A43" s="47" t="n"/>
      <c r="B43" s="47" t="n"/>
      <c r="C43" s="47" t="n"/>
      <c r="D43" s="47" t="n"/>
      <c r="E43" s="47" t="n"/>
    </row>
    <row r="44" ht="30" customHeight="1" s="24">
      <c r="A44" s="47" t="n"/>
      <c r="B44" s="47" t="n"/>
      <c r="C44" s="47" t="n"/>
      <c r="D44" s="47" t="n"/>
      <c r="E44" s="47" t="n"/>
    </row>
    <row r="45" ht="30" customHeight="1" s="24">
      <c r="A45" s="47" t="n"/>
      <c r="B45" s="47" t="n"/>
      <c r="C45" s="47" t="n"/>
      <c r="D45" s="47" t="n"/>
      <c r="E45" s="47" t="n"/>
    </row>
  </sheetData>
  <mergeCells count="8">
    <mergeCell ref="B7:F7"/>
    <mergeCell ref="B6:F6"/>
    <mergeCell ref="A2:R2"/>
    <mergeCell ref="B5:F5"/>
    <mergeCell ref="A36:R36"/>
    <mergeCell ref="A1:R1"/>
    <mergeCell ref="A4:F4"/>
    <mergeCell ref="A9:R9"/>
  </mergeCells>
  <conditionalFormatting sqref="N11:N33">
    <cfRule type="cellIs" rank="0" priority="2" equalAverage="0" operator="equal" aboveAverage="0" dxfId="0" text="" percent="0" bottom="0">
      <formula>"YES — real and matters"</formula>
    </cfRule>
    <cfRule type="cellIs" rank="0" priority="3" equalAverage="0" operator="equal" aboveAverage="0" dxfId="1" text="" percent="0" bottom="0">
      <formula>"NO — significant but too small"</formula>
    </cfRule>
  </conditionalFormatting>
  <dataValidations count="5">
    <dataValidation sqref="C11:C33" showDropDown="0" showInputMessage="0" showErrorMessage="0" allowBlank="1" type="list" errorStyle="stop" operator="between">
      <formula1>"2-sample t-test,Mann-Whitney,Paired t-test,Wilcoxon signed-rank,One-way ANOVA,Kruskal-Wallis,1-proportion,2-proportion,Chi-square independence,McNemar,Levene variance,Linear regression,Logistic regression,Poisson regression"</formula1>
      <formula2>0</formula2>
    </dataValidation>
    <dataValidation sqref="D11:D33" showDropDown="0" showInputMessage="0" showErrorMessage="0" allowBlank="1" type="list" errorStyle="stop" operator="between">
      <formula1>"Continuous,Proportion,Count,Ordinal,Categorical"</formula1>
      <formula2>0</formula2>
    </dataValidation>
    <dataValidation sqref="E11:E33" showDropDown="0" showInputMessage="0" showErrorMessage="0" allowBlank="1" type="list" errorStyle="stop" operator="between">
      <formula1>"Yes,No,N/A"</formula1>
      <formula2>0</formula2>
    </dataValidation>
    <dataValidation sqref="P11:P33" showDropDown="0" showInputMessage="0" showErrorMessage="0" allowBlank="1" type="list" errorStyle="stop" operator="between">
      <formula1>"Accepted,Rejected,Inconclusive"</formula1>
      <formula2>0</formula2>
    </dataValidation>
    <dataValidation sqref="B8" showDropDown="0" showInputMessage="0" showErrorMessage="1" allowBlank="1" errorTitle="Check this number" error="Alpha is a share, typically 0.05 or 0.01." type="decimal" operator="between">
      <formula1>0.001</formula1>
      <formula2>0.5</formula2>
    </dataValidation>
  </dataValidations>
  <printOptions horizontalCentered="1" verticalCentered="0" headings="0" gridLines="0" gridLinesSet="1"/>
  <pageMargins left="0.4" right="0.4" top="0.5" bottom="0.5" header="0.511811023622047" footer="0.511811023622047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2026-07-31T15:37:50Z</dcterms:created>
  <dcterms:modified xsi:type="dcterms:W3CDTF">2026-07-31T23:17:13Z</dcterms:modified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hartspec" fmtid="{D5CDD505-2E9C-101B-9397-08002B2CF9AE}" pid="2">
    <vt:lpwstr>6da32db23cac</vt:lpwstr>
  </property>
</Properties>
</file>