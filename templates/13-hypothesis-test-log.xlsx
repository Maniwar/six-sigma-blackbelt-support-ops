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  <xf numFmtId="0" fontId="13" fillId="11" borderId="1" applyAlignment="1" pivotButton="0" quotePrefix="0" xfId="0">
      <alignment horizontal="center" vertical="bottom"/>
    </xf>
    <xf numFmtId="0" fontId="14" fillId="11" borderId="1" applyAlignment="1" pivotButton="0" quotePrefix="0" xfId="0">
      <alignment horizontal="general" vertical="top" wrapText="1"/>
    </xf>
    <xf numFmtId="2" fontId="14" fillId="11" borderId="1" applyAlignment="1" pivotButton="0" quotePrefix="0" xfId="0">
      <alignment horizontal="general" vertical="top" wrapText="1"/>
    </xf>
    <xf numFmtId="164" fontId="14" fillId="11" borderId="1" applyAlignment="1" pivotButton="0" quotePrefix="0" xfId="0">
      <alignment horizontal="general" vertical="top" wrapText="1"/>
    </xf>
    <xf numFmtId="0" fontId="16" fillId="11" borderId="1" applyAlignment="1" pivotButton="0" quotePrefix="0" xfId="0">
      <alignment horizontal="general" vertical="top" wrapText="1"/>
    </xf>
    <xf numFmtId="2" fontId="16" fillId="11" borderId="1" applyAlignment="1" pivotButton="0" quotePrefix="0" xfId="0">
      <alignment horizontal="general" vertical="top" wrapText="1"/>
    </xf>
    <xf numFmtId="164" fontId="16" fillId="11" borderId="1" applyAlignment="1" pivotButton="0" quotePrefix="0" xfId="0">
      <alignment horizontal="general" vertical="top" wrapText="1"/>
    </xf>
    <xf numFmtId="0" fontId="10" fillId="4" borderId="0" applyAlignment="1" pivotButton="0" quotePrefix="0" xfId="0">
      <alignment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test, against alpha = 0.05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(0.05)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T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50" customWidth="1" style="23" min="4" max="4"/>
    <col width="12" customWidth="1" style="23" min="5" max="5"/>
    <col width="4" customWidth="1" style="23" min="6" max="18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3"/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Row 1 example</t>
        </is>
      </c>
      <c r="B7" s="34" t="inlineStr">
        <is>
          <t>A realistic worked example, so you can see the expected format. Delete or overwrite it.</t>
        </is>
      </c>
    </row>
    <row r="8">
      <c r="A8" s="37" t="inlineStr">
        <is>
          <t>Significance level (alpha)</t>
        </is>
      </c>
      <c r="B8" s="38" t="n">
        <v>0.05</v>
      </c>
      <c r="C8" s="39" t="inlineStr">
        <is>
          <t>Used by the 'Above threshold?' column. 0.05 is standard; drop to 0.01 when acting on the result is expensive.</t>
        </is>
      </c>
    </row>
    <row r="9" ht="48" customHeight="1" s="24">
      <c r="A9" s="58" t="inlineStr">
        <is>
          <t>BEFORE EVERY TEST:  stratify first  ·  check independence  ·  declare the practical threshold  ·  plot the data  ·  Key: p-value = the chance of seeing a difference this big if nothing had really changed · Effect size = how big the difference is, in units a manager can act on · CI = confidence interval, the range the true value plausibly sits in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 t="inlineStr">
        <is>
          <t>alpha</t>
        </is>
      </c>
    </row>
    <row r="11" ht="348.5" customHeight="1" s="24">
      <c r="A11" s="51" t="n">
        <v>1</v>
      </c>
      <c r="B11" s="52" t="inlineStr">
        <is>
          <t>Did the deferred-close rule cut reopens?</t>
        </is>
      </c>
      <c r="C11" s="52" t="inlineStr">
        <is>
          <t>2-proportion test</t>
        </is>
      </c>
      <c r="D11" s="52" t="inlineStr">
        <is>
          <t>Proportion</t>
        </is>
      </c>
      <c r="E11" s="52" t="inlineStr">
        <is>
          <t>Yes</t>
        </is>
      </c>
      <c r="F11" s="52" t="inlineStr">
        <is>
          <t>Contact reason, tenure</t>
        </is>
      </c>
      <c r="G11" s="53" t="n">
        <v>0.41</v>
      </c>
      <c r="H11" s="52" t="n">
        <v>7420</v>
      </c>
      <c r="I11" s="52" t="n">
        <v>7180</v>
      </c>
      <c r="J11" s="54" t="n">
        <v>0.0001</v>
      </c>
      <c r="K11" s="52" t="inlineStr">
        <is>
          <t>-4.9 pts</t>
        </is>
      </c>
      <c r="L11" s="52" t="inlineStr">
        <is>
          <t>-6.1 to -3.7</t>
        </is>
      </c>
      <c r="M11" s="5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52" t="inlineStr">
        <is>
          <t>Reopens fell 4.9 points, well past the 1.5 we agreed mattered</t>
        </is>
      </c>
      <c r="P11" s="52" t="inlineStr">
        <is>
          <t>Accepted</t>
        </is>
      </c>
      <c r="Q11" s="52" t="inlineStr">
        <is>
          <t>2026-06-14</t>
        </is>
      </c>
      <c r="R11" s="52" t="inlineStr">
        <is>
          <t>M. Berenji</t>
        </is>
      </c>
      <c r="T11" s="50">
        <f>IF(A11="","",$B$8)</f>
        <v/>
      </c>
    </row>
    <row r="12" ht="30" customHeight="1" s="24">
      <c r="A12" s="51" t="n">
        <v>2</v>
      </c>
      <c r="B12" s="55" t="inlineStr">
        <is>
          <t>Did the shorter code list improve routing accuracy?</t>
        </is>
      </c>
      <c r="C12" s="55" t="inlineStr">
        <is>
          <t>2-proportion test</t>
        </is>
      </c>
      <c r="D12" s="55" t="inlineStr">
        <is>
          <t>Proportion</t>
        </is>
      </c>
      <c r="E12" s="55" t="inlineStr">
        <is>
          <t>Yes</t>
        </is>
      </c>
      <c r="F12" s="55" t="inlineStr">
        <is>
          <t>Queue, tenure</t>
        </is>
      </c>
      <c r="G12" s="56" t="n">
        <v>0.22</v>
      </c>
      <c r="H12" s="55" t="n">
        <v>4100</v>
      </c>
      <c r="I12" s="55" t="n">
        <v>4260</v>
      </c>
      <c r="J12" s="57" t="n">
        <v>0.0031</v>
      </c>
      <c r="K12" s="55" t="inlineStr">
        <is>
          <t>+6.2 pts</t>
        </is>
      </c>
      <c r="L12" s="55" t="inlineStr">
        <is>
          <t>+2.1 to +10.3</t>
        </is>
      </c>
      <c r="M12" s="55" t="inlineStr">
        <is>
          <t>3.0 pts</t>
        </is>
      </c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55" t="inlineStr">
        <is>
          <t>Routing accuracy up 6.2 points</t>
        </is>
      </c>
      <c r="P12" s="55" t="inlineStr">
        <is>
          <t>Accepted</t>
        </is>
      </c>
      <c r="Q12" s="55" t="inlineStr">
        <is>
          <t>2026-07-02</t>
        </is>
      </c>
      <c r="R12" s="55" t="inlineStr">
        <is>
          <t>M. Berenji</t>
        </is>
      </c>
      <c r="T12" s="50">
        <f>IF(A12="","",$B$8)</f>
        <v/>
      </c>
    </row>
    <row r="13" ht="30" customHeight="1" s="24">
      <c r="A13" s="51" t="n">
        <v>3</v>
      </c>
      <c r="B13" s="55" t="inlineStr">
        <is>
          <t>Is handle time different across the three sites?</t>
        </is>
      </c>
      <c r="C13" s="55" t="inlineStr">
        <is>
          <t>One-way ANOVA</t>
        </is>
      </c>
      <c r="D13" s="55" t="inlineStr">
        <is>
          <t>Continuous</t>
        </is>
      </c>
      <c r="E13" s="55" t="inlineStr">
        <is>
          <t>Yes</t>
        </is>
      </c>
      <c r="F13" s="55" t="inlineStr">
        <is>
          <t>Contact reason</t>
        </is>
      </c>
      <c r="G13" s="56" t="n">
        <v>0.68</v>
      </c>
      <c r="H13" s="55" t="n">
        <v>5200</v>
      </c>
      <c r="I13" s="55" t="n">
        <v>5150</v>
      </c>
      <c r="J13" s="57" t="n">
        <v>0.214</v>
      </c>
      <c r="K13" s="55" t="inlineStr">
        <is>
          <t>0.4 min</t>
        </is>
      </c>
      <c r="L13" s="55" t="inlineStr">
        <is>
          <t>-0.3 to 1.1</t>
        </is>
      </c>
      <c r="M13" s="55" t="inlineStr">
        <is>
          <t>1.0 min</t>
        </is>
      </c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55" t="inlineStr">
        <is>
          <t>No detectable site difference once contact mix is held constant</t>
        </is>
      </c>
      <c r="P13" s="55" t="inlineStr">
        <is>
          <t>Rejected</t>
        </is>
      </c>
      <c r="Q13" s="55" t="inlineStr">
        <is>
          <t>2026-07-19</t>
        </is>
      </c>
      <c r="R13" s="55" t="inlineStr">
        <is>
          <t>A. Okafor</t>
        </is>
      </c>
      <c r="T13" s="50">
        <f>IF(A13="","",$B$8)</f>
        <v/>
      </c>
    </row>
    <row r="14" ht="30" customHeight="1" s="24">
      <c r="A14" s="51" t="n">
        <v>4</v>
      </c>
      <c r="B14" s="55" t="inlineStr">
        <is>
          <t>Did the 48-hour reminder reduce auto-closes?</t>
        </is>
      </c>
      <c r="C14" s="55" t="inlineStr">
        <is>
          <t>2-proportion test</t>
        </is>
      </c>
      <c r="D14" s="55" t="inlineStr">
        <is>
          <t>Proportion</t>
        </is>
      </c>
      <c r="E14" s="55" t="inlineStr">
        <is>
          <t>Yes</t>
        </is>
      </c>
      <c r="F14" s="55" t="inlineStr">
        <is>
          <t>Contact reason</t>
        </is>
      </c>
      <c r="G14" s="56" t="n">
        <v>0.55</v>
      </c>
      <c r="H14" s="55" t="n">
        <v>3900</v>
      </c>
      <c r="I14" s="55" t="n">
        <v>3880</v>
      </c>
      <c r="J14" s="57" t="n">
        <v>0.0009</v>
      </c>
      <c r="K14" s="55" t="inlineStr">
        <is>
          <t>-3.1 pts</t>
        </is>
      </c>
      <c r="L14" s="55" t="inlineStr">
        <is>
          <t>-4.8 to -1.4</t>
        </is>
      </c>
      <c r="M14" s="55" t="inlineStr">
        <is>
          <t>2.0 pts</t>
        </is>
      </c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55" t="inlineStr">
        <is>
          <t>Auto-closes down 3.1 points</t>
        </is>
      </c>
      <c r="P14" s="55" t="inlineStr">
        <is>
          <t>Accepted</t>
        </is>
      </c>
      <c r="Q14" s="55" t="inlineStr">
        <is>
          <t>2026-08-05</t>
        </is>
      </c>
      <c r="R14" s="55" t="inlineStr">
        <is>
          <t>A. Okafor</t>
        </is>
      </c>
      <c r="T14" s="50">
        <f>IF(A14="","",$B$8)</f>
        <v/>
      </c>
    </row>
    <row r="15" ht="30" customHeight="1" s="24">
      <c r="A15" s="51" t="n">
        <v>5</v>
      </c>
      <c r="B15" s="55" t="inlineStr">
        <is>
          <t>Does tenure predict QA score?</t>
        </is>
      </c>
      <c r="C15" s="55" t="inlineStr">
        <is>
          <t>Simple regression</t>
        </is>
      </c>
      <c r="D15" s="55" t="inlineStr">
        <is>
          <t>Continuous</t>
        </is>
      </c>
      <c r="E15" s="55" t="inlineStr">
        <is>
          <t>Yes</t>
        </is>
      </c>
      <c r="F15" s="55" t="inlineStr">
        <is>
          <t>Queue</t>
        </is>
      </c>
      <c r="G15" s="56" t="n">
        <v>0.31</v>
      </c>
      <c r="H15" s="55" t="n">
        <v>840</v>
      </c>
      <c r="I15" s="55" t="n">
        <v>0</v>
      </c>
      <c r="J15" s="57" t="n">
        <v>0.04</v>
      </c>
      <c r="K15" s="55" t="inlineStr">
        <is>
          <t>R-sq 0.09</t>
        </is>
      </c>
      <c r="L15" s="55" t="inlineStr">
        <is>
          <t>slope 0.02 to 0.31</t>
        </is>
      </c>
      <c r="M15" s="55" t="inlineStr">
        <is>
          <t>R-sq 0.25</t>
        </is>
      </c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55" t="inlineStr">
        <is>
          <t>Significant but explains only 9% — statistically real, operationally thin</t>
        </is>
      </c>
      <c r="P15" s="55" t="inlineStr">
        <is>
          <t>Noted</t>
        </is>
      </c>
      <c r="Q15" s="55" t="inlineStr">
        <is>
          <t>2026-08-21</t>
        </is>
      </c>
      <c r="R15" s="55" t="inlineStr">
        <is>
          <t>M. Berenji</t>
        </is>
      </c>
      <c r="T15" s="50">
        <f>IF(A15="","",$B$8)</f>
        <v/>
      </c>
    </row>
    <row r="16" ht="30" customHeight="1" s="24">
      <c r="A16" s="46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IF(A16="","",$B$8)</f>
        <v/>
      </c>
    </row>
    <row r="17" ht="30" customHeight="1" s="24">
      <c r="A17" s="46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IF(A17="","",$B$8)</f>
        <v/>
      </c>
    </row>
    <row r="18" ht="30" customHeight="1" s="24">
      <c r="A18" s="46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IF(A18="","",$B$8)</f>
        <v/>
      </c>
    </row>
    <row r="19" ht="30" customHeight="1" s="24">
      <c r="A19" s="46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IF(A19="","",$B$8)</f>
        <v/>
      </c>
    </row>
    <row r="20" ht="30" customHeight="1" s="24">
      <c r="A20" s="46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IF(A20="","",$B$8)</f>
        <v/>
      </c>
    </row>
    <row r="21" ht="30" customHeight="1" s="24">
      <c r="A21" s="46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IF(A21="","",$B$8)</f>
        <v/>
      </c>
    </row>
    <row r="22" ht="30" customHeight="1" s="24">
      <c r="A22" s="46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IF(A22="","",$B$8)</f>
        <v/>
      </c>
    </row>
    <row r="23" ht="30" customHeight="1" s="24">
      <c r="A23" s="46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IF(A23="","",$B$8)</f>
        <v/>
      </c>
    </row>
    <row r="24" ht="30" customHeight="1" s="24">
      <c r="A24" s="46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IF(A24="","",$B$8)</f>
        <v/>
      </c>
    </row>
    <row r="25" ht="30" customHeight="1" s="24">
      <c r="A25" s="46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IF(A25="","",$B$8)</f>
        <v/>
      </c>
    </row>
    <row r="26" ht="30" customHeight="1" s="24">
      <c r="A26" s="46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IF(A26="","",$B$8)</f>
        <v/>
      </c>
    </row>
    <row r="27" ht="30" customHeight="1" s="24">
      <c r="A27" s="46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IF(A27="","",$B$8)</f>
        <v/>
      </c>
    </row>
    <row r="28" ht="30" customHeight="1" s="24">
      <c r="A28" s="46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IF(A28="","",$B$8)</f>
        <v/>
      </c>
    </row>
    <row r="29" ht="30" customHeight="1" s="24">
      <c r="A29" s="46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IF(A29="","",$B$8)</f>
        <v/>
      </c>
    </row>
    <row r="30" ht="30" customHeight="1" s="24">
      <c r="A30" s="46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IF(A30="","",$B$8)</f>
        <v/>
      </c>
    </row>
    <row r="31" ht="30" customHeight="1" s="24">
      <c r="A31" s="46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IF(A31="","",$B$8)</f>
        <v/>
      </c>
    </row>
    <row r="32" ht="30" customHeight="1" s="24">
      <c r="A32" s="46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IF(A32="","",$B$8)</f>
        <v/>
      </c>
    </row>
    <row r="33" ht="30" customHeight="1" s="24">
      <c r="A33" s="46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IF(A33="","",$B$8)</f>
        <v/>
      </c>
    </row>
    <row r="34">
      <c r="T34" s="50">
        <f>IF(A34="","",$B$8)</f>
        <v/>
      </c>
    </row>
    <row r="35">
      <c r="T35" s="50">
        <f>IF(A35="","",$B$8)</f>
        <v/>
      </c>
    </row>
    <row r="36" ht="19.5" customHeight="1" s="24">
      <c r="A36" s="32" t="inlineStr">
        <is>
          <t>TESTS RUN AND REJECTED  —  record these so nobody re-litigates them in month five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8">
    <mergeCell ref="B7:F7"/>
    <mergeCell ref="B6:F6"/>
    <mergeCell ref="A2:R2"/>
    <mergeCell ref="B5:F5"/>
    <mergeCell ref="A36:R36"/>
    <mergeCell ref="A1:R1"/>
    <mergeCell ref="A4:F4"/>
    <mergeCell ref="A9:R9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2026-08-01T06:11:14Z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