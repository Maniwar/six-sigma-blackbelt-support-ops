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w to use this" sheetId="1" state="visible" r:id="rId3"/>
    <sheet name="FMEA" sheetId="2" state="visible" r:id="rId4"/>
    <sheet name="Scoring guide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<sst xmlns="http://schemas.openxmlformats.org/spreadsheetml/2006/main" count="102" uniqueCount="88">
  <si>
    <t xml:space="preserve">FMEA — Failure Modes and Effects Analysis</t>
  </si>
  <si>
    <t xml:space="preserve">This sheet helps you decide what to fix first. You list everything that can go wrong, score each one three ways, and the workbook multiplies those scores into a single risk number so you can rank them.</t>
  </si>
  <si>
    <t xml:space="preserve">What to do, in order</t>
  </si>
  <si>
    <t xml:space="preserve">1.  Open the FMEA tab. Row 1 is a worked example — read it, then overwrite or delete it.</t>
  </si>
  <si>
    <t xml:space="preserve">2.  In column A, list your process steps. Take them straight from your process map.</t>
  </si>
  <si>
    <t xml:space="preserve">3.  For each step, write what can go wrong (column B) and what that does to the customer (column C).</t>
  </si>
  <si>
    <t xml:space="preserve">4.  Score SEVERITY, OCCURRENCE and DETECTION from 1 to 10 using the Scoring guide tab. The cells will refuse anything outside 1–10.</t>
  </si>
  <si>
    <t xml:space="preserve">5.  RPN calculates itself. Sort by it, highest first.</t>
  </si>
  <si>
    <t xml:space="preserve">6.  Write actions for the worst ones, then re-score in the New SEV / OCC / DET columns after you have made the change.</t>
  </si>
  <si>
    <t xml:space="preserve">Two rules that matter more than the maths</t>
  </si>
  <si>
    <t xml:space="preserve">Never ignore a severity of 9 or 10 just because its RPN is low. A rare catastrophe still needs a control.</t>
  </si>
  <si>
    <t xml:space="preserve">In support, detection is nearly always 8–10, because most failures are only found when the customer contacts you a second time. Score that honestly and your priorities will change completely.</t>
  </si>
  <si>
    <t xml:space="preserve">When you are done</t>
  </si>
  <si>
    <t xml:space="preserve">The failure modes with the highest RPN become candidate root causes to test in the Analyze phase, and the controls you design for them belong in your control plan.</t>
  </si>
  <si>
    <t xml:space="preserve">FMEA  —  Failure Modes and Effects Analysis</t>
  </si>
  <si>
    <t xml:space="preserve">Find the failure modes that will hurt most, and fix those first. RPN and New RPN calculate themselves.</t>
  </si>
  <si>
    <t xml:space="preserve">HOW TO USE THIS SHEET</t>
  </si>
  <si>
    <t xml:space="preserve">Yellow cells</t>
  </si>
  <si>
    <t xml:space="preserve">You fill these in. Blue text = a number you typed.</t>
  </si>
  <si>
    <t xml:space="preserve">Blue cells</t>
  </si>
  <si>
    <t xml:space="preserve">Calculated for you. Do not type over these — they contain formulas.</t>
  </si>
  <si>
    <t xml:space="preserve">Row 1 example</t>
  </si>
  <si>
    <t xml:space="preserve">A realistic worked example, so you can see the expected format. Delete or overwrite it.</t>
  </si>
  <si>
    <t xml:space="preserve">SCORE EACH FAILURE MODE 1–10 ON SEVERITY, OCCURRENCE AND DETECTION. THE SCORING GUIDE IS ON THE NEXT SHEET.</t>
  </si>
  <si>
    <t xml:space="preserve">Process step</t>
  </si>
  <si>
    <t xml:space="preserve">Potential failure mode</t>
  </si>
  <si>
    <t xml:space="preserve">Effect on the customer</t>
  </si>
  <si>
    <t xml:space="preserve">SEV</t>
  </si>
  <si>
    <t xml:space="preserve">Potential cause</t>
  </si>
  <si>
    <t xml:space="preserve">OCC</t>
  </si>
  <si>
    <t xml:space="preserve">Prevention control</t>
  </si>
  <si>
    <t xml:space="preserve">Detection control</t>
  </si>
  <si>
    <t xml:space="preserve">DET</t>
  </si>
  <si>
    <t xml:space="preserve">RPN</t>
  </si>
  <si>
    <t xml:space="preserve">Recommended action</t>
  </si>
  <si>
    <t xml:space="preserve">Owner</t>
  </si>
  <si>
    <t xml:space="preserve">Due</t>
  </si>
  <si>
    <t xml:space="preserve">Action taken</t>
  </si>
  <si>
    <t xml:space="preserve">New SEV</t>
  </si>
  <si>
    <t xml:space="preserve">New OCC</t>
  </si>
  <si>
    <t xml:space="preserve">New DET</t>
  </si>
  <si>
    <t xml:space="preserve">New RPN</t>
  </si>
  <si>
    <t xml:space="preserve">Agent closes a billing ticket</t>
  </si>
  <si>
    <t xml:space="preserve">Adjustment has not posted yet</t>
  </si>
  <si>
    <t xml:space="preserve">Customer discovers it themselves and contacts us again</t>
  </si>
  <si>
    <t xml:space="preserve">System closes the ticket before the posting webhook confirms</t>
  </si>
  <si>
    <t xml:space="preserve">None</t>
  </si>
  <si>
    <t xml:space="preserve">Only detected if the customer complains again</t>
  </si>
  <si>
    <t xml:space="preserve">Block Resolved status until the posting webhook confirms</t>
  </si>
  <si>
    <t xml:space="preserve">Billing Ops</t>
  </si>
  <si>
    <t xml:space="preserve">2026-09-30</t>
  </si>
  <si>
    <t xml:space="preserve">Deferred-close rule shipped</t>
  </si>
  <si>
    <t xml:space="preserve">SUMMARY</t>
  </si>
  <si>
    <t xml:space="preserve">Failure modes logged</t>
  </si>
  <si>
    <t xml:space="preserve">Highest RPN</t>
  </si>
  <si>
    <t xml:space="preserve">Above 200 (act now)</t>
  </si>
  <si>
    <t xml:space="preserve">Severity 9 or 10 (act regardless of RPN)</t>
  </si>
  <si>
    <t xml:space="preserve">Average RPN before</t>
  </si>
  <si>
    <t xml:space="preserve">Average RPN after</t>
  </si>
  <si>
    <t xml:space="preserve">Risk reduction</t>
  </si>
  <si>
    <t xml:space="preserve">KEY INSIGHT FOR SUPPORT: detection is usually terrible (8–10). Most support failures are only detected if the customer complains a second time. Score every step whose only detection mechanism is "the customer contacts us again" as 9 or 10 — that scoring alone reprioritises most support FMEAs.</t>
  </si>
  <si>
    <t xml:space="preserve">How to score severity, occurrence and detection</t>
  </si>
  <si>
    <t xml:space="preserve">Use these anchors so two people scoring the same failure mode land in the same place.</t>
  </si>
  <si>
    <t xml:space="preserve">SEVERITY — how badly does this hurt the customer?</t>
  </si>
  <si>
    <t xml:space="preserve">Score</t>
  </si>
  <si>
    <t xml:space="preserve">What it means</t>
  </si>
  <si>
    <t xml:space="preserve">1–2</t>
  </si>
  <si>
    <t xml:space="preserve">The customer does not notice.</t>
  </si>
  <si>
    <t xml:space="preserve">3–4</t>
  </si>
  <si>
    <t xml:space="preserve">Minor annoyance. No extra effort for the customer.</t>
  </si>
  <si>
    <t xml:space="preserve">5–6</t>
  </si>
  <si>
    <t xml:space="preserve">The customer has to follow up, or wait noticeably longer.</t>
  </si>
  <si>
    <t xml:space="preserve">7–8</t>
  </si>
  <si>
    <t xml:space="preserve">The customer escalates, complains, or becomes a churn risk.</t>
  </si>
  <si>
    <t xml:space="preserve">9–10</t>
  </si>
  <si>
    <t xml:space="preserve">Regulatory breach, safety issue, data exposure, or mass impact.</t>
  </si>
  <si>
    <t xml:space="preserve">OCCURRENCE — how often does it happen?</t>
  </si>
  <si>
    <t xml:space="preserve">Once a year or less.</t>
  </si>
  <si>
    <t xml:space="preserve">About monthly.</t>
  </si>
  <si>
    <t xml:space="preserve">About weekly.</t>
  </si>
  <si>
    <t xml:space="preserve">Daily.</t>
  </si>
  <si>
    <t xml:space="preserve">On most contacts of this type.</t>
  </si>
  <si>
    <t xml:space="preserve">DETECTION — would we catch it before the customer does?  (10 = we would not)</t>
  </si>
  <si>
    <t xml:space="preserve">An automated control blocks it from happening at all.</t>
  </si>
  <si>
    <t xml:space="preserve">The system flags it the moment it occurs.</t>
  </si>
  <si>
    <t xml:space="preserve">QA sampling would catch it eventually.</t>
  </si>
  <si>
    <t xml:space="preserve">A supervisor might spot it.</t>
  </si>
  <si>
    <t xml:space="preserve">Only detected if the customer contacts us again. ← most support failures live here.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</si>
</sst>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.0%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2937"/>
      <name val="Arial"/>
      <family val="0"/>
      <charset val="1"/>
    </font>
    <font>
      <sz val="10"/>
      <color rgb="FF1F2937"/>
      <name val="Arial"/>
      <family val="0"/>
      <charset val="1"/>
    </font>
    <font>
      <b val="true"/>
      <sz val="12"/>
      <color rgb="FFB45309"/>
      <name val="Arial"/>
      <family val="0"/>
      <charset val="1"/>
    </font>
    <font>
      <b val="true"/>
      <sz val="10"/>
      <color rgb="FFB91C1C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i val="true"/>
      <sz val="9"/>
      <color rgb="FF657085"/>
      <name val="Arial"/>
      <family val="0"/>
      <charset val="1"/>
    </font>
    <font>
      <b val="true"/>
      <sz val="9"/>
      <color rgb="FFB45309"/>
      <name val="Arial"/>
      <family val="0"/>
      <charset val="1"/>
    </font>
    <font>
      <sz val="9"/>
      <color rgb="FF1F2937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10"/>
      <color rgb="FF0061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1F2937"/>
      <name val="Arial"/>
      <family val="0"/>
      <charset val="1"/>
    </font>
    <font>
      <b val="true"/>
      <sz val="11"/>
      <color rgb="FF1F2937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8" fillId="3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10" fillId="4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8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3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9C0006"/>
      </font>
      <fill>
        <patternFill>
          <bgColor rgb="FFFDEEEE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FF2CC"/>
      <rgbColor rgb="FF99CCFF"/>
      <rgbColor rgb="FFFF99CC"/>
      <rgbColor rgb="FFCC99FF"/>
      <rgbColor rgb="FFFDEEEE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08"/>
  </cols>
  <sheetData>
    <row r="2" customFormat="false" ht="30" hidden="false" customHeight="true" outlineLevel="0" collapsed="false">
      <c r="B2" s="1" t="s">
        <v>0</v>
      </c>
    </row>
    <row r="3" customFormat="false" ht="39" hidden="false" customHeight="true" outlineLevel="0" collapsed="false">
      <c r="B3" s="2" t="s">
        <v>1</v>
      </c>
    </row>
    <row r="5" customFormat="false" ht="24" hidden="false" customHeight="true" outlineLevel="0" collapsed="false">
      <c r="B5" s="3" t="s">
        <v>2</v>
      </c>
    </row>
    <row r="6" customFormat="false" ht="15" hidden="false" customHeight="true" outlineLevel="0" collapsed="false">
      <c r="B6" s="4" t="s">
        <v>3</v>
      </c>
    </row>
    <row r="7" customFormat="false" ht="15" hidden="false" customHeight="true" outlineLevel="0" collapsed="false">
      <c r="B7" s="4" t="s">
        <v>4</v>
      </c>
    </row>
    <row r="8" customFormat="false" ht="25.5" hidden="false" customHeight="true" outlineLevel="0" collapsed="false">
      <c r="B8" s="4" t="s">
        <v>5</v>
      </c>
    </row>
    <row r="9" customFormat="false" ht="25.5" hidden="false" customHeight="true" outlineLevel="0" collapsed="false">
      <c r="B9" s="4" t="s">
        <v>6</v>
      </c>
    </row>
    <row r="10" customFormat="false" ht="15" hidden="false" customHeight="true" outlineLevel="0" collapsed="false">
      <c r="B10" s="4" t="s">
        <v>7</v>
      </c>
    </row>
    <row r="11" customFormat="false" ht="25.5" hidden="false" customHeight="true" outlineLevel="0" collapsed="false">
      <c r="B11" s="4" t="s">
        <v>8</v>
      </c>
    </row>
    <row r="13" customFormat="false" ht="24" hidden="false" customHeight="true" outlineLevel="0" collapsed="false">
      <c r="B13" s="3" t="s">
        <v>9</v>
      </c>
    </row>
    <row r="14" customFormat="false" ht="25.5" hidden="false" customHeight="true" outlineLevel="0" collapsed="false">
      <c r="B14" s="5" t="s">
        <v>10</v>
      </c>
    </row>
    <row r="15" customFormat="false" ht="39" hidden="false" customHeight="true" outlineLevel="0" collapsed="false">
      <c r="B15" s="5" t="s">
        <v>11</v>
      </c>
    </row>
    <row r="17" customFormat="false" ht="24" hidden="false" customHeight="true" outlineLevel="0" collapsed="false">
      <c r="B17" s="3" t="s">
        <v>12</v>
      </c>
    </row>
    <row r="18" customFormat="false" ht="25.5" hidden="false" customHeight="true" outlineLevel="0" collapsed="false">
      <c r="B18" s="2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6"/>
    <col collapsed="false" customWidth="true" hidden="false" outlineLevel="0" max="3" min="3" style="0" width="28"/>
    <col collapsed="false" customWidth="true" hidden="false" outlineLevel="0" max="4" min="4" style="0" width="6"/>
    <col collapsed="false" customWidth="true" hidden="false" outlineLevel="0" max="5" min="5" style="0" width="26"/>
    <col collapsed="false" customWidth="true" hidden="false" outlineLevel="0" max="6" min="6" style="0" width="6"/>
    <col collapsed="false" customWidth="true" hidden="false" outlineLevel="0" max="8" min="7" style="0" width="24"/>
    <col collapsed="false" customWidth="true" hidden="false" outlineLevel="0" max="9" min="9" style="0" width="6"/>
    <col collapsed="false" customWidth="true" hidden="false" outlineLevel="0" max="10" min="10" style="0" width="8"/>
    <col collapsed="false" customWidth="true" hidden="false" outlineLevel="0" max="11" min="11" style="0" width="30"/>
    <col collapsed="false" customWidth="true" hidden="false" outlineLevel="0" max="12" min="12" style="0" width="14"/>
    <col collapsed="false" customWidth="true" hidden="false" outlineLevel="0" max="13" min="13" style="0" width="11"/>
    <col collapsed="false" customWidth="true" hidden="false" outlineLevel="0" max="14" min="14" style="0" width="26"/>
    <col collapsed="false" customWidth="true" hidden="false" outlineLevel="0" max="17" min="15" style="0" width="8"/>
    <col collapsed="false" customWidth="true" hidden="false" outlineLevel="0" max="18" min="18" style="0" width="9"/>
  </cols>
  <sheetData>
    <row r="1" customFormat="false" ht="25.5" hidden="false" customHeight="true" outlineLevel="0" collapsed="false">
      <c r="A1" s="6" t="s">
        <v>14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</row>
    <row r="2" customFormat="false" ht="27.75" hidden="false" customHeight="true" outlineLevel="0" collapsed="false">
      <c r="A2" s="7" t="s">
        <v>15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</row>
    <row r="4" customFormat="false" ht="19.5" hidden="false" customHeight="true" outlineLevel="0" collapsed="false">
      <c r="A4" s="8" t="s">
        <v>16</v>
      </c>
      <c r="B4" s="8"/>
      <c r="C4" s="8"/>
      <c r="D4" s="8"/>
      <c r="E4" s="8"/>
      <c r="F4" s="8"/>
    </row>
    <row r="5" customFormat="false" ht="15" hidden="false" customHeight="false" outlineLevel="0" collapsed="false">
      <c r="A5" s="9" t="s">
        <v>17</v>
      </c>
      <c r="B5" s="10" t="s">
        <v>18</v>
      </c>
      <c r="C5" s="10"/>
      <c r="D5" s="10"/>
      <c r="E5" s="10"/>
      <c r="F5" s="10"/>
    </row>
    <row r="6" customFormat="false" ht="15" hidden="false" customHeight="false" outlineLevel="0" collapsed="false">
      <c r="A6" s="11" t="s">
        <v>19</v>
      </c>
      <c r="B6" s="10" t="s">
        <v>20</v>
      </c>
      <c r="C6" s="10"/>
      <c r="D6" s="10"/>
      <c r="E6" s="10"/>
      <c r="F6" s="10"/>
    </row>
    <row r="7" customFormat="false" ht="15" hidden="false" customHeight="false" outlineLevel="0" collapsed="false">
      <c r="A7" s="12" t="s">
        <v>21</v>
      </c>
      <c r="B7" s="10" t="s">
        <v>22</v>
      </c>
      <c r="C7" s="10"/>
      <c r="D7" s="10"/>
      <c r="E7" s="10"/>
      <c r="F7" s="10"/>
    </row>
    <row r="9" customFormat="false" ht="19.5" hidden="false" customHeight="true" outlineLevel="0" collapsed="false">
      <c r="A9" s="8" t="s">
        <v>23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</row>
    <row r="10" customFormat="false" ht="31.5" hidden="false" customHeight="true" outlineLevel="0" collapsed="false">
      <c r="A10" s="13" t="s">
        <v>24</v>
      </c>
      <c r="B10" s="13" t="s">
        <v>25</v>
      </c>
      <c r="C10" s="13" t="s">
        <v>26</v>
      </c>
      <c r="D10" s="13" t="s">
        <v>27</v>
      </c>
      <c r="E10" s="13" t="s">
        <v>28</v>
      </c>
      <c r="F10" s="13" t="s">
        <v>29</v>
      </c>
      <c r="G10" s="13" t="s">
        <v>30</v>
      </c>
      <c r="H10" s="13" t="s">
        <v>31</v>
      </c>
      <c r="I10" s="13" t="s">
        <v>32</v>
      </c>
      <c r="J10" s="13" t="s">
        <v>33</v>
      </c>
      <c r="K10" s="13" t="s">
        <v>34</v>
      </c>
      <c r="L10" s="13" t="s">
        <v>35</v>
      </c>
      <c r="M10" s="13" t="s">
        <v>36</v>
      </c>
      <c r="N10" s="13" t="s">
        <v>37</v>
      </c>
      <c r="O10" s="13" t="s">
        <v>38</v>
      </c>
      <c r="P10" s="13" t="s">
        <v>39</v>
      </c>
      <c r="Q10" s="13" t="s">
        <v>40</v>
      </c>
      <c r="R10" s="13" t="s">
        <v>41</v>
      </c>
    </row>
    <row r="11" customFormat="false" ht="45.75" hidden="false" customHeight="true" outlineLevel="0" collapsed="false">
      <c r="A11" s="14" t="s">
        <v>42</v>
      </c>
      <c r="B11" s="14" t="s">
        <v>43</v>
      </c>
      <c r="C11" s="14" t="s">
        <v>44</v>
      </c>
      <c r="D11" s="14" t="n">
        <v>7</v>
      </c>
      <c r="E11" s="14" t="s">
        <v>45</v>
      </c>
      <c r="F11" s="14" t="n">
        <v>8</v>
      </c>
      <c r="G11" s="14" t="s">
        <v>46</v>
      </c>
      <c r="H11" s="14" t="s">
        <v>47</v>
      </c>
      <c r="I11" s="14" t="n">
        <v>9</v>
      </c>
      <c r="J11" s="15" t="n">
        <f aca="false">IF(COUNT(D11,F11,I11)=3,D11*F11*I11,"")</f>
        <v>504</v>
      </c>
      <c r="K11" s="14" t="s">
        <v>48</v>
      </c>
      <c r="L11" s="14" t="s">
        <v>49</v>
      </c>
      <c r="M11" s="14" t="s">
        <v>50</v>
      </c>
      <c r="N11" s="14" t="s">
        <v>51</v>
      </c>
      <c r="O11" s="14" t="n">
        <v>7</v>
      </c>
      <c r="P11" s="14" t="n">
        <v>2</v>
      </c>
      <c r="Q11" s="14" t="n">
        <v>3</v>
      </c>
      <c r="R11" s="14" t="n">
        <f aca="false">IF(COUNT(O11,P11,Q11)=3,O11*P11*Q11,"")</f>
        <v>42</v>
      </c>
    </row>
    <row r="12" customFormat="false" ht="30" hidden="false" customHeight="true" outlineLevel="0" collapsed="false">
      <c r="A12" s="16"/>
      <c r="B12" s="16"/>
      <c r="C12" s="16"/>
      <c r="D12" s="16"/>
      <c r="E12" s="16"/>
      <c r="F12" s="16"/>
      <c r="G12" s="16"/>
      <c r="H12" s="16"/>
      <c r="I12" s="16"/>
      <c r="J12" s="17" t="str">
        <f aca="false">IF(COUNT(D12,F12,I12)=3,D12*F12*I12,"")</f>
        <v/>
      </c>
      <c r="K12" s="16"/>
      <c r="L12" s="16"/>
      <c r="M12" s="16"/>
      <c r="N12" s="16"/>
      <c r="O12" s="16"/>
      <c r="P12" s="16"/>
      <c r="Q12" s="16"/>
      <c r="R12" s="17" t="str">
        <f aca="false">IF(COUNT(O12,P12,Q12)=3,O12*P12*Q12,"")</f>
        <v/>
      </c>
    </row>
    <row r="13" customFormat="false" ht="30" hidden="false" customHeight="true" outlineLevel="0" collapsed="false">
      <c r="A13" s="16"/>
      <c r="B13" s="16"/>
      <c r="C13" s="16"/>
      <c r="D13" s="16"/>
      <c r="E13" s="16"/>
      <c r="F13" s="16"/>
      <c r="G13" s="16"/>
      <c r="H13" s="16"/>
      <c r="I13" s="16"/>
      <c r="J13" s="17" t="str">
        <f aca="false">IF(COUNT(D13,F13,I13)=3,D13*F13*I13,"")</f>
        <v/>
      </c>
      <c r="K13" s="16"/>
      <c r="L13" s="16"/>
      <c r="M13" s="16"/>
      <c r="N13" s="16"/>
      <c r="O13" s="16"/>
      <c r="P13" s="16"/>
      <c r="Q13" s="16"/>
      <c r="R13" s="17" t="str">
        <f aca="false">IF(COUNT(O13,P13,Q13)=3,O13*P13*Q13,"")</f>
        <v/>
      </c>
    </row>
    <row r="14" customFormat="false" ht="30" hidden="false" customHeight="true" outlineLevel="0" collapsed="false">
      <c r="A14" s="16"/>
      <c r="B14" s="16"/>
      <c r="C14" s="16"/>
      <c r="D14" s="16"/>
      <c r="E14" s="16"/>
      <c r="F14" s="16"/>
      <c r="G14" s="16"/>
      <c r="H14" s="16"/>
      <c r="I14" s="16"/>
      <c r="J14" s="17" t="str">
        <f aca="false">IF(COUNT(D14,F14,I14)=3,D14*F14*I14,"")</f>
        <v/>
      </c>
      <c r="K14" s="16"/>
      <c r="L14" s="16"/>
      <c r="M14" s="16"/>
      <c r="N14" s="16"/>
      <c r="O14" s="16"/>
      <c r="P14" s="16"/>
      <c r="Q14" s="16"/>
      <c r="R14" s="17" t="str">
        <f aca="false">IF(COUNT(O14,P14,Q14)=3,O14*P14*Q14,"")</f>
        <v/>
      </c>
    </row>
    <row r="15" customFormat="false" ht="30" hidden="false" customHeight="true" outlineLevel="0" collapsed="false">
      <c r="A15" s="16"/>
      <c r="B15" s="16"/>
      <c r="C15" s="16"/>
      <c r="D15" s="16"/>
      <c r="E15" s="16"/>
      <c r="F15" s="16"/>
      <c r="G15" s="16"/>
      <c r="H15" s="16"/>
      <c r="I15" s="16"/>
      <c r="J15" s="17" t="str">
        <f aca="false">IF(COUNT(D15,F15,I15)=3,D15*F15*I15,"")</f>
        <v/>
      </c>
      <c r="K15" s="16"/>
      <c r="L15" s="16"/>
      <c r="M15" s="16"/>
      <c r="N15" s="16"/>
      <c r="O15" s="16"/>
      <c r="P15" s="16"/>
      <c r="Q15" s="16"/>
      <c r="R15" s="17" t="str">
        <f aca="false">IF(COUNT(O15,P15,Q15)=3,O15*P15*Q15,"")</f>
        <v/>
      </c>
    </row>
    <row r="16" customFormat="false" ht="30" hidden="false" customHeight="true" outlineLevel="0" collapsed="false">
      <c r="A16" s="16"/>
      <c r="B16" s="16"/>
      <c r="C16" s="16"/>
      <c r="D16" s="16"/>
      <c r="E16" s="16"/>
      <c r="F16" s="16"/>
      <c r="G16" s="16"/>
      <c r="H16" s="16"/>
      <c r="I16" s="16"/>
      <c r="J16" s="17" t="str">
        <f aca="false">IF(COUNT(D16,F16,I16)=3,D16*F16*I16,"")</f>
        <v/>
      </c>
      <c r="K16" s="16"/>
      <c r="L16" s="16"/>
      <c r="M16" s="16"/>
      <c r="N16" s="16"/>
      <c r="O16" s="16"/>
      <c r="P16" s="16"/>
      <c r="Q16" s="16"/>
      <c r="R16" s="17" t="str">
        <f aca="false">IF(COUNT(O16,P16,Q16)=3,O16*P16*Q16,"")</f>
        <v/>
      </c>
    </row>
    <row r="17" customFormat="false" ht="30" hidden="false" customHeight="true" outlineLevel="0" collapsed="false">
      <c r="A17" s="16"/>
      <c r="B17" s="16"/>
      <c r="C17" s="16"/>
      <c r="D17" s="16"/>
      <c r="E17" s="16"/>
      <c r="F17" s="16"/>
      <c r="G17" s="16"/>
      <c r="H17" s="16"/>
      <c r="I17" s="16"/>
      <c r="J17" s="17" t="str">
        <f aca="false">IF(COUNT(D17,F17,I17)=3,D17*F17*I17,"")</f>
        <v/>
      </c>
      <c r="K17" s="16"/>
      <c r="L17" s="16"/>
      <c r="M17" s="16"/>
      <c r="N17" s="16"/>
      <c r="O17" s="16"/>
      <c r="P17" s="16"/>
      <c r="Q17" s="16"/>
      <c r="R17" s="17" t="str">
        <f aca="false">IF(COUNT(O17,P17,Q17)=3,O17*P17*Q17,"")</f>
        <v/>
      </c>
    </row>
    <row r="18" customFormat="false" ht="30" hidden="false" customHeight="true" outlineLevel="0" collapsed="false">
      <c r="A18" s="16"/>
      <c r="B18" s="16"/>
      <c r="C18" s="16"/>
      <c r="D18" s="16"/>
      <c r="E18" s="16"/>
      <c r="F18" s="16"/>
      <c r="G18" s="16"/>
      <c r="H18" s="16"/>
      <c r="I18" s="16"/>
      <c r="J18" s="17" t="str">
        <f aca="false">IF(COUNT(D18,F18,I18)=3,D18*F18*I18,"")</f>
        <v/>
      </c>
      <c r="K18" s="16"/>
      <c r="L18" s="16"/>
      <c r="M18" s="16"/>
      <c r="N18" s="16"/>
      <c r="O18" s="16"/>
      <c r="P18" s="16"/>
      <c r="Q18" s="16"/>
      <c r="R18" s="17" t="str">
        <f aca="false">IF(COUNT(O18,P18,Q18)=3,O18*P18*Q18,"")</f>
        <v/>
      </c>
    </row>
    <row r="19" customFormat="false" ht="30" hidden="false" customHeight="true" outlineLevel="0" collapsed="false">
      <c r="A19" s="16"/>
      <c r="B19" s="16"/>
      <c r="C19" s="16"/>
      <c r="D19" s="16"/>
      <c r="E19" s="16"/>
      <c r="F19" s="16"/>
      <c r="G19" s="16"/>
      <c r="H19" s="16"/>
      <c r="I19" s="16"/>
      <c r="J19" s="17" t="str">
        <f aca="false">IF(COUNT(D19,F19,I19)=3,D19*F19*I19,"")</f>
        <v/>
      </c>
      <c r="K19" s="16"/>
      <c r="L19" s="16"/>
      <c r="M19" s="16"/>
      <c r="N19" s="16"/>
      <c r="O19" s="16"/>
      <c r="P19" s="16"/>
      <c r="Q19" s="16"/>
      <c r="R19" s="17" t="str">
        <f aca="false">IF(COUNT(O19,P19,Q19)=3,O19*P19*Q19,"")</f>
        <v/>
      </c>
    </row>
    <row r="20" customFormat="false" ht="30" hidden="false" customHeight="true" outlineLevel="0" collapsed="false">
      <c r="A20" s="16"/>
      <c r="B20" s="16"/>
      <c r="C20" s="16"/>
      <c r="D20" s="16"/>
      <c r="E20" s="16"/>
      <c r="F20" s="16"/>
      <c r="G20" s="16"/>
      <c r="H20" s="16"/>
      <c r="I20" s="16"/>
      <c r="J20" s="17" t="str">
        <f aca="false">IF(COUNT(D20,F20,I20)=3,D20*F20*I20,"")</f>
        <v/>
      </c>
      <c r="K20" s="16"/>
      <c r="L20" s="16"/>
      <c r="M20" s="16"/>
      <c r="N20" s="16"/>
      <c r="O20" s="16"/>
      <c r="P20" s="16"/>
      <c r="Q20" s="16"/>
      <c r="R20" s="17" t="str">
        <f aca="false">IF(COUNT(O20,P20,Q20)=3,O20*P20*Q20,"")</f>
        <v/>
      </c>
    </row>
    <row r="21" customFormat="false" ht="30" hidden="false" customHeight="true" outlineLevel="0" collapsed="false">
      <c r="A21" s="16"/>
      <c r="B21" s="16"/>
      <c r="C21" s="16"/>
      <c r="D21" s="16"/>
      <c r="E21" s="16"/>
      <c r="F21" s="16"/>
      <c r="G21" s="16"/>
      <c r="H21" s="16"/>
      <c r="I21" s="16"/>
      <c r="J21" s="17" t="str">
        <f aca="false">IF(COUNT(D21,F21,I21)=3,D21*F21*I21,"")</f>
        <v/>
      </c>
      <c r="K21" s="16"/>
      <c r="L21" s="16"/>
      <c r="M21" s="16"/>
      <c r="N21" s="16"/>
      <c r="O21" s="16"/>
      <c r="P21" s="16"/>
      <c r="Q21" s="16"/>
      <c r="R21" s="17" t="str">
        <f aca="false">IF(COUNT(O21,P21,Q21)=3,O21*P21*Q21,"")</f>
        <v/>
      </c>
    </row>
    <row r="22" customFormat="false" ht="30" hidden="false" customHeight="true" outlineLevel="0" collapsed="false">
      <c r="A22" s="16"/>
      <c r="B22" s="16"/>
      <c r="C22" s="16"/>
      <c r="D22" s="16"/>
      <c r="E22" s="16"/>
      <c r="F22" s="16"/>
      <c r="G22" s="16"/>
      <c r="H22" s="16"/>
      <c r="I22" s="16"/>
      <c r="J22" s="17" t="str">
        <f aca="false">IF(COUNT(D22,F22,I22)=3,D22*F22*I22,"")</f>
        <v/>
      </c>
      <c r="K22" s="16"/>
      <c r="L22" s="16"/>
      <c r="M22" s="16"/>
      <c r="N22" s="16"/>
      <c r="O22" s="16"/>
      <c r="P22" s="16"/>
      <c r="Q22" s="16"/>
      <c r="R22" s="17" t="str">
        <f aca="false">IF(COUNT(O22,P22,Q22)=3,O22*P22*Q22,"")</f>
        <v/>
      </c>
    </row>
    <row r="23" customFormat="false" ht="30" hidden="false" customHeight="true" outlineLevel="0" collapsed="false">
      <c r="A23" s="16"/>
      <c r="B23" s="16"/>
      <c r="C23" s="16"/>
      <c r="D23" s="16"/>
      <c r="E23" s="16"/>
      <c r="F23" s="16"/>
      <c r="G23" s="16"/>
      <c r="H23" s="16"/>
      <c r="I23" s="16"/>
      <c r="J23" s="17" t="str">
        <f aca="false">IF(COUNT(D23,F23,I23)=3,D23*F23*I23,"")</f>
        <v/>
      </c>
      <c r="K23" s="16"/>
      <c r="L23" s="16"/>
      <c r="M23" s="16"/>
      <c r="N23" s="16"/>
      <c r="O23" s="16"/>
      <c r="P23" s="16"/>
      <c r="Q23" s="16"/>
      <c r="R23" s="17" t="str">
        <f aca="false">IF(COUNT(O23,P23,Q23)=3,O23*P23*Q23,"")</f>
        <v/>
      </c>
    </row>
    <row r="24" customFormat="false" ht="30" hidden="false" customHeight="true" outlineLevel="0" collapsed="false">
      <c r="A24" s="16"/>
      <c r="B24" s="16"/>
      <c r="C24" s="16"/>
      <c r="D24" s="16"/>
      <c r="E24" s="16"/>
      <c r="F24" s="16"/>
      <c r="G24" s="16"/>
      <c r="H24" s="16"/>
      <c r="I24" s="16"/>
      <c r="J24" s="17" t="str">
        <f aca="false">IF(COUNT(D24,F24,I24)=3,D24*F24*I24,"")</f>
        <v/>
      </c>
      <c r="K24" s="16"/>
      <c r="L24" s="16"/>
      <c r="M24" s="16"/>
      <c r="N24" s="16"/>
      <c r="O24" s="16"/>
      <c r="P24" s="16"/>
      <c r="Q24" s="16"/>
      <c r="R24" s="17" t="str">
        <f aca="false">IF(COUNT(O24,P24,Q24)=3,O24*P24*Q24,"")</f>
        <v/>
      </c>
    </row>
    <row r="25" customFormat="false" ht="30" hidden="false" customHeight="true" outlineLevel="0" collapsed="false">
      <c r="A25" s="16"/>
      <c r="B25" s="16"/>
      <c r="C25" s="16"/>
      <c r="D25" s="16"/>
      <c r="E25" s="16"/>
      <c r="F25" s="16"/>
      <c r="G25" s="16"/>
      <c r="H25" s="16"/>
      <c r="I25" s="16"/>
      <c r="J25" s="17" t="str">
        <f aca="false">IF(COUNT(D25,F25,I25)=3,D25*F25*I25,"")</f>
        <v/>
      </c>
      <c r="K25" s="16"/>
      <c r="L25" s="16"/>
      <c r="M25" s="16"/>
      <c r="N25" s="16"/>
      <c r="O25" s="16"/>
      <c r="P25" s="16"/>
      <c r="Q25" s="16"/>
      <c r="R25" s="17" t="str">
        <f aca="false">IF(COUNT(O25,P25,Q25)=3,O25*P25*Q25,"")</f>
        <v/>
      </c>
    </row>
    <row r="26" customFormat="false" ht="30" hidden="false" customHeight="true" outlineLevel="0" collapsed="false">
      <c r="A26" s="16"/>
      <c r="B26" s="16"/>
      <c r="C26" s="16"/>
      <c r="D26" s="16"/>
      <c r="E26" s="16"/>
      <c r="F26" s="16"/>
      <c r="G26" s="16"/>
      <c r="H26" s="16"/>
      <c r="I26" s="16"/>
      <c r="J26" s="17" t="str">
        <f aca="false">IF(COUNT(D26,F26,I26)=3,D26*F26*I26,"")</f>
        <v/>
      </c>
      <c r="K26" s="16"/>
      <c r="L26" s="16"/>
      <c r="M26" s="16"/>
      <c r="N26" s="16"/>
      <c r="O26" s="16"/>
      <c r="P26" s="16"/>
      <c r="Q26" s="16"/>
      <c r="R26" s="17" t="str">
        <f aca="false">IF(COUNT(O26,P26,Q26)=3,O26*P26*Q26,"")</f>
        <v/>
      </c>
    </row>
    <row r="27" customFormat="false" ht="30" hidden="false" customHeight="true" outlineLevel="0" collapsed="false">
      <c r="A27" s="16"/>
      <c r="B27" s="16"/>
      <c r="C27" s="16"/>
      <c r="D27" s="16"/>
      <c r="E27" s="16"/>
      <c r="F27" s="16"/>
      <c r="G27" s="16"/>
      <c r="H27" s="16"/>
      <c r="I27" s="16"/>
      <c r="J27" s="17" t="str">
        <f aca="false">IF(COUNT(D27,F27,I27)=3,D27*F27*I27,"")</f>
        <v/>
      </c>
      <c r="K27" s="16"/>
      <c r="L27" s="16"/>
      <c r="M27" s="16"/>
      <c r="N27" s="16"/>
      <c r="O27" s="16"/>
      <c r="P27" s="16"/>
      <c r="Q27" s="16"/>
      <c r="R27" s="17" t="str">
        <f aca="false">IF(COUNT(O27,P27,Q27)=3,O27*P27*Q27,"")</f>
        <v/>
      </c>
    </row>
    <row r="28" customFormat="false" ht="30" hidden="false" customHeight="true" outlineLevel="0" collapsed="false">
      <c r="A28" s="16"/>
      <c r="B28" s="16"/>
      <c r="C28" s="16"/>
      <c r="D28" s="16"/>
      <c r="E28" s="16"/>
      <c r="F28" s="16"/>
      <c r="G28" s="16"/>
      <c r="H28" s="16"/>
      <c r="I28" s="16"/>
      <c r="J28" s="17" t="str">
        <f aca="false">IF(COUNT(D28,F28,I28)=3,D28*F28*I28,"")</f>
        <v/>
      </c>
      <c r="K28" s="16"/>
      <c r="L28" s="16"/>
      <c r="M28" s="16"/>
      <c r="N28" s="16"/>
      <c r="O28" s="16"/>
      <c r="P28" s="16"/>
      <c r="Q28" s="16"/>
      <c r="R28" s="17" t="str">
        <f aca="false">IF(COUNT(O28,P28,Q28)=3,O28*P28*Q28,"")</f>
        <v/>
      </c>
    </row>
    <row r="29" customFormat="false" ht="30" hidden="false" customHeight="true" outlineLevel="0" collapsed="false">
      <c r="A29" s="16"/>
      <c r="B29" s="16"/>
      <c r="C29" s="16"/>
      <c r="D29" s="16"/>
      <c r="E29" s="16"/>
      <c r="F29" s="16"/>
      <c r="G29" s="16"/>
      <c r="H29" s="16"/>
      <c r="I29" s="16"/>
      <c r="J29" s="17" t="str">
        <f aca="false">IF(COUNT(D29,F29,I29)=3,D29*F29*I29,"")</f>
        <v/>
      </c>
      <c r="K29" s="16"/>
      <c r="L29" s="16"/>
      <c r="M29" s="16"/>
      <c r="N29" s="16"/>
      <c r="O29" s="16"/>
      <c r="P29" s="16"/>
      <c r="Q29" s="16"/>
      <c r="R29" s="17" t="str">
        <f aca="false">IF(COUNT(O29,P29,Q29)=3,O29*P29*Q29,"")</f>
        <v/>
      </c>
    </row>
    <row r="30" customFormat="false" ht="30" hidden="false" customHeight="true" outlineLevel="0" collapsed="false">
      <c r="A30" s="16"/>
      <c r="B30" s="16"/>
      <c r="C30" s="16"/>
      <c r="D30" s="16"/>
      <c r="E30" s="16"/>
      <c r="F30" s="16"/>
      <c r="G30" s="16"/>
      <c r="H30" s="16"/>
      <c r="I30" s="16"/>
      <c r="J30" s="17" t="str">
        <f aca="false">IF(COUNT(D30,F30,I30)=3,D30*F30*I30,"")</f>
        <v/>
      </c>
      <c r="K30" s="16"/>
      <c r="L30" s="16"/>
      <c r="M30" s="16"/>
      <c r="N30" s="16"/>
      <c r="O30" s="16"/>
      <c r="P30" s="16"/>
      <c r="Q30" s="16"/>
      <c r="R30" s="17" t="str">
        <f aca="false">IF(COUNT(O30,P30,Q30)=3,O30*P30*Q30,"")</f>
        <v/>
      </c>
    </row>
    <row r="31" customFormat="false" ht="30" hidden="false" customHeight="true" outlineLevel="0" collapsed="false">
      <c r="A31" s="16"/>
      <c r="B31" s="16"/>
      <c r="C31" s="16"/>
      <c r="D31" s="16"/>
      <c r="E31" s="16"/>
      <c r="F31" s="16"/>
      <c r="G31" s="16"/>
      <c r="H31" s="16"/>
      <c r="I31" s="16"/>
      <c r="J31" s="17" t="str">
        <f aca="false">IF(COUNT(D31,F31,I31)=3,D31*F31*I31,"")</f>
        <v/>
      </c>
      <c r="K31" s="16"/>
      <c r="L31" s="16"/>
      <c r="M31" s="16"/>
      <c r="N31" s="16"/>
      <c r="O31" s="16"/>
      <c r="P31" s="16"/>
      <c r="Q31" s="16"/>
      <c r="R31" s="17" t="str">
        <f aca="false">IF(COUNT(O31,P31,Q31)=3,O31*P31*Q31,"")</f>
        <v/>
      </c>
    </row>
    <row r="32" customFormat="false" ht="30" hidden="false" customHeight="true" outlineLevel="0" collapsed="false">
      <c r="A32" s="16"/>
      <c r="B32" s="16"/>
      <c r="C32" s="16"/>
      <c r="D32" s="16"/>
      <c r="E32" s="16"/>
      <c r="F32" s="16"/>
      <c r="G32" s="16"/>
      <c r="H32" s="16"/>
      <c r="I32" s="16"/>
      <c r="J32" s="17" t="str">
        <f aca="false">IF(COUNT(D32,F32,I32)=3,D32*F32*I32,"")</f>
        <v/>
      </c>
      <c r="K32" s="16"/>
      <c r="L32" s="16"/>
      <c r="M32" s="16"/>
      <c r="N32" s="16"/>
      <c r="O32" s="16"/>
      <c r="P32" s="16"/>
      <c r="Q32" s="16"/>
      <c r="R32" s="17" t="str">
        <f aca="false">IF(COUNT(O32,P32,Q32)=3,O32*P32*Q32,"")</f>
        <v/>
      </c>
    </row>
    <row r="33" customFormat="false" ht="30" hidden="false" customHeight="true" outlineLevel="0" collapsed="false">
      <c r="A33" s="16"/>
      <c r="B33" s="16"/>
      <c r="C33" s="16"/>
      <c r="D33" s="16"/>
      <c r="E33" s="16"/>
      <c r="F33" s="16"/>
      <c r="G33" s="16"/>
      <c r="H33" s="16"/>
      <c r="I33" s="16"/>
      <c r="J33" s="17" t="str">
        <f aca="false">IF(COUNT(D33,F33,I33)=3,D33*F33*I33,"")</f>
        <v/>
      </c>
      <c r="K33" s="16"/>
      <c r="L33" s="16"/>
      <c r="M33" s="16"/>
      <c r="N33" s="16"/>
      <c r="O33" s="16"/>
      <c r="P33" s="16"/>
      <c r="Q33" s="16"/>
      <c r="R33" s="17" t="str">
        <f aca="false">IF(COUNT(O33,P33,Q33)=3,O33*P33*Q33,"")</f>
        <v/>
      </c>
    </row>
    <row r="34" customFormat="false" ht="30" hidden="false" customHeight="true" outlineLevel="0" collapsed="false">
      <c r="A34" s="16"/>
      <c r="B34" s="16"/>
      <c r="C34" s="16"/>
      <c r="D34" s="16"/>
      <c r="E34" s="16"/>
      <c r="F34" s="16"/>
      <c r="G34" s="16"/>
      <c r="H34" s="16"/>
      <c r="I34" s="16"/>
      <c r="J34" s="17" t="str">
        <f aca="false">IF(COUNT(D34,F34,I34)=3,D34*F34*I34,"")</f>
        <v/>
      </c>
      <c r="K34" s="16"/>
      <c r="L34" s="16"/>
      <c r="M34" s="16"/>
      <c r="N34" s="16"/>
      <c r="O34" s="16"/>
      <c r="P34" s="16"/>
      <c r="Q34" s="16"/>
      <c r="R34" s="17" t="str">
        <f aca="false">IF(COUNT(O34,P34,Q34)=3,O34*P34*Q34,"")</f>
        <v/>
      </c>
    </row>
    <row r="35" customFormat="false" ht="30" hidden="false" customHeight="true" outlineLevel="0" collapsed="false">
      <c r="A35" s="16"/>
      <c r="B35" s="16"/>
      <c r="C35" s="16"/>
      <c r="D35" s="16"/>
      <c r="E35" s="16"/>
      <c r="F35" s="16"/>
      <c r="G35" s="16"/>
      <c r="H35" s="16"/>
      <c r="I35" s="16"/>
      <c r="J35" s="17" t="str">
        <f aca="false">IF(COUNT(D35,F35,I35)=3,D35*F35*I35,"")</f>
        <v/>
      </c>
      <c r="K35" s="16"/>
      <c r="L35" s="16"/>
      <c r="M35" s="16"/>
      <c r="N35" s="16"/>
      <c r="O35" s="16"/>
      <c r="P35" s="16"/>
      <c r="Q35" s="16"/>
      <c r="R35" s="17" t="str">
        <f aca="false">IF(COUNT(O35,P35,Q35)=3,O35*P35*Q35,"")</f>
        <v/>
      </c>
    </row>
    <row r="37" customFormat="false" ht="19.5" hidden="false" customHeight="true" outlineLevel="0" collapsed="false">
      <c r="A37" s="8" t="s">
        <v>52</v>
      </c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</row>
    <row r="38" customFormat="false" ht="15" hidden="false" customHeight="false" outlineLevel="0" collapsed="false">
      <c r="A38" s="18" t="s">
        <v>53</v>
      </c>
      <c r="B38" s="18"/>
      <c r="C38" s="18"/>
      <c r="D38" s="19" t="n">
        <f aca="false">COUNTA(A11:A35)</f>
        <v>1</v>
      </c>
    </row>
    <row r="39" customFormat="false" ht="15" hidden="false" customHeight="false" outlineLevel="0" collapsed="false">
      <c r="A39" s="18" t="s">
        <v>54</v>
      </c>
      <c r="B39" s="18"/>
      <c r="C39" s="18"/>
      <c r="D39" s="19" t="n">
        <f aca="false">IFERROR(MAX(J11:J35),0)</f>
        <v>504</v>
      </c>
    </row>
    <row r="40" customFormat="false" ht="15" hidden="false" customHeight="false" outlineLevel="0" collapsed="false">
      <c r="A40" s="18" t="s">
        <v>55</v>
      </c>
      <c r="B40" s="18"/>
      <c r="C40" s="18"/>
      <c r="D40" s="19" t="n">
        <f aca="false">COUNTIF(J11:J35,"&gt;=200")</f>
        <v>1</v>
      </c>
    </row>
    <row r="41" customFormat="false" ht="15" hidden="false" customHeight="false" outlineLevel="0" collapsed="false">
      <c r="A41" s="18" t="s">
        <v>56</v>
      </c>
      <c r="B41" s="18"/>
      <c r="C41" s="18"/>
      <c r="D41" s="19" t="n">
        <f aca="false">COUNTIF(D11:D35,"&gt;=9")</f>
        <v>0</v>
      </c>
    </row>
    <row r="42" customFormat="false" ht="15" hidden="false" customHeight="false" outlineLevel="0" collapsed="false">
      <c r="A42" s="18" t="s">
        <v>57</v>
      </c>
      <c r="B42" s="18"/>
      <c r="C42" s="18"/>
      <c r="D42" s="19" t="n">
        <f aca="false">IFERROR(AVERAGE(J11:J35),0)</f>
        <v>504</v>
      </c>
    </row>
    <row r="43" customFormat="false" ht="15" hidden="false" customHeight="false" outlineLevel="0" collapsed="false">
      <c r="A43" s="18" t="s">
        <v>58</v>
      </c>
      <c r="B43" s="18"/>
      <c r="C43" s="18"/>
      <c r="D43" s="19" t="n">
        <f aca="false">IFERROR(AVERAGE(R11:R35),0)</f>
        <v>42</v>
      </c>
    </row>
    <row r="44" customFormat="false" ht="15" hidden="false" customHeight="false" outlineLevel="0" collapsed="false">
      <c r="A44" s="18" t="s">
        <v>59</v>
      </c>
      <c r="B44" s="18"/>
      <c r="C44" s="18"/>
      <c r="D44" s="20" t="n">
        <f aca="false">IFERROR(1-AVERAGE(R11:R35)/AVERAGE(J11:J35),"")</f>
        <v>0.916666666666667</v>
      </c>
    </row>
    <row r="46" customFormat="false" ht="39" hidden="false" customHeight="true" outlineLevel="0" collapsed="false">
      <c r="A46" s="21" t="s">
        <v>60</v>
      </c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</row>
  </sheetData>
  <mergeCells count="16">
    <mergeCell ref="A1:R1"/>
    <mergeCell ref="A2:R2"/>
    <mergeCell ref="A4:F4"/>
    <mergeCell ref="B5:F5"/>
    <mergeCell ref="B6:F6"/>
    <mergeCell ref="B7:F7"/>
    <mergeCell ref="A9:R9"/>
    <mergeCell ref="A37:R37"/>
    <mergeCell ref="A38:C38"/>
    <mergeCell ref="A39:C39"/>
    <mergeCell ref="A40:C40"/>
    <mergeCell ref="A41:C41"/>
    <mergeCell ref="A42:C42"/>
    <mergeCell ref="A43:C43"/>
    <mergeCell ref="A44:C44"/>
    <mergeCell ref="A46:R46"/>
  </mergeCells>
  <conditionalFormatting sqref="J11:J35">
    <cfRule type="cellIs" priority="2" operator="greaterThanOrEqual" aboveAverage="0" equalAverage="0" bottom="0" percent="0" rank="0" text="" dxfId="0">
      <formula>200</formula>
    </cfRule>
    <cfRule type="cellIs" priority="3" operator="between" aboveAverage="0" equalAverage="0" bottom="0" percent="0" rank="0" text="" dxfId="1">
      <formula>100</formula>
      <formula>199</formula>
    </cfRule>
  </conditionalFormatting>
  <conditionalFormatting sqref="D11:D35">
    <cfRule type="cellIs" priority="4" operator="greaterThanOrEqual" aboveAverage="0" equalAverage="0" bottom="0" percent="0" rank="0" text="" dxfId="0">
      <formula>9</formula>
    </cfRule>
  </conditionalFormatting>
  <dataValidations count="1">
    <dataValidation allowBlank="true" error="Severity, occurrence and detection are each scored 1 to 10. See the scoring guide sheet." errorStyle="stop" errorTitle="Score 1–10" operator="between" showDropDown="false" showErrorMessage="false" showInputMessage="false" sqref="D11:D35 F11:F35 I11:I35 O11:Q35" type="whole">
      <formula1>1</formula1>
      <formula2>10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90"/>
    <col collapsed="false" customWidth="true" hidden="false" outlineLevel="0" max="6" min="3" style="0" width="4"/>
  </cols>
  <sheetData>
    <row r="1" customFormat="false" ht="25.5" hidden="false" customHeight="true" outlineLevel="0" collapsed="false">
      <c r="A1" s="6" t="s">
        <v>61</v>
      </c>
      <c r="B1" s="6"/>
      <c r="C1" s="6"/>
      <c r="D1" s="6"/>
      <c r="E1" s="6"/>
      <c r="F1" s="6"/>
    </row>
    <row r="2" customFormat="false" ht="27.75" hidden="false" customHeight="true" outlineLevel="0" collapsed="false">
      <c r="A2" s="7" t="s">
        <v>62</v>
      </c>
      <c r="B2" s="7"/>
      <c r="C2" s="7"/>
      <c r="D2" s="7"/>
      <c r="E2" s="7"/>
      <c r="F2" s="7"/>
    </row>
    <row r="4" customFormat="false" ht="19.5" hidden="false" customHeight="true" outlineLevel="0" collapsed="false">
      <c r="A4" s="8" t="s">
        <v>63</v>
      </c>
      <c r="B4" s="8"/>
      <c r="C4" s="8"/>
      <c r="D4" s="8"/>
      <c r="E4" s="8"/>
      <c r="F4" s="8"/>
    </row>
    <row r="5" customFormat="false" ht="31.5" hidden="false" customHeight="true" outlineLevel="0" collapsed="false">
      <c r="A5" s="13" t="s">
        <v>64</v>
      </c>
      <c r="B5" s="13" t="s">
        <v>65</v>
      </c>
      <c r="C5" s="13"/>
      <c r="D5" s="13"/>
      <c r="E5" s="13"/>
      <c r="F5" s="13"/>
    </row>
    <row r="6" customFormat="false" ht="15" hidden="false" customHeight="true" outlineLevel="0" collapsed="false">
      <c r="A6" s="22" t="s">
        <v>66</v>
      </c>
      <c r="B6" s="23" t="s">
        <v>67</v>
      </c>
      <c r="C6" s="23"/>
      <c r="D6" s="23"/>
      <c r="E6" s="23"/>
      <c r="F6" s="23"/>
    </row>
    <row r="7" customFormat="false" ht="15" hidden="false" customHeight="true" outlineLevel="0" collapsed="false">
      <c r="A7" s="22" t="s">
        <v>68</v>
      </c>
      <c r="B7" s="23" t="s">
        <v>69</v>
      </c>
      <c r="C7" s="23"/>
      <c r="D7" s="23"/>
      <c r="E7" s="23"/>
      <c r="F7" s="23"/>
    </row>
    <row r="8" customFormat="false" ht="15" hidden="false" customHeight="true" outlineLevel="0" collapsed="false">
      <c r="A8" s="22" t="s">
        <v>70</v>
      </c>
      <c r="B8" s="23" t="s">
        <v>71</v>
      </c>
      <c r="C8" s="23"/>
      <c r="D8" s="23"/>
      <c r="E8" s="23"/>
      <c r="F8" s="23"/>
    </row>
    <row r="9" customFormat="false" ht="15" hidden="false" customHeight="true" outlineLevel="0" collapsed="false">
      <c r="A9" s="22" t="s">
        <v>72</v>
      </c>
      <c r="B9" s="23" t="s">
        <v>73</v>
      </c>
      <c r="C9" s="23"/>
      <c r="D9" s="23"/>
      <c r="E9" s="23"/>
      <c r="F9" s="23"/>
    </row>
    <row r="10" customFormat="false" ht="15" hidden="false" customHeight="true" outlineLevel="0" collapsed="false">
      <c r="A10" s="22" t="s">
        <v>74</v>
      </c>
      <c r="B10" s="23" t="s">
        <v>75</v>
      </c>
      <c r="C10" s="23"/>
      <c r="D10" s="23"/>
      <c r="E10" s="23"/>
      <c r="F10" s="23"/>
    </row>
    <row r="12" customFormat="false" ht="19.5" hidden="false" customHeight="true" outlineLevel="0" collapsed="false">
      <c r="A12" s="8" t="s">
        <v>76</v>
      </c>
      <c r="B12" s="8"/>
      <c r="C12" s="8"/>
      <c r="D12" s="8"/>
      <c r="E12" s="8"/>
      <c r="F12" s="8"/>
    </row>
    <row r="13" customFormat="false" ht="31.5" hidden="false" customHeight="true" outlineLevel="0" collapsed="false">
      <c r="A13" s="13" t="s">
        <v>64</v>
      </c>
      <c r="B13" s="13" t="s">
        <v>65</v>
      </c>
      <c r="C13" s="13"/>
      <c r="D13" s="13"/>
      <c r="E13" s="13"/>
      <c r="F13" s="13"/>
    </row>
    <row r="14" customFormat="false" ht="15" hidden="false" customHeight="true" outlineLevel="0" collapsed="false">
      <c r="A14" s="22" t="s">
        <v>66</v>
      </c>
      <c r="B14" s="23" t="s">
        <v>77</v>
      </c>
      <c r="C14" s="23"/>
      <c r="D14" s="23"/>
      <c r="E14" s="23"/>
      <c r="F14" s="23"/>
    </row>
    <row r="15" customFormat="false" ht="15" hidden="false" customHeight="true" outlineLevel="0" collapsed="false">
      <c r="A15" s="22" t="s">
        <v>68</v>
      </c>
      <c r="B15" s="23" t="s">
        <v>78</v>
      </c>
      <c r="C15" s="23"/>
      <c r="D15" s="23"/>
      <c r="E15" s="23"/>
      <c r="F15" s="23"/>
    </row>
    <row r="16" customFormat="false" ht="15" hidden="false" customHeight="true" outlineLevel="0" collapsed="false">
      <c r="A16" s="22" t="s">
        <v>70</v>
      </c>
      <c r="B16" s="23" t="s">
        <v>79</v>
      </c>
      <c r="C16" s="23"/>
      <c r="D16" s="23"/>
      <c r="E16" s="23"/>
      <c r="F16" s="23"/>
    </row>
    <row r="17" customFormat="false" ht="15" hidden="false" customHeight="true" outlineLevel="0" collapsed="false">
      <c r="A17" s="22" t="s">
        <v>72</v>
      </c>
      <c r="B17" s="23" t="s">
        <v>80</v>
      </c>
      <c r="C17" s="23"/>
      <c r="D17" s="23"/>
      <c r="E17" s="23"/>
      <c r="F17" s="23"/>
    </row>
    <row r="18" customFormat="false" ht="15" hidden="false" customHeight="true" outlineLevel="0" collapsed="false">
      <c r="A18" s="22" t="s">
        <v>74</v>
      </c>
      <c r="B18" s="23" t="s">
        <v>81</v>
      </c>
      <c r="C18" s="23"/>
      <c r="D18" s="23"/>
      <c r="E18" s="23"/>
      <c r="F18" s="23"/>
    </row>
    <row r="20" customFormat="false" ht="19.5" hidden="false" customHeight="true" outlineLevel="0" collapsed="false">
      <c r="A20" s="8" t="s">
        <v>82</v>
      </c>
      <c r="B20" s="8"/>
      <c r="C20" s="8"/>
      <c r="D20" s="8"/>
      <c r="E20" s="8"/>
      <c r="F20" s="8"/>
    </row>
    <row r="21" customFormat="false" ht="31.5" hidden="false" customHeight="true" outlineLevel="0" collapsed="false">
      <c r="A21" s="13" t="s">
        <v>64</v>
      </c>
      <c r="B21" s="13" t="s">
        <v>65</v>
      </c>
      <c r="C21" s="13"/>
      <c r="D21" s="13"/>
      <c r="E21" s="13"/>
      <c r="F21" s="13"/>
    </row>
    <row r="22" customFormat="false" ht="15" hidden="false" customHeight="true" outlineLevel="0" collapsed="false">
      <c r="A22" s="22" t="s">
        <v>66</v>
      </c>
      <c r="B22" s="23" t="s">
        <v>83</v>
      </c>
      <c r="C22" s="23"/>
      <c r="D22" s="23"/>
      <c r="E22" s="23"/>
      <c r="F22" s="23"/>
    </row>
    <row r="23" customFormat="false" ht="15" hidden="false" customHeight="true" outlineLevel="0" collapsed="false">
      <c r="A23" s="22" t="s">
        <v>68</v>
      </c>
      <c r="B23" s="23" t="s">
        <v>84</v>
      </c>
      <c r="C23" s="23"/>
      <c r="D23" s="23"/>
      <c r="E23" s="23"/>
      <c r="F23" s="23"/>
    </row>
    <row r="24" customFormat="false" ht="15" hidden="false" customHeight="true" outlineLevel="0" collapsed="false">
      <c r="A24" s="22" t="s">
        <v>70</v>
      </c>
      <c r="B24" s="23" t="s">
        <v>85</v>
      </c>
      <c r="C24" s="23"/>
      <c r="D24" s="23"/>
      <c r="E24" s="23"/>
      <c r="F24" s="23"/>
    </row>
    <row r="25" customFormat="false" ht="15" hidden="false" customHeight="true" outlineLevel="0" collapsed="false">
      <c r="A25" s="22" t="s">
        <v>72</v>
      </c>
      <c r="B25" s="23" t="s">
        <v>86</v>
      </c>
      <c r="C25" s="23"/>
      <c r="D25" s="23"/>
      <c r="E25" s="23"/>
      <c r="F25" s="23"/>
    </row>
    <row r="26" customFormat="false" ht="15" hidden="false" customHeight="true" outlineLevel="0" collapsed="false">
      <c r="A26" s="22" t="s">
        <v>74</v>
      </c>
      <c r="B26" s="23" t="s">
        <v>87</v>
      </c>
      <c r="C26" s="23"/>
      <c r="D26" s="23"/>
      <c r="E26" s="23"/>
      <c r="F26" s="23"/>
    </row>
  </sheetData>
  <mergeCells count="20">
    <mergeCell ref="A1:F1"/>
    <mergeCell ref="A2:F2"/>
    <mergeCell ref="A4:F4"/>
    <mergeCell ref="B6:F6"/>
    <mergeCell ref="B7:F7"/>
    <mergeCell ref="B8:F8"/>
    <mergeCell ref="B9:F9"/>
    <mergeCell ref="B10:F10"/>
    <mergeCell ref="A12:F12"/>
    <mergeCell ref="B14:F14"/>
    <mergeCell ref="B15:F15"/>
    <mergeCell ref="B16:F16"/>
    <mergeCell ref="B17:F17"/>
    <mergeCell ref="B18:F18"/>
    <mergeCell ref="A20:F20"/>
    <mergeCell ref="B22:F22"/>
    <mergeCell ref="B23:F23"/>
    <mergeCell ref="B24:F24"/>
    <mergeCell ref="B25:F25"/>
    <mergeCell ref="B26:F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2026-07-31T15:37:50Z</dcterms:created>
  <dc:creator>openpyxl</dc:creator>
  <dc:description/>
  <dc:language>en-US</dc:language>
  <cp:lastModifiedBy/>
  <dcterms:modified xsi:type="dcterms:W3CDTF">2026-07-31T15:37:50Z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