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  <xf numFmtId="0" fontId="17" fillId="0" borderId="0" pivotButton="0" quotePrefix="0" xfId="0"/>
    <xf numFmtId="3" fontId="0" fillId="10" borderId="0" pivotButton="0" quotePrefix="0" xfId="0"/>
    <xf numFmtId="0" fontId="18" fillId="0" borderId="0" pivotButton="0" quotePrefix="0" xfId="0"/>
    <xf numFmtId="1" fontId="18" fillId="10" borderId="0" pivotButton="0" quotePrefix="0" xfId="0"/>
    <xf numFmtId="1" fontId="0" fillId="0" borderId="0" pivotButton="0" quotePrefix="0" xfId="0"/>
    <xf numFmtId="0" fontId="0" fillId="10" borderId="0" pivotButton="0" quotePrefix="0" xfId="0"/>
    <xf numFmtId="3" fontId="0" fillId="11" borderId="0" pivotButton="0" quotePrefix="0" xfId="0"/>
    <xf numFmtId="0" fontId="10" fillId="4" borderId="0" applyAlignment="1" pivotButton="0" quotePrefix="0" xfId="0">
      <alignment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Risk priority number — ranked, and did the action reduce it?</a:t>
            </a:r>
          </a:p>
        </rich>
      </tx>
    </title>
    <plotArea>
      <barChart>
        <barDir val="col"/>
        <grouping val="clustered"/>
        <ser>
          <idx val="0"/>
          <order val="0"/>
          <tx>
            <v>RPN now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'FMEA'!$W$11:$W$36</f>
            </numRef>
          </val>
        </ser>
        <ser>
          <idx val="1"/>
          <order val="1"/>
          <tx>
            <v>RPN after (no re-score = no reduction)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'FMEA'!$X$11:$X$36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v>Act above this threshold</v>
          </tx>
          <spPr>
            <a:ln w="18000">
              <a:solidFill>
                <a:srgbClr val="B45309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'FMEA'!$Y$11:$Y$36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Row 1 is a worked example — read it, then overwrite or delete it.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Y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9" customWidth="1" style="24" min="18" max="18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3"/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Row 1 example</t>
        </is>
      </c>
      <c r="B7" s="35" t="inlineStr">
        <is>
          <t>A realistic worked example, so you can see the expected format. Delete or overwrite it.</t>
        </is>
      </c>
    </row>
    <row r="8"/>
    <row r="9" ht="24" customHeight="1" s="25">
      <c r="A9" s="59" t="inlineStr">
        <is>
          <t>SCORE EACH FAILURE MODE 1–10 ON SEVERITY, OCCURRENCE AND DETECTION. THE SCORING GUIDE IS ON THE NEXT SHEET.  ·  Key: RPN = risk priority number, severity x occurrence x detection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  <c r="S10" s="52" t="inlineStr">
        <is>
          <t>RPN after (no re-score = no reduction)</t>
        </is>
      </c>
      <c r="T10" s="54" t="inlineStr">
        <is>
          <t>rank</t>
        </is>
      </c>
      <c r="U10" s="52" t="inlineStr">
        <is>
          <t>#</t>
        </is>
      </c>
      <c r="V10" s="52" t="inlineStr">
        <is>
          <t>Failure mode</t>
        </is>
      </c>
      <c r="W10" s="52" t="inlineStr">
        <is>
          <t>RPN now</t>
        </is>
      </c>
      <c r="X10" s="52" t="inlineStr">
        <is>
          <t>RPN after</t>
        </is>
      </c>
      <c r="Y10" s="52" t="inlineStr">
        <is>
          <t>Act above</t>
        </is>
      </c>
    </row>
    <row r="11" ht="45.75" customHeight="1" s="25">
      <c r="A11" s="50" t="inlineStr">
        <is>
          <t>Agent closes a billing ticket</t>
        </is>
      </c>
      <c r="B11" s="50" t="inlineStr">
        <is>
          <t>Adjustment has not posted yet</t>
        </is>
      </c>
      <c r="C11" s="50" t="inlineStr">
        <is>
          <t>Customer discovers it themselves and contacts us again</t>
        </is>
      </c>
      <c r="D11" s="50" t="n">
        <v>7</v>
      </c>
      <c r="E11" s="50" t="inlineStr">
        <is>
          <t>System closes the ticket before the posting webhook confirms</t>
        </is>
      </c>
      <c r="F11" s="50" t="n">
        <v>8</v>
      </c>
      <c r="G11" s="50" t="inlineStr">
        <is>
          <t>None</t>
        </is>
      </c>
      <c r="H11" s="50" t="inlineStr">
        <is>
          <t>Only detected if the customer complains again</t>
        </is>
      </c>
      <c r="I11" s="50" t="n">
        <v>9</v>
      </c>
      <c r="J11" s="39">
        <f>IF(COUNT(D11,F11,I11)=3,D11*F11*I11,"")</f>
        <v/>
      </c>
      <c r="K11" s="50" t="inlineStr">
        <is>
          <t>Block Resolved status until the posting webhook confirms</t>
        </is>
      </c>
      <c r="L11" s="50" t="inlineStr">
        <is>
          <t>Billing Ops</t>
        </is>
      </c>
      <c r="M11" s="50" t="inlineStr">
        <is>
          <t>2026-09-30</t>
        </is>
      </c>
      <c r="N11" s="50" t="inlineStr">
        <is>
          <t>Deferred-close rule shipped</t>
        </is>
      </c>
      <c r="O11" s="50" t="n">
        <v>7</v>
      </c>
      <c r="P11" s="50" t="n">
        <v>2</v>
      </c>
      <c r="Q11" s="50" t="n">
        <v>3</v>
      </c>
      <c r="R11" s="39">
        <f>IF(COUNT(O11,P11,Q11)=3,O11*P11*Q11,"")</f>
        <v/>
      </c>
      <c r="S11" s="53">
        <f>IF($J11="","",IF(COUNT($O11,$P11,$Q11)=3,$R11,$J11))</f>
        <v/>
      </c>
      <c r="T11" s="55">
        <f>IF(J11="","",RANK(J11,$J$11:$J$36,0)+COUNTIF($J$11:J11,J11)-1)</f>
        <v/>
      </c>
      <c r="U11" s="56" t="n">
        <v>1</v>
      </c>
      <c r="V11" s="57">
        <f>IFERROR(INDEX($B$11:$B$36,MATCH(U11,$T$11:$T$36,0)),"")</f>
        <v/>
      </c>
      <c r="W11" s="53">
        <f>IFERROR(INDEX($J$11:$J$36,MATCH(U11,$T$11:$T$36,0)),"")</f>
        <v/>
      </c>
      <c r="X11" s="53">
        <f>IFERROR(INDEX($S$11:$S$36,MATCH(U11,$T$11:$T$36,0)),"")</f>
        <v/>
      </c>
      <c r="Y11" s="53">
        <f>IF(W11="","",$D$45)</f>
        <v/>
      </c>
    </row>
    <row r="12" ht="30" customHeight="1" s="25">
      <c r="A12" s="51" t="inlineStr">
        <is>
          <t>Tier 1 tags the contact reason</t>
        </is>
      </c>
      <c r="B12" s="51" t="inlineStr">
        <is>
          <t>Wrong reason selected</t>
        </is>
      </c>
      <c r="C12" s="51" t="inlineStr">
        <is>
          <t>Routing sends it to the wrong queue; customer repeats themselves</t>
        </is>
      </c>
      <c r="D12" s="51" t="n">
        <v>6</v>
      </c>
      <c r="E12" s="51" t="inlineStr">
        <is>
          <t>40 codes in a flat list, no search</t>
        </is>
      </c>
      <c r="F12" s="51" t="n">
        <v>9</v>
      </c>
      <c r="G12" s="51" t="inlineStr">
        <is>
          <t>Annual training</t>
        </is>
      </c>
      <c r="H12" s="51" t="inlineStr">
        <is>
          <t>QA audit catches it weeks later on 2% of contacts</t>
        </is>
      </c>
      <c r="I12" s="51" t="n">
        <v>8</v>
      </c>
      <c r="J12" s="41">
        <f>IF(COUNT(D12,F12,I12)=3,D12*F12*I12,"")</f>
        <v/>
      </c>
      <c r="K12" s="51" t="inlineStr">
        <is>
          <t>Cut the list to 12 codes and predict from the first message</t>
        </is>
      </c>
      <c r="L12" s="51" t="inlineStr">
        <is>
          <t>Support Ops</t>
        </is>
      </c>
      <c r="M12" s="51" t="inlineStr">
        <is>
          <t>2026-10-15</t>
        </is>
      </c>
      <c r="N12" s="51" t="inlineStr">
        <is>
          <t>Code list redesigned, pending release</t>
        </is>
      </c>
      <c r="O12" s="51" t="n">
        <v>6</v>
      </c>
      <c r="P12" s="51" t="n">
        <v>3</v>
      </c>
      <c r="Q12" s="51" t="n">
        <v>4</v>
      </c>
      <c r="R12" s="41">
        <f>IF(COUNT(O12,P12,Q12)=3,O12*P12*Q12,"")</f>
        <v/>
      </c>
      <c r="S12" s="53">
        <f>IF($J12="","",IF(COUNT($O12,$P12,$Q12)=3,$R12,$J12))</f>
        <v/>
      </c>
      <c r="T12" s="55">
        <f>IF(J12="","",RANK(J12,$J$11:$J$36,0)+COUNTIF($J$11:J12,J12)-1)</f>
        <v/>
      </c>
      <c r="U12" s="56" t="n">
        <v>2</v>
      </c>
      <c r="V12" s="57">
        <f>IFERROR(INDEX($B$11:$B$36,MATCH(U12,$T$11:$T$36,0)),"")</f>
        <v/>
      </c>
      <c r="W12" s="53">
        <f>IFERROR(INDEX($J$11:$J$36,MATCH(U12,$T$11:$T$36,0)),"")</f>
        <v/>
      </c>
      <c r="X12" s="53">
        <f>IFERROR(INDEX($S$11:$S$36,MATCH(U12,$T$11:$T$36,0)),"")</f>
        <v/>
      </c>
      <c r="Y12" s="53">
        <f>IF(W12="","",$D$45)</f>
        <v/>
      </c>
    </row>
    <row r="13" ht="30" customHeight="1" s="25">
      <c r="A13" s="51" t="inlineStr">
        <is>
          <t>Billing Ops verifies evidence</t>
        </is>
      </c>
      <c r="B13" s="51" t="inlineStr">
        <is>
          <t>Evidence missing, ticket bounced back</t>
        </is>
      </c>
      <c r="C13" s="51" t="inlineStr">
        <is>
          <t>Adds a full day to the resolution</t>
        </is>
      </c>
      <c r="D13" s="51" t="n">
        <v>5</v>
      </c>
      <c r="E13" s="51" t="inlineStr">
        <is>
          <t>Tier 1 has no checklist for what Billing needs</t>
        </is>
      </c>
      <c r="F13" s="51" t="n">
        <v>7</v>
      </c>
      <c r="G13" s="51" t="inlineStr">
        <is>
          <t>Wiki page nobody opens</t>
        </is>
      </c>
      <c r="H13" s="51" t="inlineStr">
        <is>
          <t>Detected immediately on bounce-back</t>
        </is>
      </c>
      <c r="I13" s="51" t="n">
        <v>3</v>
      </c>
      <c r="J13" s="41">
        <f>IF(COUNT(D13,F13,I13)=3,D13*F13*I13,"")</f>
        <v/>
      </c>
      <c r="K13" s="51" t="inlineStr">
        <is>
          <t>Required-fields form before hand-off</t>
        </is>
      </c>
      <c r="L13" s="51" t="inlineStr">
        <is>
          <t>Support Ops</t>
        </is>
      </c>
      <c r="M13" s="51" t="inlineStr">
        <is>
          <t>2026-09-15</t>
        </is>
      </c>
      <c r="N13" s="51" t="inlineStr">
        <is>
          <t>Form live since August</t>
        </is>
      </c>
      <c r="O13" s="51" t="n">
        <v>5</v>
      </c>
      <c r="P13" s="51" t="n">
        <v>2</v>
      </c>
      <c r="Q13" s="51" t="n">
        <v>3</v>
      </c>
      <c r="R13" s="41">
        <f>IF(COUNT(O13,P13,Q13)=3,O13*P13*Q13,"")</f>
        <v/>
      </c>
      <c r="S13" s="53">
        <f>IF($J13="","",IF(COUNT($O13,$P13,$Q13)=3,$R13,$J13))</f>
        <v/>
      </c>
      <c r="T13" s="55">
        <f>IF(J13="","",RANK(J13,$J$11:$J$36,0)+COUNTIF($J$11:J13,J13)-1)</f>
        <v/>
      </c>
      <c r="U13" s="56" t="n">
        <v>3</v>
      </c>
      <c r="V13" s="57">
        <f>IFERROR(INDEX($B$11:$B$36,MATCH(U13,$T$11:$T$36,0)),"")</f>
        <v/>
      </c>
      <c r="W13" s="53">
        <f>IFERROR(INDEX($J$11:$J$36,MATCH(U13,$T$11:$T$36,0)),"")</f>
        <v/>
      </c>
      <c r="X13" s="53">
        <f>IFERROR(INDEX($S$11:$S$36,MATCH(U13,$T$11:$T$36,0)),"")</f>
        <v/>
      </c>
      <c r="Y13" s="53">
        <f>IF(W13="","",$D$45)</f>
        <v/>
      </c>
    </row>
    <row r="14" ht="30" customHeight="1" s="25">
      <c r="A14" s="51" t="inlineStr">
        <is>
          <t>Nightly adjustment batch runs</t>
        </is>
      </c>
      <c r="B14" s="51" t="inlineStr">
        <is>
          <t>Batch fails silently</t>
        </is>
      </c>
      <c r="C14" s="51" t="inlineStr">
        <is>
          <t>Every adjustment that day is late; nobody knows until customers call</t>
        </is>
      </c>
      <c r="D14" s="51" t="n">
        <v>8</v>
      </c>
      <c r="E14" s="51" t="inlineStr">
        <is>
          <t>No alerting on batch exit code</t>
        </is>
      </c>
      <c r="F14" s="51" t="n">
        <v>4</v>
      </c>
      <c r="G14" s="51" t="inlineStr">
        <is>
          <t>None</t>
        </is>
      </c>
      <c r="H14" s="51" t="inlineStr">
        <is>
          <t>Discovered next morning by chance</t>
        </is>
      </c>
      <c r="I14" s="51" t="n">
        <v>9</v>
      </c>
      <c r="J14" s="41">
        <f>IF(COUNT(D14,F14,I14)=3,D14*F14*I14,"")</f>
        <v/>
      </c>
      <c r="K14" s="51" t="inlineStr">
        <is>
          <t>Alert on non-zero exit to the on-call channel</t>
        </is>
      </c>
      <c r="L14" s="51" t="inlineStr">
        <is>
          <t>Platform Eng</t>
        </is>
      </c>
      <c r="M14" s="51" t="inlineStr">
        <is>
          <t>2026-09-01</t>
        </is>
      </c>
      <c r="N14" s="51" t="inlineStr">
        <is>
          <t>Alerting deployed</t>
        </is>
      </c>
      <c r="O14" s="51" t="n">
        <v>8</v>
      </c>
      <c r="P14" s="51" t="n">
        <v>2</v>
      </c>
      <c r="Q14" s="51" t="n">
        <v>2</v>
      </c>
      <c r="R14" s="41">
        <f>IF(COUNT(O14,P14,Q14)=3,O14*P14*Q14,"")</f>
        <v/>
      </c>
      <c r="S14" s="53">
        <f>IF($J14="","",IF(COUNT($O14,$P14,$Q14)=3,$R14,$J14))</f>
        <v/>
      </c>
      <c r="T14" s="55">
        <f>IF(J14="","",RANK(J14,$J$11:$J$36,0)+COUNTIF($J$11:J14,J14)-1)</f>
        <v/>
      </c>
      <c r="U14" s="56" t="n">
        <v>4</v>
      </c>
      <c r="V14" s="57">
        <f>IFERROR(INDEX($B$11:$B$36,MATCH(U14,$T$11:$T$36,0)),"")</f>
        <v/>
      </c>
      <c r="W14" s="53">
        <f>IFERROR(INDEX($J$11:$J$36,MATCH(U14,$T$11:$T$36,0)),"")</f>
        <v/>
      </c>
      <c r="X14" s="53">
        <f>IFERROR(INDEX($S$11:$S$36,MATCH(U14,$T$11:$T$36,0)),"")</f>
        <v/>
      </c>
      <c r="Y14" s="53">
        <f>IF(W14="","",$D$45)</f>
        <v/>
      </c>
    </row>
    <row r="15" ht="30" customHeight="1" s="25">
      <c r="A15" s="51" t="inlineStr">
        <is>
          <t>Agent applies a goodwill credit</t>
        </is>
      </c>
      <c r="B15" s="51" t="inlineStr">
        <is>
          <t>Credit exceeds the agent's authority</t>
        </is>
      </c>
      <c r="C15" s="51" t="inlineStr">
        <is>
          <t>Margin leakage; caught in month-end reconciliation</t>
        </is>
      </c>
      <c r="D15" s="51" t="n">
        <v>4</v>
      </c>
      <c r="E15" s="51" t="inlineStr">
        <is>
          <t>Limit is documented but not enforced in the tool</t>
        </is>
      </c>
      <c r="F15" s="51" t="n">
        <v>6</v>
      </c>
      <c r="G15" s="51" t="inlineStr">
        <is>
          <t>SOP states the limit</t>
        </is>
      </c>
      <c r="H15" s="51" t="inlineStr">
        <is>
          <t>Month-end reconciliation, up to 30 days later</t>
        </is>
      </c>
      <c r="I15" s="51" t="n">
        <v>7</v>
      </c>
      <c r="J15" s="41">
        <f>IF(COUNT(D15,F15,I15)=3,D15*F15*I15,"")</f>
        <v/>
      </c>
      <c r="K15" s="51" t="inlineStr">
        <is>
          <t>Enforce the limit in the credit form</t>
        </is>
      </c>
      <c r="L15" s="51" t="inlineStr">
        <is>
          <t>Billing Ops</t>
        </is>
      </c>
      <c r="M15" s="51" t="inlineStr">
        <is>
          <t>2026-11-30</t>
        </is>
      </c>
      <c r="N15" s="51" t="inlineStr">
        <is>
          <t>In backlog</t>
        </is>
      </c>
      <c r="O15" s="51" t="n">
        <v>4</v>
      </c>
      <c r="P15" s="51" t="n">
        <v>6</v>
      </c>
      <c r="Q15" s="51" t="n">
        <v>7</v>
      </c>
      <c r="R15" s="41">
        <f>IF(COUNT(O15,P15,Q15)=3,O15*P15*Q15,"")</f>
        <v/>
      </c>
      <c r="S15" s="53">
        <f>IF($J15="","",IF(COUNT($O15,$P15,$Q15)=3,$R15,$J15))</f>
        <v/>
      </c>
      <c r="T15" s="55">
        <f>IF(J15="","",RANK(J15,$J$11:$J$36,0)+COUNTIF($J$11:J15,J15)-1)</f>
        <v/>
      </c>
      <c r="U15" s="56" t="n">
        <v>5</v>
      </c>
      <c r="V15" s="57">
        <f>IFERROR(INDEX($B$11:$B$36,MATCH(U15,$T$11:$T$36,0)),"")</f>
        <v/>
      </c>
      <c r="W15" s="53">
        <f>IFERROR(INDEX($J$11:$J$36,MATCH(U15,$T$11:$T$36,0)),"")</f>
        <v/>
      </c>
      <c r="X15" s="53">
        <f>IFERROR(INDEX($S$11:$S$36,MATCH(U15,$T$11:$T$36,0)),"")</f>
        <v/>
      </c>
      <c r="Y15" s="53">
        <f>IF(W15="","",$D$45)</f>
        <v/>
      </c>
    </row>
    <row r="16" ht="30" customHeight="1" s="25">
      <c r="A16" s="51" t="inlineStr">
        <is>
          <t>Customer confirms resolution</t>
        </is>
      </c>
      <c r="B16" s="51" t="inlineStr">
        <is>
          <t>No confirmation ever arrives</t>
        </is>
      </c>
      <c r="C16" s="51" t="inlineStr">
        <is>
          <t>Ticket auto-closes while the customer still has the problem</t>
        </is>
      </c>
      <c r="D16" s="51" t="n">
        <v>6</v>
      </c>
      <c r="E16" s="51" t="inlineStr">
        <is>
          <t>Auto-close at 96 hours with no reminder</t>
        </is>
      </c>
      <c r="F16" s="51" t="n">
        <v>7</v>
      </c>
      <c r="G16" s="51" t="inlineStr">
        <is>
          <t>None</t>
        </is>
      </c>
      <c r="H16" s="51" t="inlineStr">
        <is>
          <t>Only visible as a reopen days later</t>
        </is>
      </c>
      <c r="I16" s="51" t="n">
        <v>8</v>
      </c>
      <c r="J16" s="41">
        <f>IF(COUNT(D16,F16,I16)=3,D16*F16*I16,"")</f>
        <v/>
      </c>
      <c r="K16" s="51" t="inlineStr">
        <is>
          <t>Send a reminder at 48 hours before auto-close</t>
        </is>
      </c>
      <c r="L16" s="51" t="inlineStr">
        <is>
          <t>Support Ops</t>
        </is>
      </c>
      <c r="M16" s="51" t="inlineStr">
        <is>
          <t>2026-10-01</t>
        </is>
      </c>
      <c r="N16" s="51" t="inlineStr">
        <is>
          <t>Reminder shipped</t>
        </is>
      </c>
      <c r="O16" s="51" t="n">
        <v>6</v>
      </c>
      <c r="P16" s="51" t="n">
        <v>3</v>
      </c>
      <c r="Q16" s="51" t="n">
        <v>4</v>
      </c>
      <c r="R16" s="41">
        <f>IF(COUNT(O16,P16,Q16)=3,O16*P16*Q16,"")</f>
        <v/>
      </c>
      <c r="S16" s="53">
        <f>IF($J16="","",IF(COUNT($O16,$P16,$Q16)=3,$R16,$J16))</f>
        <v/>
      </c>
      <c r="T16" s="55">
        <f>IF(J16="","",RANK(J16,$J$11:$J$36,0)+COUNTIF($J$11:J16,J16)-1)</f>
        <v/>
      </c>
      <c r="U16" s="56" t="n">
        <v>6</v>
      </c>
      <c r="V16" s="57">
        <f>IFERROR(INDEX($B$11:$B$36,MATCH(U16,$T$11:$T$36,0)),"")</f>
        <v/>
      </c>
      <c r="W16" s="53">
        <f>IFERROR(INDEX($J$11:$J$36,MATCH(U16,$T$11:$T$36,0)),"")</f>
        <v/>
      </c>
      <c r="X16" s="53">
        <f>IFERROR(INDEX($S$11:$S$36,MATCH(U16,$T$11:$T$36,0)),"")</f>
        <v/>
      </c>
      <c r="Y16" s="53">
        <f>IF(W16="","",$D$45)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  <c r="S17" s="53">
        <f>IF($J17="","",IF(COUNT($O17,$P17,$Q17)=3,$R17,$J17))</f>
        <v/>
      </c>
      <c r="T17" s="55">
        <f>IF(J17="","",RANK(J17,$J$11:$J$36,0)+COUNTIF($J$11:J17,J17)-1)</f>
        <v/>
      </c>
      <c r="U17" s="56" t="n">
        <v>7</v>
      </c>
      <c r="V17" s="57">
        <f>IFERROR(INDEX($B$11:$B$36,MATCH(U17,$T$11:$T$36,0)),"")</f>
        <v/>
      </c>
      <c r="W17" s="53">
        <f>IFERROR(INDEX($J$11:$J$36,MATCH(U17,$T$11:$T$36,0)),"")</f>
        <v/>
      </c>
      <c r="X17" s="53">
        <f>IFERROR(INDEX($S$11:$S$36,MATCH(U17,$T$11:$T$36,0)),"")</f>
        <v/>
      </c>
      <c r="Y17" s="53">
        <f>IF(W17="","",$D$45)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  <c r="S18" s="53">
        <f>IF($J18="","",IF(COUNT($O18,$P18,$Q18)=3,$R18,$J18))</f>
        <v/>
      </c>
      <c r="T18" s="55">
        <f>IF(J18="","",RANK(J18,$J$11:$J$36,0)+COUNTIF($J$11:J18,J18)-1)</f>
        <v/>
      </c>
      <c r="U18" s="56" t="n">
        <v>8</v>
      </c>
      <c r="V18" s="57">
        <f>IFERROR(INDEX($B$11:$B$36,MATCH(U18,$T$11:$T$36,0)),"")</f>
        <v/>
      </c>
      <c r="W18" s="53">
        <f>IFERROR(INDEX($J$11:$J$36,MATCH(U18,$T$11:$T$36,0)),"")</f>
        <v/>
      </c>
      <c r="X18" s="53">
        <f>IFERROR(INDEX($S$11:$S$36,MATCH(U18,$T$11:$T$36,0)),"")</f>
        <v/>
      </c>
      <c r="Y18" s="53">
        <f>IF(W18="","",$D$45)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  <c r="S19" s="53">
        <f>IF($J19="","",IF(COUNT($O19,$P19,$Q19)=3,$R19,$J19))</f>
        <v/>
      </c>
      <c r="T19" s="55">
        <f>IF(J19="","",RANK(J19,$J$11:$J$36,0)+COUNTIF($J$11:J19,J19)-1)</f>
        <v/>
      </c>
      <c r="U19" s="56" t="n">
        <v>9</v>
      </c>
      <c r="V19" s="57">
        <f>IFERROR(INDEX($B$11:$B$36,MATCH(U19,$T$11:$T$36,0)),"")</f>
        <v/>
      </c>
      <c r="W19" s="53">
        <f>IFERROR(INDEX($J$11:$J$36,MATCH(U19,$T$11:$T$36,0)),"")</f>
        <v/>
      </c>
      <c r="X19" s="53">
        <f>IFERROR(INDEX($S$11:$S$36,MATCH(U19,$T$11:$T$36,0)),"")</f>
        <v/>
      </c>
      <c r="Y19" s="53">
        <f>IF(W19="","",$D$45)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  <c r="S20" s="53">
        <f>IF($J20="","",IF(COUNT($O20,$P20,$Q20)=3,$R20,$J20))</f>
        <v/>
      </c>
      <c r="T20" s="55">
        <f>IF(J20="","",RANK(J20,$J$11:$J$36,0)+COUNTIF($J$11:J20,J20)-1)</f>
        <v/>
      </c>
      <c r="U20" s="56" t="n">
        <v>10</v>
      </c>
      <c r="V20" s="57">
        <f>IFERROR(INDEX($B$11:$B$36,MATCH(U20,$T$11:$T$36,0)),"")</f>
        <v/>
      </c>
      <c r="W20" s="53">
        <f>IFERROR(INDEX($J$11:$J$36,MATCH(U20,$T$11:$T$36,0)),"")</f>
        <v/>
      </c>
      <c r="X20" s="53">
        <f>IFERROR(INDEX($S$11:$S$36,MATCH(U20,$T$11:$T$36,0)),"")</f>
        <v/>
      </c>
      <c r="Y20" s="53">
        <f>IF(W20="","",$D$45)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  <c r="S21" s="53">
        <f>IF($J21="","",IF(COUNT($O21,$P21,$Q21)=3,$R21,$J21))</f>
        <v/>
      </c>
      <c r="T21" s="55">
        <f>IF(J21="","",RANK(J21,$J$11:$J$36,0)+COUNTIF($J$11:J21,J21)-1)</f>
        <v/>
      </c>
      <c r="U21" s="56" t="n">
        <v>11</v>
      </c>
      <c r="V21" s="57">
        <f>IFERROR(INDEX($B$11:$B$36,MATCH(U21,$T$11:$T$36,0)),"")</f>
        <v/>
      </c>
      <c r="W21" s="53">
        <f>IFERROR(INDEX($J$11:$J$36,MATCH(U21,$T$11:$T$36,0)),"")</f>
        <v/>
      </c>
      <c r="X21" s="53">
        <f>IFERROR(INDEX($S$11:$S$36,MATCH(U21,$T$11:$T$36,0)),"")</f>
        <v/>
      </c>
      <c r="Y21" s="53">
        <f>IF(W21="","",$D$45)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  <c r="S22" s="53">
        <f>IF($J22="","",IF(COUNT($O22,$P22,$Q22)=3,$R22,$J22))</f>
        <v/>
      </c>
      <c r="T22" s="55">
        <f>IF(J22="","",RANK(J22,$J$11:$J$36,0)+COUNTIF($J$11:J22,J22)-1)</f>
        <v/>
      </c>
      <c r="U22" s="56" t="n">
        <v>12</v>
      </c>
      <c r="V22" s="57">
        <f>IFERROR(INDEX($B$11:$B$36,MATCH(U22,$T$11:$T$36,0)),"")</f>
        <v/>
      </c>
      <c r="W22" s="53">
        <f>IFERROR(INDEX($J$11:$J$36,MATCH(U22,$T$11:$T$36,0)),"")</f>
        <v/>
      </c>
      <c r="X22" s="53">
        <f>IFERROR(INDEX($S$11:$S$36,MATCH(U22,$T$11:$T$36,0)),"")</f>
        <v/>
      </c>
      <c r="Y22" s="53">
        <f>IF(W22="","",$D$45)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  <c r="S23" s="53">
        <f>IF($J23="","",IF(COUNT($O23,$P23,$Q23)=3,$R23,$J23))</f>
        <v/>
      </c>
      <c r="T23" s="55">
        <f>IF(J23="","",RANK(J23,$J$11:$J$36,0)+COUNTIF($J$11:J23,J23)-1)</f>
        <v/>
      </c>
      <c r="U23" s="56" t="n">
        <v>13</v>
      </c>
      <c r="V23" s="57">
        <f>IFERROR(INDEX($B$11:$B$36,MATCH(U23,$T$11:$T$36,0)),"")</f>
        <v/>
      </c>
      <c r="W23" s="53">
        <f>IFERROR(INDEX($J$11:$J$36,MATCH(U23,$T$11:$T$36,0)),"")</f>
        <v/>
      </c>
      <c r="X23" s="53">
        <f>IFERROR(INDEX($S$11:$S$36,MATCH(U23,$T$11:$T$36,0)),"")</f>
        <v/>
      </c>
      <c r="Y23" s="53">
        <f>IF(W23="","",$D$45)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  <c r="S24" s="53">
        <f>IF($J24="","",IF(COUNT($O24,$P24,$Q24)=3,$R24,$J24))</f>
        <v/>
      </c>
      <c r="T24" s="55">
        <f>IF(J24="","",RANK(J24,$J$11:$J$36,0)+COUNTIF($J$11:J24,J24)-1)</f>
        <v/>
      </c>
      <c r="U24" s="56" t="n">
        <v>14</v>
      </c>
      <c r="V24" s="57">
        <f>IFERROR(INDEX($B$11:$B$36,MATCH(U24,$T$11:$T$36,0)),"")</f>
        <v/>
      </c>
      <c r="W24" s="53">
        <f>IFERROR(INDEX($J$11:$J$36,MATCH(U24,$T$11:$T$36,0)),"")</f>
        <v/>
      </c>
      <c r="X24" s="53">
        <f>IFERROR(INDEX($S$11:$S$36,MATCH(U24,$T$11:$T$36,0)),"")</f>
        <v/>
      </c>
      <c r="Y24" s="53">
        <f>IF(W24="","",$D$45)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  <c r="S25" s="53">
        <f>IF($J25="","",IF(COUNT($O25,$P25,$Q25)=3,$R25,$J25))</f>
        <v/>
      </c>
      <c r="T25" s="55">
        <f>IF(J25="","",RANK(J25,$J$11:$J$36,0)+COUNTIF($J$11:J25,J25)-1)</f>
        <v/>
      </c>
      <c r="U25" s="56" t="n">
        <v>15</v>
      </c>
      <c r="V25" s="57">
        <f>IFERROR(INDEX($B$11:$B$36,MATCH(U25,$T$11:$T$36,0)),"")</f>
        <v/>
      </c>
      <c r="W25" s="53">
        <f>IFERROR(INDEX($J$11:$J$36,MATCH(U25,$T$11:$T$36,0)),"")</f>
        <v/>
      </c>
      <c r="X25" s="53">
        <f>IFERROR(INDEX($S$11:$S$36,MATCH(U25,$T$11:$T$36,0)),"")</f>
        <v/>
      </c>
      <c r="Y25" s="53">
        <f>IF(W25="","",$D$45)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  <c r="S26" s="53">
        <f>IF($J26="","",IF(COUNT($O26,$P26,$Q26)=3,$R26,$J26))</f>
        <v/>
      </c>
      <c r="T26" s="55">
        <f>IF(J26="","",RANK(J26,$J$11:$J$36,0)+COUNTIF($J$11:J26,J26)-1)</f>
        <v/>
      </c>
      <c r="U26" s="56" t="n">
        <v>16</v>
      </c>
      <c r="V26" s="57">
        <f>IFERROR(INDEX($B$11:$B$36,MATCH(U26,$T$11:$T$36,0)),"")</f>
        <v/>
      </c>
      <c r="W26" s="53">
        <f>IFERROR(INDEX($J$11:$J$36,MATCH(U26,$T$11:$T$36,0)),"")</f>
        <v/>
      </c>
      <c r="X26" s="53">
        <f>IFERROR(INDEX($S$11:$S$36,MATCH(U26,$T$11:$T$36,0)),"")</f>
        <v/>
      </c>
      <c r="Y26" s="53">
        <f>IF(W26="","",$D$45)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  <c r="S27" s="53">
        <f>IF($J27="","",IF(COUNT($O27,$P27,$Q27)=3,$R27,$J27))</f>
        <v/>
      </c>
      <c r="T27" s="55">
        <f>IF(J27="","",RANK(J27,$J$11:$J$36,0)+COUNTIF($J$11:J27,J27)-1)</f>
        <v/>
      </c>
      <c r="U27" s="56" t="n">
        <v>17</v>
      </c>
      <c r="V27" s="57">
        <f>IFERROR(INDEX($B$11:$B$36,MATCH(U27,$T$11:$T$36,0)),"")</f>
        <v/>
      </c>
      <c r="W27" s="53">
        <f>IFERROR(INDEX($J$11:$J$36,MATCH(U27,$T$11:$T$36,0)),"")</f>
        <v/>
      </c>
      <c r="X27" s="53">
        <f>IFERROR(INDEX($S$11:$S$36,MATCH(U27,$T$11:$T$36,0)),"")</f>
        <v/>
      </c>
      <c r="Y27" s="53">
        <f>IF(W27="","",$D$45)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  <c r="S28" s="53">
        <f>IF($J28="","",IF(COUNT($O28,$P28,$Q28)=3,$R28,$J28))</f>
        <v/>
      </c>
      <c r="T28" s="55">
        <f>IF(J28="","",RANK(J28,$J$11:$J$36,0)+COUNTIF($J$11:J28,J28)-1)</f>
        <v/>
      </c>
      <c r="U28" s="56" t="n">
        <v>18</v>
      </c>
      <c r="V28" s="57">
        <f>IFERROR(INDEX($B$11:$B$36,MATCH(U28,$T$11:$T$36,0)),"")</f>
        <v/>
      </c>
      <c r="W28" s="53">
        <f>IFERROR(INDEX($J$11:$J$36,MATCH(U28,$T$11:$T$36,0)),"")</f>
        <v/>
      </c>
      <c r="X28" s="53">
        <f>IFERROR(INDEX($S$11:$S$36,MATCH(U28,$T$11:$T$36,0)),"")</f>
        <v/>
      </c>
      <c r="Y28" s="53">
        <f>IF(W28="","",$D$45)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  <c r="S29" s="53">
        <f>IF($J29="","",IF(COUNT($O29,$P29,$Q29)=3,$R29,$J29))</f>
        <v/>
      </c>
      <c r="T29" s="55">
        <f>IF(J29="","",RANK(J29,$J$11:$J$36,0)+COUNTIF($J$11:J29,J29)-1)</f>
        <v/>
      </c>
      <c r="U29" s="56" t="n">
        <v>19</v>
      </c>
      <c r="V29" s="57">
        <f>IFERROR(INDEX($B$11:$B$36,MATCH(U29,$T$11:$T$36,0)),"")</f>
        <v/>
      </c>
      <c r="W29" s="53">
        <f>IFERROR(INDEX($J$11:$J$36,MATCH(U29,$T$11:$T$36,0)),"")</f>
        <v/>
      </c>
      <c r="X29" s="53">
        <f>IFERROR(INDEX($S$11:$S$36,MATCH(U29,$T$11:$T$36,0)),"")</f>
        <v/>
      </c>
      <c r="Y29" s="53">
        <f>IF(W29="","",$D$45)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  <c r="S30" s="53">
        <f>IF($J30="","",IF(COUNT($O30,$P30,$Q30)=3,$R30,$J30))</f>
        <v/>
      </c>
      <c r="T30" s="55">
        <f>IF(J30="","",RANK(J30,$J$11:$J$36,0)+COUNTIF($J$11:J30,J30)-1)</f>
        <v/>
      </c>
      <c r="U30" s="56" t="n">
        <v>20</v>
      </c>
      <c r="V30" s="57">
        <f>IFERROR(INDEX($B$11:$B$36,MATCH(U30,$T$11:$T$36,0)),"")</f>
        <v/>
      </c>
      <c r="W30" s="53">
        <f>IFERROR(INDEX($J$11:$J$36,MATCH(U30,$T$11:$T$36,0)),"")</f>
        <v/>
      </c>
      <c r="X30" s="53">
        <f>IFERROR(INDEX($S$11:$S$36,MATCH(U30,$T$11:$T$36,0)),"")</f>
        <v/>
      </c>
      <c r="Y30" s="53">
        <f>IF(W30="","",$D$45)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  <c r="S31" s="53">
        <f>IF($J31="","",IF(COUNT($O31,$P31,$Q31)=3,$R31,$J31))</f>
        <v/>
      </c>
      <c r="T31" s="55">
        <f>IF(J31="","",RANK(J31,$J$11:$J$36,0)+COUNTIF($J$11:J31,J31)-1)</f>
        <v/>
      </c>
      <c r="U31" s="56" t="n">
        <v>21</v>
      </c>
      <c r="V31" s="57">
        <f>IFERROR(INDEX($B$11:$B$36,MATCH(U31,$T$11:$T$36,0)),"")</f>
        <v/>
      </c>
      <c r="W31" s="53">
        <f>IFERROR(INDEX($J$11:$J$36,MATCH(U31,$T$11:$T$36,0)),"")</f>
        <v/>
      </c>
      <c r="X31" s="53">
        <f>IFERROR(INDEX($S$11:$S$36,MATCH(U31,$T$11:$T$36,0)),"")</f>
        <v/>
      </c>
      <c r="Y31" s="53">
        <f>IF(W31="","",$D$45)</f>
        <v/>
      </c>
    </row>
    <row r="32" ht="30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  <c r="S32" s="53">
        <f>IF($J32="","",IF(COUNT($O32,$P32,$Q32)=3,$R32,$J32))</f>
        <v/>
      </c>
      <c r="T32" s="55">
        <f>IF(J32="","",RANK(J32,$J$11:$J$36,0)+COUNTIF($J$11:J32,J32)-1)</f>
        <v/>
      </c>
      <c r="U32" s="56" t="n">
        <v>22</v>
      </c>
      <c r="V32" s="57">
        <f>IFERROR(INDEX($B$11:$B$36,MATCH(U32,$T$11:$T$36,0)),"")</f>
        <v/>
      </c>
      <c r="W32" s="53">
        <f>IFERROR(INDEX($J$11:$J$36,MATCH(U32,$T$11:$T$36,0)),"")</f>
        <v/>
      </c>
      <c r="X32" s="53">
        <f>IFERROR(INDEX($S$11:$S$36,MATCH(U32,$T$11:$T$36,0)),"")</f>
        <v/>
      </c>
      <c r="Y32" s="53">
        <f>IF(W32="","",$D$45)</f>
        <v/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  <c r="S33" s="53">
        <f>IF($J33="","",IF(COUNT($O33,$P33,$Q33)=3,$R33,$J33))</f>
        <v/>
      </c>
      <c r="T33" s="55">
        <f>IF(J33="","",RANK(J33,$J$11:$J$36,0)+COUNTIF($J$11:J33,J33)-1)</f>
        <v/>
      </c>
      <c r="U33" s="56" t="n">
        <v>23</v>
      </c>
      <c r="V33" s="57">
        <f>IFERROR(INDEX($B$11:$B$36,MATCH(U33,$T$11:$T$36,0)),"")</f>
        <v/>
      </c>
      <c r="W33" s="53">
        <f>IFERROR(INDEX($J$11:$J$36,MATCH(U33,$T$11:$T$36,0)),"")</f>
        <v/>
      </c>
      <c r="X33" s="53">
        <f>IFERROR(INDEX($S$11:$S$36,MATCH(U33,$T$11:$T$36,0)),"")</f>
        <v/>
      </c>
      <c r="Y33" s="53">
        <f>IF(W33="","",$D$45)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  <c r="S34" s="53">
        <f>IF($J34="","",IF(COUNT($O34,$P34,$Q34)=3,$R34,$J34))</f>
        <v/>
      </c>
      <c r="T34" s="55">
        <f>IF(J34="","",RANK(J34,$J$11:$J$36,0)+COUNTIF($J$11:J34,J34)-1)</f>
        <v/>
      </c>
      <c r="U34" s="56" t="n">
        <v>24</v>
      </c>
      <c r="V34" s="57">
        <f>IFERROR(INDEX($B$11:$B$36,MATCH(U34,$T$11:$T$36,0)),"")</f>
        <v/>
      </c>
      <c r="W34" s="53">
        <f>IFERROR(INDEX($J$11:$J$36,MATCH(U34,$T$11:$T$36,0)),"")</f>
        <v/>
      </c>
      <c r="X34" s="53">
        <f>IFERROR(INDEX($S$11:$S$36,MATCH(U34,$T$11:$T$36,0)),"")</f>
        <v/>
      </c>
      <c r="Y34" s="53">
        <f>IF(W34="","",$D$45)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  <c r="S35" s="53">
        <f>IF($J35="","",IF(COUNT($O35,$P35,$Q35)=3,$R35,$J35))</f>
        <v/>
      </c>
      <c r="T35" s="55">
        <f>IF(J35="","",RANK(J35,$J$11:$J$36,0)+COUNTIF($J$11:J35,J35)-1)</f>
        <v/>
      </c>
      <c r="U35" s="56" t="n">
        <v>25</v>
      </c>
      <c r="V35" s="57">
        <f>IFERROR(INDEX($B$11:$B$36,MATCH(U35,$T$11:$T$36,0)),"")</f>
        <v/>
      </c>
      <c r="W35" s="53">
        <f>IFERROR(INDEX($J$11:$J$36,MATCH(U35,$T$11:$T$36,0)),"")</f>
        <v/>
      </c>
      <c r="X35" s="53">
        <f>IFERROR(INDEX($S$11:$S$36,MATCH(U35,$T$11:$T$36,0)),"")</f>
        <v/>
      </c>
      <c r="Y35" s="53">
        <f>IF(W35="","",$D$45)</f>
        <v/>
      </c>
    </row>
    <row r="36">
      <c r="S36" s="53">
        <f>IF($J36="","",IF(COUNT($O36,$P36,$Q36)=3,$R36,$J36))</f>
        <v/>
      </c>
      <c r="T36" s="55">
        <f>IF(J36="","",RANK(J36,$J$11:$J$36,0)+COUNTIF($J$11:J36,J36)-1)</f>
        <v/>
      </c>
      <c r="U36" s="56" t="n">
        <v>26</v>
      </c>
      <c r="V36" s="57">
        <f>IFERROR(INDEX($B$11:$B$36,MATCH(U36,$T$11:$T$36,0)),"")</f>
        <v/>
      </c>
      <c r="W36" s="53">
        <f>IFERROR(INDEX($J$11:$J$36,MATCH(U36,$T$11:$T$36,0)),"")</f>
        <v/>
      </c>
      <c r="X36" s="53">
        <f>IFERROR(INDEX($S$11:$S$36,MATCH(U36,$T$11:$T$36,0)),"")</f>
        <v/>
      </c>
      <c r="Y36" s="53">
        <f>IF(W36="","",$D$45)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the action threshold (act now)</t>
        </is>
      </c>
      <c r="D40" s="43">
        <f>COUNTIF(J11:J35,"&gt;="&amp;$D$45)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15" customHeight="1" s="25">
      <c r="A44" s="42" t="inlineStr">
        <is>
          <t>Risk reduction (on remediated rows)</t>
        </is>
      </c>
      <c r="D44" s="44">
        <f>IFERROR(1-AVERAGE(R11:R35)/AVERAGEIF(R11:R35,"&gt;0",J11:J35),"")</f>
        <v/>
      </c>
    </row>
    <row r="45">
      <c r="A45" s="52" t="inlineStr">
        <is>
          <t>Act above this RPN</t>
        </is>
      </c>
      <c r="D45" s="58" t="n">
        <v>200</v>
      </c>
      <c r="E45" s="54" t="inlineStr">
        <is>
          <t>The conventional line is 100-200. Whatever you set here drives the chart line and the count above.</t>
        </is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6">
    <mergeCell ref="A42:C42"/>
    <mergeCell ref="A41:C41"/>
    <mergeCell ref="B7:F7"/>
    <mergeCell ref="A44:C44"/>
    <mergeCell ref="B6:F6"/>
    <mergeCell ref="A2:R2"/>
    <mergeCell ref="B5:F5"/>
    <mergeCell ref="A40:C40"/>
    <mergeCell ref="A46:R46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3"/>
    <row r="4" ht="19.5" customHeight="1" s="25">
      <c r="A4" s="33" t="inlineStr">
        <is>
          <t>SEVERITY — how badly does this hurt the customer?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1"/>
    <row r="12" ht="19.5" customHeight="1" s="25">
      <c r="A12" s="33" t="inlineStr">
        <is>
          <t>OCCURRENCE — how often does it happen?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19"/>
    <row r="20" ht="19.5" customHeight="1" s="25">
      <c r="A20" s="33" t="inlineStr">
        <is>
          <t>DETECTION — would we catch it before the customer does?  (10 = we would not)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2026-08-01T06:05:04Z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