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w to use this" sheetId="1" state="visible" r:id="rId1"/>
    <sheet name="FMEA" sheetId="2" state="visible" r:id="rId2"/>
    <sheet name="Scoring guid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8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B45309"/>
      <sz val="12"/>
    </font>
    <font>
      <name val="Arial"/>
      <charset val="1"/>
      <family val="0"/>
      <b val="1"/>
      <color rgb="FFB91C1C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657085"/>
      <sz val="9"/>
    </font>
    <font>
      <name val="Arial"/>
      <charset val="1"/>
      <family val="0"/>
      <b val="1"/>
      <color rgb="FFB45309"/>
      <sz val="9"/>
    </font>
    <font>
      <name val="Arial"/>
      <charset val="1"/>
      <family val="0"/>
      <color rgb="FF1F2937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61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2937"/>
      <sz val="10"/>
    </font>
    <font>
      <name val="Arial"/>
      <charset val="1"/>
      <family val="0"/>
      <b val="1"/>
      <color rgb="FF1F2937"/>
      <sz val="11"/>
    </font>
    <font>
      <b val="1"/>
      <sz val="10"/>
    </font>
    <font>
      <i val="1"/>
      <color rgb="FF6B7280"/>
      <sz val="9"/>
    </font>
  </fonts>
  <fills count="11">
    <fill>
      <patternFill/>
    </fill>
    <fill>
      <patternFill patternType="gray125"/>
    </fill>
    <fill>
      <patternFill patternType="solid">
        <fgColor rgb="FFFDEEEE"/>
        <bgColor rgb="FFEEF1F6"/>
      </patternFill>
    </fill>
    <fill>
      <patternFill patternType="solid">
        <fgColor rgb="FF151B24"/>
        <bgColor rgb="FF1F2937"/>
      </patternFill>
    </fill>
    <fill>
      <patternFill patternType="solid">
        <fgColor rgb="FFEEF1F6"/>
        <bgColor rgb="FFF2F7FF"/>
      </patternFill>
    </fill>
    <fill>
      <patternFill patternType="solid">
        <fgColor rgb="FFFFF9E3"/>
        <bgColor rgb="FFFDEEEE"/>
      </patternFill>
    </fill>
    <fill>
      <patternFill patternType="solid">
        <fgColor rgb="FFF2F7FF"/>
        <bgColor rgb="FFEEF1F6"/>
      </patternFill>
    </fill>
    <fill>
      <patternFill patternType="solid">
        <fgColor rgb="FFECFAEF"/>
        <bgColor rgb="FFF2F7FF"/>
      </patternFill>
    </fill>
    <fill>
      <patternFill patternType="solid">
        <fgColor rgb="FF333C49"/>
        <bgColor rgb="FF1F2937"/>
      </patternFill>
    </fill>
    <fill>
      <patternFill patternType="solid">
        <fgColor rgb="FFECFAEF"/>
      </patternFill>
    </fill>
    <fill>
      <patternFill patternType="solid">
        <fgColor rgb="FFF2F7FF"/>
      </patternFill>
    </fill>
  </fills>
  <borders count="6">
    <border>
      <left/>
      <right/>
      <top/>
      <bottom/>
      <diagonal/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  <border>
      <left/>
      <right/>
      <top style="thin">
        <color rgb="FFD8DEE8"/>
      </top>
      <bottom/>
      <diagonal/>
    </border>
    <border>
      <left/>
      <right style="thin">
        <color rgb="FFD8DEE8"/>
      </right>
      <top style="thin">
        <color rgb="FFD8DEE8"/>
      </top>
      <bottom/>
      <diagonal/>
    </border>
    <border>
      <left/>
      <right/>
      <top style="thin">
        <color rgb="FFD8DEE8"/>
      </top>
      <bottom style="thin">
        <color rgb="FFD8DEE8"/>
      </bottom>
      <diagonal/>
    </border>
    <border>
      <left/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general" vertical="top" wrapText="1"/>
    </xf>
    <xf numFmtId="0" fontId="13" fillId="7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15" fillId="6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164" fontId="16" fillId="6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 indent="1"/>
    </xf>
    <xf numFmtId="0" fontId="1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 indent="1"/>
    </xf>
    <xf numFmtId="0" fontId="7" fillId="2" borderId="1" applyAlignment="1" pivotButton="0" quotePrefix="0" xfId="0">
      <alignment horizontal="general" vertical="top" wrapText="1" indent="1"/>
    </xf>
    <xf numFmtId="0" fontId="8" fillId="3" borderId="0" applyAlignment="1" pivotButton="0" quotePrefix="0" xfId="0">
      <alignment horizontal="general" vertical="center" indent="1"/>
    </xf>
    <xf numFmtId="0" fontId="9" fillId="0" borderId="0" applyAlignment="1" pivotButton="0" quotePrefix="0" xfId="0">
      <alignment horizontal="general" vertical="center" wrapText="1" indent="1"/>
    </xf>
    <xf numFmtId="0" fontId="10" fillId="4" borderId="0" applyAlignment="1" pivotButton="0" quotePrefix="0" xfId="0">
      <alignment horizontal="general" vertical="center" indent="1"/>
    </xf>
    <xf numFmtId="0" fontId="0" fillId="5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12" fillId="8" borderId="1" applyAlignment="1" pivotButton="0" quotePrefix="0" xfId="0">
      <alignment horizontal="general" vertical="bottom" wrapText="1"/>
    </xf>
    <xf numFmtId="0" fontId="13" fillId="7" borderId="1" applyAlignment="1" pivotButton="0" quotePrefix="0" xfId="0">
      <alignment horizontal="general" vertical="top" wrapText="1"/>
    </xf>
    <xf numFmtId="0" fontId="14" fillId="5" borderId="1" applyAlignment="1" pivotButton="0" quotePrefix="0" xfId="0">
      <alignment horizontal="general" vertical="top" wrapText="1"/>
    </xf>
    <xf numFmtId="0" fontId="15" fillId="6" borderId="1" applyAlignment="1" pivotButton="0" quotePrefix="0" xfId="0">
      <alignment horizontal="general" vertical="top" wrapText="1"/>
    </xf>
    <xf numFmtId="0" fontId="15" fillId="0" borderId="0" applyAlignment="1" pivotButton="0" quotePrefix="0" xfId="0">
      <alignment horizontal="general" vertical="bottom"/>
    </xf>
    <xf numFmtId="0" fontId="16" fillId="6" borderId="1" applyAlignment="1" pivotButton="0" quotePrefix="0" xfId="0">
      <alignment horizontal="general" vertical="bottom"/>
    </xf>
    <xf numFmtId="164" fontId="16" fillId="6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top" wrapText="1" indent="1"/>
    </xf>
    <xf numFmtId="0" fontId="1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0" fillId="0" borderId="4" pivotButton="0" quotePrefix="0" xfId="0"/>
    <xf numFmtId="0" fontId="0" fillId="0" borderId="5" pivotButton="0" quotePrefix="0" xfId="0"/>
    <xf numFmtId="0" fontId="13" fillId="9" borderId="1" applyAlignment="1" pivotButton="0" quotePrefix="0" xfId="0">
      <alignment horizontal="general" vertical="top" wrapText="1"/>
    </xf>
    <xf numFmtId="0" fontId="14" fillId="9" borderId="1" applyAlignment="1" pivotButton="0" quotePrefix="0" xfId="0">
      <alignment horizontal="general" vertical="top" wrapText="1"/>
    </xf>
    <xf numFmtId="0" fontId="17" fillId="0" borderId="0" pivotButton="0" quotePrefix="0" xfId="0"/>
    <xf numFmtId="3" fontId="0" fillId="10" borderId="0" pivotButton="0" quotePrefix="0" xfId="0"/>
    <xf numFmtId="0" fontId="18" fillId="0" borderId="0" pivotButton="0" quotePrefix="0" xfId="0"/>
    <xf numFmtId="1" fontId="18" fillId="10" borderId="0" pivotButton="0" quotePrefix="0" xfId="0"/>
    <xf numFmtId="1" fontId="0" fillId="0" borderId="0" pivotButton="0" quotePrefix="0" xfId="0"/>
    <xf numFmtId="0" fontId="0" fillId="1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DEEEE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9E3"/>
      <rgbColor rgb="FFECFAEF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F"/>
      <rgbColor rgb="FFEEF1F6"/>
      <rgbColor rgb="FFFFF2CC"/>
      <rgbColor rgb="FF99CCFF"/>
      <rgbColor rgb="FFFF99CC"/>
      <rgbColor rgb="FFCC99FF"/>
      <rgbColor rgb="FFFDEEEE"/>
      <rgbColor rgb="FF3366FF"/>
      <rgbColor rgb="FF33CCCC"/>
      <rgbColor rgb="FF99CC00"/>
      <rgbColor rgb="FFFFCC00"/>
      <rgbColor rgb="FFFF9900"/>
      <rgbColor rgb="FFFF6600"/>
      <rgbColor rgb="FF657085"/>
      <rgbColor rgb="FF969696"/>
      <rgbColor rgb="FF003366"/>
      <rgbColor rgb="FF339966"/>
      <rgbColor rgb="FF151B24"/>
      <rgbColor rgb="FF1F2937"/>
      <rgbColor rgb="FFB91C1C"/>
      <rgbColor rgb="FF993366"/>
      <rgbColor rgb="FF333399"/>
      <rgbColor rgb="FF333C4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roundedCorners val="0"/>
  <style val="10"/>
  <chart>
    <title>
      <tx>
        <rich>
          <a:bodyPr/>
          <a:p>
            <a:pPr>
              <a:defRPr/>
            </a:pPr>
            <a:r>
              <a:t>Risk priority number — ranked, and did the action reduce it?</a:t>
            </a:r>
          </a:p>
        </rich>
      </tx>
    </title>
    <plotArea>
      <barChart>
        <barDir val="col"/>
        <grouping val="clustered"/>
        <ser>
          <idx val="0"/>
          <order val="0"/>
          <tx>
            <v>RPN now</v>
          </tx>
          <spPr>
            <a:solidFill>
              <a:srgbClr val="C0392B"/>
            </a:solidFill>
            <a:ln>
              <a:prstDash val="solid"/>
            </a:ln>
          </spPr>
          <invertIfNegative val="0"/>
          <cat>
            <numRef>
              <f>'FMEA'!$V$11:$V$36</f>
            </numRef>
          </cat>
          <val>
            <numRef>
              <f>'FMEA'!$W$11:$W$36</f>
            </numRef>
          </val>
        </ser>
        <ser>
          <idx val="1"/>
          <order val="1"/>
          <tx>
            <v>RPN after</v>
          </tx>
          <spPr>
            <a:solidFill>
              <a:srgbClr val="3F8F5A"/>
            </a:solidFill>
            <a:ln>
              <a:prstDash val="solid"/>
            </a:ln>
          </spPr>
          <invertIfNegative val="0"/>
          <cat>
            <numRef>
              <f>'FMEA'!$V$11:$V$36</f>
            </numRef>
          </cat>
          <val>
            <numRef>
              <f>'FMEA'!$X$11:$X$36</f>
            </numRef>
          </val>
        </ser>
        <gapWidth val="60"/>
        <overlap val="-10"/>
        <axId val="10"/>
        <axId val="100"/>
      </barChart>
      <lineChart>
        <grouping val="standard"/>
        <ser>
          <idx val="2"/>
          <order val="2"/>
          <tx>
            <v>Act above this (RPN 100)</v>
          </tx>
          <spPr>
            <a:ln w="18000">
              <a:solidFill>
                <a:srgbClr val="B45309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'FMEA'!$Y$11:$Y$36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9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24" min="1" max="1"/>
    <col width="108" customWidth="1" style="24" min="2" max="2"/>
  </cols>
  <sheetData>
    <row r="1"/>
    <row r="2" ht="30" customHeight="1" s="25">
      <c r="B2" s="26" t="inlineStr">
        <is>
          <t>FMEA — Failure Modes and Effects Analysis</t>
        </is>
      </c>
    </row>
    <row r="3" ht="39" customHeight="1" s="25">
      <c r="B3" s="27" t="inlineStr">
        <is>
          <t>This sheet helps you decide what to fix first. You list everything that can go wrong, score each one three ways, and the workbook multiplies those scores into a single risk number so you can rank them.</t>
        </is>
      </c>
    </row>
    <row r="4"/>
    <row r="5" ht="24" customHeight="1" s="25">
      <c r="B5" s="28" t="inlineStr">
        <is>
          <t>What to do, in order</t>
        </is>
      </c>
    </row>
    <row r="6" ht="15" customHeight="1" s="25">
      <c r="B6" s="29" t="inlineStr">
        <is>
          <t>1.  Open the FMEA tab. Row 1 is a worked example — read it, then overwrite or delete it.</t>
        </is>
      </c>
    </row>
    <row r="7" ht="15" customHeight="1" s="25">
      <c r="B7" s="29" t="inlineStr">
        <is>
          <t>2.  In column A, list your process steps. Take them straight from your process map.</t>
        </is>
      </c>
    </row>
    <row r="8" ht="25.5" customHeight="1" s="25">
      <c r="B8" s="29" t="inlineStr">
        <is>
          <t>3.  For each step, write what can go wrong (column B) and what that does to the customer (column C).</t>
        </is>
      </c>
    </row>
    <row r="9" ht="25.5" customHeight="1" s="25">
      <c r="B9" s="29" t="inlineStr">
        <is>
          <t>4.  Score SEVERITY, OCCURRENCE and DETECTION from 1 to 10 using the Scoring guide tab. The cells will refuse anything outside 1–10.</t>
        </is>
      </c>
    </row>
    <row r="10" ht="15" customHeight="1" s="25">
      <c r="B10" s="29" t="inlineStr">
        <is>
          <t>5.  RPN calculates itself. Sort by it, highest first.</t>
        </is>
      </c>
    </row>
    <row r="11" ht="25.5" customHeight="1" s="25">
      <c r="B11" s="29" t="inlineStr">
        <is>
          <t>6.  Write actions for the worst ones, then re-score in the New SEV / OCC / DET columns after you have made the change.</t>
        </is>
      </c>
    </row>
    <row r="12"/>
    <row r="13" ht="24" customHeight="1" s="25">
      <c r="B13" s="28" t="inlineStr">
        <is>
          <t>Two rules that matter more than the maths</t>
        </is>
      </c>
    </row>
    <row r="14" ht="25.5" customHeight="1" s="25">
      <c r="B14" s="30" t="inlineStr">
        <is>
          <t>Never ignore a severity of 9 or 10 just because its RPN is low. A rare catastrophe still needs a control.</t>
        </is>
      </c>
    </row>
    <row r="15" ht="39" customHeight="1" s="25">
      <c r="B15" s="30" t="inlineStr">
        <is>
          <t>In support, detection is nearly always 8–10, because most failures are only found when the customer contacts you a second time. Score that honestly and your priorities will change completely.</t>
        </is>
      </c>
    </row>
    <row r="16"/>
    <row r="17" ht="24" customHeight="1" s="25">
      <c r="B17" s="28" t="inlineStr">
        <is>
          <t>When you are done</t>
        </is>
      </c>
    </row>
    <row r="18" ht="25.5" customHeight="1" s="25">
      <c r="B18" s="27" t="inlineStr">
        <is>
          <t>The failure modes with the highest RPN become candidate root causes to test in the Analyze phase, and the controls you design for them belong in your control plan.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Y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24" min="1" max="1"/>
    <col width="26" customWidth="1" style="24" min="2" max="2"/>
    <col width="28" customWidth="1" style="24" min="3" max="3"/>
    <col width="6" customWidth="1" style="24" min="4" max="4"/>
    <col width="26" customWidth="1" style="24" min="5" max="5"/>
    <col width="6" customWidth="1" style="24" min="6" max="6"/>
    <col width="24" customWidth="1" style="24" min="7" max="8"/>
    <col width="6" customWidth="1" style="24" min="9" max="9"/>
    <col width="8" customWidth="1" style="24" min="10" max="10"/>
    <col width="30" customWidth="1" style="24" min="11" max="11"/>
    <col width="14" customWidth="1" style="24" min="12" max="12"/>
    <col width="11" customWidth="1" style="24" min="13" max="13"/>
    <col width="26" customWidth="1" style="24" min="14" max="14"/>
    <col width="8" customWidth="1" style="24" min="15" max="17"/>
    <col width="9" customWidth="1" style="24" min="18" max="18"/>
  </cols>
  <sheetData>
    <row r="1" ht="25.5" customHeight="1" s="25">
      <c r="A1" s="31" t="inlineStr">
        <is>
          <t>FMEA  —  Failure Modes and Effects Analysis</t>
        </is>
      </c>
    </row>
    <row r="2" ht="27.75" customHeight="1" s="25">
      <c r="A2" s="32" t="inlineStr">
        <is>
          <t>Find the failure modes that will hurt most, and fix those first. RPN and New RPN calculate themselves.</t>
        </is>
      </c>
    </row>
    <row r="4" ht="19.5" customHeight="1" s="25">
      <c r="A4" s="33" t="inlineStr">
        <is>
          <t>HOW TO USE THIS SHEET</t>
        </is>
      </c>
    </row>
    <row r="5" ht="15" customHeight="1" s="25">
      <c r="A5" s="34" t="inlineStr">
        <is>
          <t>Yellow cells</t>
        </is>
      </c>
      <c r="B5" s="35" t="inlineStr">
        <is>
          <t>You fill these in. Blue text = a number you typed.</t>
        </is>
      </c>
    </row>
    <row r="6" ht="15" customHeight="1" s="25">
      <c r="A6" s="36" t="inlineStr">
        <is>
          <t>Blue cells</t>
        </is>
      </c>
      <c r="B6" s="35" t="inlineStr">
        <is>
          <t>Calculated for you. Do not type over these — they contain formulas.</t>
        </is>
      </c>
    </row>
    <row r="7" ht="15" customHeight="1" s="25">
      <c r="A7" s="37" t="inlineStr">
        <is>
          <t>Row 1 example</t>
        </is>
      </c>
      <c r="B7" s="35" t="inlineStr">
        <is>
          <t>A realistic worked example, so you can see the expected format. Delete or overwrite it.</t>
        </is>
      </c>
    </row>
    <row r="9" ht="19.5" customHeight="1" s="25">
      <c r="A9" s="33" t="inlineStr">
        <is>
          <t>SCORE EACH FAILURE MODE 1–10 ON SEVERITY, OCCURRENCE AND DETECTION. THE SCORING GUIDE IS ON THE NEXT SHEET.</t>
        </is>
      </c>
    </row>
    <row r="10" ht="31.5" customHeight="1" s="25">
      <c r="A10" s="38" t="inlineStr">
        <is>
          <t>Process step</t>
        </is>
      </c>
      <c r="B10" s="38" t="inlineStr">
        <is>
          <t>Potential failure mode</t>
        </is>
      </c>
      <c r="C10" s="38" t="inlineStr">
        <is>
          <t>Effect on the customer</t>
        </is>
      </c>
      <c r="D10" s="38" t="inlineStr">
        <is>
          <t>SEV</t>
        </is>
      </c>
      <c r="E10" s="38" t="inlineStr">
        <is>
          <t>Potential cause</t>
        </is>
      </c>
      <c r="F10" s="38" t="inlineStr">
        <is>
          <t>OCC</t>
        </is>
      </c>
      <c r="G10" s="38" t="inlineStr">
        <is>
          <t>Prevention control</t>
        </is>
      </c>
      <c r="H10" s="38" t="inlineStr">
        <is>
          <t>Detection control</t>
        </is>
      </c>
      <c r="I10" s="38" t="inlineStr">
        <is>
          <t>DET</t>
        </is>
      </c>
      <c r="J10" s="38" t="inlineStr">
        <is>
          <t>RPN</t>
        </is>
      </c>
      <c r="K10" s="38" t="inlineStr">
        <is>
          <t>Recommended action</t>
        </is>
      </c>
      <c r="L10" s="38" t="inlineStr">
        <is>
          <t>Owner</t>
        </is>
      </c>
      <c r="M10" s="38" t="inlineStr">
        <is>
          <t>Due</t>
        </is>
      </c>
      <c r="N10" s="38" t="inlineStr">
        <is>
          <t>Action taken</t>
        </is>
      </c>
      <c r="O10" s="38" t="inlineStr">
        <is>
          <t>New SEV</t>
        </is>
      </c>
      <c r="P10" s="38" t="inlineStr">
        <is>
          <t>New OCC</t>
        </is>
      </c>
      <c r="Q10" s="38" t="inlineStr">
        <is>
          <t>New DET</t>
        </is>
      </c>
      <c r="R10" s="38" t="inlineStr">
        <is>
          <t>New RPN</t>
        </is>
      </c>
      <c r="T10" s="54" t="inlineStr">
        <is>
          <t>rank</t>
        </is>
      </c>
      <c r="U10" s="52" t="inlineStr">
        <is>
          <t>#</t>
        </is>
      </c>
      <c r="V10" s="52" t="inlineStr">
        <is>
          <t>Failure mode</t>
        </is>
      </c>
      <c r="W10" s="52" t="inlineStr">
        <is>
          <t>RPN now</t>
        </is>
      </c>
      <c r="X10" s="52" t="inlineStr">
        <is>
          <t>RPN after</t>
        </is>
      </c>
      <c r="Y10" s="52" t="inlineStr">
        <is>
          <t>Act above</t>
        </is>
      </c>
    </row>
    <row r="11" ht="45.75" customHeight="1" s="25">
      <c r="A11" s="50" t="inlineStr">
        <is>
          <t>Agent closes a billing ticket</t>
        </is>
      </c>
      <c r="B11" s="50" t="inlineStr">
        <is>
          <t>Adjustment has not posted yet</t>
        </is>
      </c>
      <c r="C11" s="50" t="inlineStr">
        <is>
          <t>Customer discovers it themselves and contacts us again</t>
        </is>
      </c>
      <c r="D11" s="50" t="n">
        <v>7</v>
      </c>
      <c r="E11" s="50" t="inlineStr">
        <is>
          <t>System closes the ticket before the posting webhook confirms</t>
        </is>
      </c>
      <c r="F11" s="50" t="n">
        <v>8</v>
      </c>
      <c r="G11" s="50" t="inlineStr">
        <is>
          <t>None</t>
        </is>
      </c>
      <c r="H11" s="50" t="inlineStr">
        <is>
          <t>Only detected if the customer complains again</t>
        </is>
      </c>
      <c r="I11" s="50" t="n">
        <v>9</v>
      </c>
      <c r="J11" s="39">
        <f>IF(COUNT(D11,F11,I11)=3,D11*F11*I11,"")</f>
        <v/>
      </c>
      <c r="K11" s="50" t="inlineStr">
        <is>
          <t>Block Resolved status until the posting webhook confirms</t>
        </is>
      </c>
      <c r="L11" s="50" t="inlineStr">
        <is>
          <t>Billing Ops</t>
        </is>
      </c>
      <c r="M11" s="50" t="inlineStr">
        <is>
          <t>2026-09-30</t>
        </is>
      </c>
      <c r="N11" s="50" t="inlineStr">
        <is>
          <t>Deferred-close rule shipped</t>
        </is>
      </c>
      <c r="O11" s="50" t="n">
        <v>7</v>
      </c>
      <c r="P11" s="50" t="n">
        <v>2</v>
      </c>
      <c r="Q11" s="50" t="n">
        <v>3</v>
      </c>
      <c r="R11" s="39">
        <f>IF(COUNT(O11,P11,Q11)=3,O11*P11*Q11,"")</f>
        <v/>
      </c>
      <c r="T11" s="55">
        <f>IF(J11="","",RANK(J11,$J$11:$J$36,0)+COUNTIF($J$11:J11,J11)-1)</f>
        <v/>
      </c>
      <c r="U11" s="56" t="n">
        <v>1</v>
      </c>
      <c r="V11" s="57">
        <f>IFERROR(INDEX($B$11:$B$36,MATCH(U11,$T$11:$T$36,0)),"")</f>
        <v/>
      </c>
      <c r="W11" s="53">
        <f>IFERROR(INDEX($J$11:$J$36,MATCH(U11,$T$11:$T$36,0)),"")</f>
        <v/>
      </c>
      <c r="X11" s="53">
        <f>IFERROR(INDEX($R$11:$R$36,MATCH(U11,$T$11:$T$36,0)),"")</f>
        <v/>
      </c>
      <c r="Y11" s="53">
        <f>IF(W11="","",100)</f>
        <v/>
      </c>
    </row>
    <row r="12" ht="30" customHeight="1" s="25">
      <c r="A12" s="51" t="inlineStr">
        <is>
          <t>Tier 1 tags the contact reason</t>
        </is>
      </c>
      <c r="B12" s="51" t="inlineStr">
        <is>
          <t>Wrong reason selected</t>
        </is>
      </c>
      <c r="C12" s="51" t="inlineStr">
        <is>
          <t>Routing sends it to the wrong queue; customer repeats themselves</t>
        </is>
      </c>
      <c r="D12" s="51" t="n">
        <v>6</v>
      </c>
      <c r="E12" s="51" t="inlineStr">
        <is>
          <t>40 codes in a flat list, no search</t>
        </is>
      </c>
      <c r="F12" s="51" t="n">
        <v>9</v>
      </c>
      <c r="G12" s="51" t="inlineStr">
        <is>
          <t>Annual training</t>
        </is>
      </c>
      <c r="H12" s="51" t="inlineStr">
        <is>
          <t>QA audit catches it weeks later on 2% of contacts</t>
        </is>
      </c>
      <c r="I12" s="51" t="n">
        <v>8</v>
      </c>
      <c r="J12" s="41">
        <f>IF(COUNT(D12,F12,I12)=3,D12*F12*I12,"")</f>
        <v/>
      </c>
      <c r="K12" s="51" t="inlineStr">
        <is>
          <t>Cut the list to 12 codes and predict from the first message</t>
        </is>
      </c>
      <c r="L12" s="51" t="inlineStr">
        <is>
          <t>Support Ops</t>
        </is>
      </c>
      <c r="M12" s="51" t="inlineStr">
        <is>
          <t>2026-10-15</t>
        </is>
      </c>
      <c r="N12" s="51" t="inlineStr">
        <is>
          <t>Code list redesigned, pending release</t>
        </is>
      </c>
      <c r="O12" s="51" t="n">
        <v>6</v>
      </c>
      <c r="P12" s="51" t="n">
        <v>3</v>
      </c>
      <c r="Q12" s="51" t="n">
        <v>4</v>
      </c>
      <c r="R12" s="41">
        <f>IF(COUNT(O12,P12,Q12)=3,O12*P12*Q12,"")</f>
        <v/>
      </c>
      <c r="T12" s="55">
        <f>IF(J12="","",RANK(J12,$J$11:$J$36,0)+COUNTIF($J$11:J12,J12)-1)</f>
        <v/>
      </c>
      <c r="U12" s="56" t="n">
        <v>2</v>
      </c>
      <c r="V12" s="57">
        <f>IFERROR(INDEX($B$11:$B$36,MATCH(U12,$T$11:$T$36,0)),"")</f>
        <v/>
      </c>
      <c r="W12" s="53">
        <f>IFERROR(INDEX($J$11:$J$36,MATCH(U12,$T$11:$T$36,0)),"")</f>
        <v/>
      </c>
      <c r="X12" s="53">
        <f>IFERROR(INDEX($R$11:$R$36,MATCH(U12,$T$11:$T$36,0)),"")</f>
        <v/>
      </c>
      <c r="Y12" s="53">
        <f>IF(W12="","",100)</f>
        <v/>
      </c>
    </row>
    <row r="13" ht="30" customHeight="1" s="25">
      <c r="A13" s="51" t="inlineStr">
        <is>
          <t>Billing Ops verifies evidence</t>
        </is>
      </c>
      <c r="B13" s="51" t="inlineStr">
        <is>
          <t>Evidence missing, ticket bounced back</t>
        </is>
      </c>
      <c r="C13" s="51" t="inlineStr">
        <is>
          <t>Adds a full day to the resolution</t>
        </is>
      </c>
      <c r="D13" s="51" t="n">
        <v>5</v>
      </c>
      <c r="E13" s="51" t="inlineStr">
        <is>
          <t>Tier 1 has no checklist for what Billing needs</t>
        </is>
      </c>
      <c r="F13" s="51" t="n">
        <v>7</v>
      </c>
      <c r="G13" s="51" t="inlineStr">
        <is>
          <t>Wiki page nobody opens</t>
        </is>
      </c>
      <c r="H13" s="51" t="inlineStr">
        <is>
          <t>Detected immediately on bounce-back</t>
        </is>
      </c>
      <c r="I13" s="51" t="n">
        <v>3</v>
      </c>
      <c r="J13" s="41">
        <f>IF(COUNT(D13,F13,I13)=3,D13*F13*I13,"")</f>
        <v/>
      </c>
      <c r="K13" s="51" t="inlineStr">
        <is>
          <t>Required-fields form before hand-off</t>
        </is>
      </c>
      <c r="L13" s="51" t="inlineStr">
        <is>
          <t>Support Ops</t>
        </is>
      </c>
      <c r="M13" s="51" t="inlineStr">
        <is>
          <t>2026-09-15</t>
        </is>
      </c>
      <c r="N13" s="51" t="inlineStr">
        <is>
          <t>Form live since August</t>
        </is>
      </c>
      <c r="O13" s="51" t="n">
        <v>5</v>
      </c>
      <c r="P13" s="51" t="n">
        <v>2</v>
      </c>
      <c r="Q13" s="51" t="n">
        <v>3</v>
      </c>
      <c r="R13" s="41">
        <f>IF(COUNT(O13,P13,Q13)=3,O13*P13*Q13,"")</f>
        <v/>
      </c>
      <c r="T13" s="55">
        <f>IF(J13="","",RANK(J13,$J$11:$J$36,0)+COUNTIF($J$11:J13,J13)-1)</f>
        <v/>
      </c>
      <c r="U13" s="56" t="n">
        <v>3</v>
      </c>
      <c r="V13" s="57">
        <f>IFERROR(INDEX($B$11:$B$36,MATCH(U13,$T$11:$T$36,0)),"")</f>
        <v/>
      </c>
      <c r="W13" s="53">
        <f>IFERROR(INDEX($J$11:$J$36,MATCH(U13,$T$11:$T$36,0)),"")</f>
        <v/>
      </c>
      <c r="X13" s="53">
        <f>IFERROR(INDEX($R$11:$R$36,MATCH(U13,$T$11:$T$36,0)),"")</f>
        <v/>
      </c>
      <c r="Y13" s="53">
        <f>IF(W13="","",100)</f>
        <v/>
      </c>
    </row>
    <row r="14" ht="30" customHeight="1" s="25">
      <c r="A14" s="51" t="inlineStr">
        <is>
          <t>Nightly adjustment batch runs</t>
        </is>
      </c>
      <c r="B14" s="51" t="inlineStr">
        <is>
          <t>Batch fails silently</t>
        </is>
      </c>
      <c r="C14" s="51" t="inlineStr">
        <is>
          <t>Every adjustment that day is late; nobody knows until customers call</t>
        </is>
      </c>
      <c r="D14" s="51" t="n">
        <v>8</v>
      </c>
      <c r="E14" s="51" t="inlineStr">
        <is>
          <t>No alerting on batch exit code</t>
        </is>
      </c>
      <c r="F14" s="51" t="n">
        <v>4</v>
      </c>
      <c r="G14" s="51" t="inlineStr">
        <is>
          <t>None</t>
        </is>
      </c>
      <c r="H14" s="51" t="inlineStr">
        <is>
          <t>Discovered next morning by chance</t>
        </is>
      </c>
      <c r="I14" s="51" t="n">
        <v>9</v>
      </c>
      <c r="J14" s="41">
        <f>IF(COUNT(D14,F14,I14)=3,D14*F14*I14,"")</f>
        <v/>
      </c>
      <c r="K14" s="51" t="inlineStr">
        <is>
          <t>Alert on non-zero exit to the on-call channel</t>
        </is>
      </c>
      <c r="L14" s="51" t="inlineStr">
        <is>
          <t>Platform Eng</t>
        </is>
      </c>
      <c r="M14" s="51" t="inlineStr">
        <is>
          <t>2026-09-01</t>
        </is>
      </c>
      <c r="N14" s="51" t="inlineStr">
        <is>
          <t>Alerting deployed</t>
        </is>
      </c>
      <c r="O14" s="51" t="n">
        <v>8</v>
      </c>
      <c r="P14" s="51" t="n">
        <v>2</v>
      </c>
      <c r="Q14" s="51" t="n">
        <v>2</v>
      </c>
      <c r="R14" s="41">
        <f>IF(COUNT(O14,P14,Q14)=3,O14*P14*Q14,"")</f>
        <v/>
      </c>
      <c r="T14" s="55">
        <f>IF(J14="","",RANK(J14,$J$11:$J$36,0)+COUNTIF($J$11:J14,J14)-1)</f>
        <v/>
      </c>
      <c r="U14" s="56" t="n">
        <v>4</v>
      </c>
      <c r="V14" s="57">
        <f>IFERROR(INDEX($B$11:$B$36,MATCH(U14,$T$11:$T$36,0)),"")</f>
        <v/>
      </c>
      <c r="W14" s="53">
        <f>IFERROR(INDEX($J$11:$J$36,MATCH(U14,$T$11:$T$36,0)),"")</f>
        <v/>
      </c>
      <c r="X14" s="53">
        <f>IFERROR(INDEX($R$11:$R$36,MATCH(U14,$T$11:$T$36,0)),"")</f>
        <v/>
      </c>
      <c r="Y14" s="53">
        <f>IF(W14="","",100)</f>
        <v/>
      </c>
    </row>
    <row r="15" ht="30" customHeight="1" s="25">
      <c r="A15" s="51" t="inlineStr">
        <is>
          <t>Agent applies a goodwill credit</t>
        </is>
      </c>
      <c r="B15" s="51" t="inlineStr">
        <is>
          <t>Credit exceeds the agent's authority</t>
        </is>
      </c>
      <c r="C15" s="51" t="inlineStr">
        <is>
          <t>Margin leakage; caught in month-end reconciliation</t>
        </is>
      </c>
      <c r="D15" s="51" t="n">
        <v>4</v>
      </c>
      <c r="E15" s="51" t="inlineStr">
        <is>
          <t>Limit is documented but not enforced in the tool</t>
        </is>
      </c>
      <c r="F15" s="51" t="n">
        <v>6</v>
      </c>
      <c r="G15" s="51" t="inlineStr">
        <is>
          <t>SOP states the limit</t>
        </is>
      </c>
      <c r="H15" s="51" t="inlineStr">
        <is>
          <t>Month-end reconciliation, up to 30 days later</t>
        </is>
      </c>
      <c r="I15" s="51" t="n">
        <v>7</v>
      </c>
      <c r="J15" s="41">
        <f>IF(COUNT(D15,F15,I15)=3,D15*F15*I15,"")</f>
        <v/>
      </c>
      <c r="K15" s="51" t="inlineStr">
        <is>
          <t>Enforce the limit in the credit form</t>
        </is>
      </c>
      <c r="L15" s="51" t="inlineStr">
        <is>
          <t>Billing Ops</t>
        </is>
      </c>
      <c r="M15" s="51" t="inlineStr">
        <is>
          <t>2026-11-30</t>
        </is>
      </c>
      <c r="N15" s="51" t="inlineStr">
        <is>
          <t>In backlog</t>
        </is>
      </c>
      <c r="O15" s="51" t="n">
        <v>4</v>
      </c>
      <c r="P15" s="51" t="n">
        <v>6</v>
      </c>
      <c r="Q15" s="51" t="n">
        <v>7</v>
      </c>
      <c r="R15" s="41">
        <f>IF(COUNT(O15,P15,Q15)=3,O15*P15*Q15,"")</f>
        <v/>
      </c>
      <c r="T15" s="55">
        <f>IF(J15="","",RANK(J15,$J$11:$J$36,0)+COUNTIF($J$11:J15,J15)-1)</f>
        <v/>
      </c>
      <c r="U15" s="56" t="n">
        <v>5</v>
      </c>
      <c r="V15" s="57">
        <f>IFERROR(INDEX($B$11:$B$36,MATCH(U15,$T$11:$T$36,0)),"")</f>
        <v/>
      </c>
      <c r="W15" s="53">
        <f>IFERROR(INDEX($J$11:$J$36,MATCH(U15,$T$11:$T$36,0)),"")</f>
        <v/>
      </c>
      <c r="X15" s="53">
        <f>IFERROR(INDEX($R$11:$R$36,MATCH(U15,$T$11:$T$36,0)),"")</f>
        <v/>
      </c>
      <c r="Y15" s="53">
        <f>IF(W15="","",100)</f>
        <v/>
      </c>
    </row>
    <row r="16" ht="30" customHeight="1" s="25">
      <c r="A16" s="51" t="inlineStr">
        <is>
          <t>Customer confirms resolution</t>
        </is>
      </c>
      <c r="B16" s="51" t="inlineStr">
        <is>
          <t>No confirmation ever arrives</t>
        </is>
      </c>
      <c r="C16" s="51" t="inlineStr">
        <is>
          <t>Ticket auto-closes while the customer still has the problem</t>
        </is>
      </c>
      <c r="D16" s="51" t="n">
        <v>6</v>
      </c>
      <c r="E16" s="51" t="inlineStr">
        <is>
          <t>Auto-close at 96 hours with no reminder</t>
        </is>
      </c>
      <c r="F16" s="51" t="n">
        <v>7</v>
      </c>
      <c r="G16" s="51" t="inlineStr">
        <is>
          <t>None</t>
        </is>
      </c>
      <c r="H16" s="51" t="inlineStr">
        <is>
          <t>Only visible as a reopen days later</t>
        </is>
      </c>
      <c r="I16" s="51" t="n">
        <v>8</v>
      </c>
      <c r="J16" s="41">
        <f>IF(COUNT(D16,F16,I16)=3,D16*F16*I16,"")</f>
        <v/>
      </c>
      <c r="K16" s="51" t="inlineStr">
        <is>
          <t>Send a reminder at 48 hours before auto-close</t>
        </is>
      </c>
      <c r="L16" s="51" t="inlineStr">
        <is>
          <t>Support Ops</t>
        </is>
      </c>
      <c r="M16" s="51" t="inlineStr">
        <is>
          <t>2026-10-01</t>
        </is>
      </c>
      <c r="N16" s="51" t="inlineStr">
        <is>
          <t>Reminder shipped</t>
        </is>
      </c>
      <c r="O16" s="51" t="n">
        <v>6</v>
      </c>
      <c r="P16" s="51" t="n">
        <v>3</v>
      </c>
      <c r="Q16" s="51" t="n">
        <v>4</v>
      </c>
      <c r="R16" s="41">
        <f>IF(COUNT(O16,P16,Q16)=3,O16*P16*Q16,"")</f>
        <v/>
      </c>
      <c r="T16" s="55">
        <f>IF(J16="","",RANK(J16,$J$11:$J$36,0)+COUNTIF($J$11:J16,J16)-1)</f>
        <v/>
      </c>
      <c r="U16" s="56" t="n">
        <v>6</v>
      </c>
      <c r="V16" s="57">
        <f>IFERROR(INDEX($B$11:$B$36,MATCH(U16,$T$11:$T$36,0)),"")</f>
        <v/>
      </c>
      <c r="W16" s="53">
        <f>IFERROR(INDEX($J$11:$J$36,MATCH(U16,$T$11:$T$36,0)),"")</f>
        <v/>
      </c>
      <c r="X16" s="53">
        <f>IFERROR(INDEX($R$11:$R$36,MATCH(U16,$T$11:$T$36,0)),"")</f>
        <v/>
      </c>
      <c r="Y16" s="53">
        <f>IF(W16="","",100)</f>
        <v/>
      </c>
    </row>
    <row r="17" ht="30" customHeight="1" s="25">
      <c r="A17" s="40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1">
        <f>IF(COUNT(D17,F17,I17)=3,D17*F17*I17,"")</f>
        <v/>
      </c>
      <c r="K17" s="40" t="n"/>
      <c r="L17" s="40" t="n"/>
      <c r="M17" s="40" t="n"/>
      <c r="N17" s="40" t="n"/>
      <c r="O17" s="40" t="n"/>
      <c r="P17" s="40" t="n"/>
      <c r="Q17" s="40" t="n"/>
      <c r="R17" s="41">
        <f>IF(COUNT(O17,P17,Q17)=3,O17*P17*Q17,"")</f>
        <v/>
      </c>
      <c r="T17" s="55">
        <f>IF(J17="","",RANK(J17,$J$11:$J$36,0)+COUNTIF($J$11:J17,J17)-1)</f>
        <v/>
      </c>
      <c r="U17" s="56" t="n">
        <v>7</v>
      </c>
      <c r="V17" s="57">
        <f>IFERROR(INDEX($B$11:$B$36,MATCH(U17,$T$11:$T$36,0)),"")</f>
        <v/>
      </c>
      <c r="W17" s="53">
        <f>IFERROR(INDEX($J$11:$J$36,MATCH(U17,$T$11:$T$36,0)),"")</f>
        <v/>
      </c>
      <c r="X17" s="53">
        <f>IFERROR(INDEX($R$11:$R$36,MATCH(U17,$T$11:$T$36,0)),"")</f>
        <v/>
      </c>
      <c r="Y17" s="53">
        <f>IF(W17="","",100)</f>
        <v/>
      </c>
    </row>
    <row r="18" ht="30" customHeight="1" s="25">
      <c r="A18" s="40" t="n"/>
      <c r="B18" s="40" t="n"/>
      <c r="C18" s="40" t="n"/>
      <c r="D18" s="40" t="n"/>
      <c r="E18" s="40" t="n"/>
      <c r="F18" s="40" t="n"/>
      <c r="G18" s="40" t="n"/>
      <c r="H18" s="40" t="n"/>
      <c r="I18" s="40" t="n"/>
      <c r="J18" s="41">
        <f>IF(COUNT(D18,F18,I18)=3,D18*F18*I18,"")</f>
        <v/>
      </c>
      <c r="K18" s="40" t="n"/>
      <c r="L18" s="40" t="n"/>
      <c r="M18" s="40" t="n"/>
      <c r="N18" s="40" t="n"/>
      <c r="O18" s="40" t="n"/>
      <c r="P18" s="40" t="n"/>
      <c r="Q18" s="40" t="n"/>
      <c r="R18" s="41">
        <f>IF(COUNT(O18,P18,Q18)=3,O18*P18*Q18,"")</f>
        <v/>
      </c>
      <c r="T18" s="55">
        <f>IF(J18="","",RANK(J18,$J$11:$J$36,0)+COUNTIF($J$11:J18,J18)-1)</f>
        <v/>
      </c>
      <c r="U18" s="56" t="n">
        <v>8</v>
      </c>
      <c r="V18" s="57">
        <f>IFERROR(INDEX($B$11:$B$36,MATCH(U18,$T$11:$T$36,0)),"")</f>
        <v/>
      </c>
      <c r="W18" s="53">
        <f>IFERROR(INDEX($J$11:$J$36,MATCH(U18,$T$11:$T$36,0)),"")</f>
        <v/>
      </c>
      <c r="X18" s="53">
        <f>IFERROR(INDEX($R$11:$R$36,MATCH(U18,$T$11:$T$36,0)),"")</f>
        <v/>
      </c>
      <c r="Y18" s="53">
        <f>IF(W18="","",100)</f>
        <v/>
      </c>
    </row>
    <row r="19" ht="30" customHeight="1" s="25">
      <c r="A19" s="40" t="n"/>
      <c r="B19" s="40" t="n"/>
      <c r="C19" s="40" t="n"/>
      <c r="D19" s="40" t="n"/>
      <c r="E19" s="40" t="n"/>
      <c r="F19" s="40" t="n"/>
      <c r="G19" s="40" t="n"/>
      <c r="H19" s="40" t="n"/>
      <c r="I19" s="40" t="n"/>
      <c r="J19" s="41">
        <f>IF(COUNT(D19,F19,I19)=3,D19*F19*I19,"")</f>
        <v/>
      </c>
      <c r="K19" s="40" t="n"/>
      <c r="L19" s="40" t="n"/>
      <c r="M19" s="40" t="n"/>
      <c r="N19" s="40" t="n"/>
      <c r="O19" s="40" t="n"/>
      <c r="P19" s="40" t="n"/>
      <c r="Q19" s="40" t="n"/>
      <c r="R19" s="41">
        <f>IF(COUNT(O19,P19,Q19)=3,O19*P19*Q19,"")</f>
        <v/>
      </c>
      <c r="T19" s="55">
        <f>IF(J19="","",RANK(J19,$J$11:$J$36,0)+COUNTIF($J$11:J19,J19)-1)</f>
        <v/>
      </c>
      <c r="U19" s="56" t="n">
        <v>9</v>
      </c>
      <c r="V19" s="57">
        <f>IFERROR(INDEX($B$11:$B$36,MATCH(U19,$T$11:$T$36,0)),"")</f>
        <v/>
      </c>
      <c r="W19" s="53">
        <f>IFERROR(INDEX($J$11:$J$36,MATCH(U19,$T$11:$T$36,0)),"")</f>
        <v/>
      </c>
      <c r="X19" s="53">
        <f>IFERROR(INDEX($R$11:$R$36,MATCH(U19,$T$11:$T$36,0)),"")</f>
        <v/>
      </c>
      <c r="Y19" s="53">
        <f>IF(W19="","",100)</f>
        <v/>
      </c>
    </row>
    <row r="20" ht="30" customHeight="1" s="25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0" t="n"/>
      <c r="J20" s="41">
        <f>IF(COUNT(D20,F20,I20)=3,D20*F20*I20,"")</f>
        <v/>
      </c>
      <c r="K20" s="40" t="n"/>
      <c r="L20" s="40" t="n"/>
      <c r="M20" s="40" t="n"/>
      <c r="N20" s="40" t="n"/>
      <c r="O20" s="40" t="n"/>
      <c r="P20" s="40" t="n"/>
      <c r="Q20" s="40" t="n"/>
      <c r="R20" s="41">
        <f>IF(COUNT(O20,P20,Q20)=3,O20*P20*Q20,"")</f>
        <v/>
      </c>
      <c r="T20" s="55">
        <f>IF(J20="","",RANK(J20,$J$11:$J$36,0)+COUNTIF($J$11:J20,J20)-1)</f>
        <v/>
      </c>
      <c r="U20" s="56" t="n">
        <v>10</v>
      </c>
      <c r="V20" s="57">
        <f>IFERROR(INDEX($B$11:$B$36,MATCH(U20,$T$11:$T$36,0)),"")</f>
        <v/>
      </c>
      <c r="W20" s="53">
        <f>IFERROR(INDEX($J$11:$J$36,MATCH(U20,$T$11:$T$36,0)),"")</f>
        <v/>
      </c>
      <c r="X20" s="53">
        <f>IFERROR(INDEX($R$11:$R$36,MATCH(U20,$T$11:$T$36,0)),"")</f>
        <v/>
      </c>
      <c r="Y20" s="53">
        <f>IF(W20="","",100)</f>
        <v/>
      </c>
    </row>
    <row r="21" ht="30" customHeight="1" s="25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0" t="n"/>
      <c r="J21" s="41">
        <f>IF(COUNT(D21,F21,I21)=3,D21*F21*I21,"")</f>
        <v/>
      </c>
      <c r="K21" s="40" t="n"/>
      <c r="L21" s="40" t="n"/>
      <c r="M21" s="40" t="n"/>
      <c r="N21" s="40" t="n"/>
      <c r="O21" s="40" t="n"/>
      <c r="P21" s="40" t="n"/>
      <c r="Q21" s="40" t="n"/>
      <c r="R21" s="41">
        <f>IF(COUNT(O21,P21,Q21)=3,O21*P21*Q21,"")</f>
        <v/>
      </c>
      <c r="T21" s="55">
        <f>IF(J21="","",RANK(J21,$J$11:$J$36,0)+COUNTIF($J$11:J21,J21)-1)</f>
        <v/>
      </c>
      <c r="U21" s="56" t="n">
        <v>11</v>
      </c>
      <c r="V21" s="57">
        <f>IFERROR(INDEX($B$11:$B$36,MATCH(U21,$T$11:$T$36,0)),"")</f>
        <v/>
      </c>
      <c r="W21" s="53">
        <f>IFERROR(INDEX($J$11:$J$36,MATCH(U21,$T$11:$T$36,0)),"")</f>
        <v/>
      </c>
      <c r="X21" s="53">
        <f>IFERROR(INDEX($R$11:$R$36,MATCH(U21,$T$11:$T$36,0)),"")</f>
        <v/>
      </c>
      <c r="Y21" s="53">
        <f>IF(W21="","",100)</f>
        <v/>
      </c>
    </row>
    <row r="22" ht="30" customHeight="1" s="25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0" t="n"/>
      <c r="J22" s="41">
        <f>IF(COUNT(D22,F22,I22)=3,D22*F22*I22,"")</f>
        <v/>
      </c>
      <c r="K22" s="40" t="n"/>
      <c r="L22" s="40" t="n"/>
      <c r="M22" s="40" t="n"/>
      <c r="N22" s="40" t="n"/>
      <c r="O22" s="40" t="n"/>
      <c r="P22" s="40" t="n"/>
      <c r="Q22" s="40" t="n"/>
      <c r="R22" s="41">
        <f>IF(COUNT(O22,P22,Q22)=3,O22*P22*Q22,"")</f>
        <v/>
      </c>
      <c r="T22" s="55">
        <f>IF(J22="","",RANK(J22,$J$11:$J$36,0)+COUNTIF($J$11:J22,J22)-1)</f>
        <v/>
      </c>
      <c r="U22" s="56" t="n">
        <v>12</v>
      </c>
      <c r="V22" s="57">
        <f>IFERROR(INDEX($B$11:$B$36,MATCH(U22,$T$11:$T$36,0)),"")</f>
        <v/>
      </c>
      <c r="W22" s="53">
        <f>IFERROR(INDEX($J$11:$J$36,MATCH(U22,$T$11:$T$36,0)),"")</f>
        <v/>
      </c>
      <c r="X22" s="53">
        <f>IFERROR(INDEX($R$11:$R$36,MATCH(U22,$T$11:$T$36,0)),"")</f>
        <v/>
      </c>
      <c r="Y22" s="53">
        <f>IF(W22="","",100)</f>
        <v/>
      </c>
    </row>
    <row r="23" ht="30" customHeight="1" s="25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0" t="n"/>
      <c r="J23" s="41">
        <f>IF(COUNT(D23,F23,I23)=3,D23*F23*I23,"")</f>
        <v/>
      </c>
      <c r="K23" s="40" t="n"/>
      <c r="L23" s="40" t="n"/>
      <c r="M23" s="40" t="n"/>
      <c r="N23" s="40" t="n"/>
      <c r="O23" s="40" t="n"/>
      <c r="P23" s="40" t="n"/>
      <c r="Q23" s="40" t="n"/>
      <c r="R23" s="41">
        <f>IF(COUNT(O23,P23,Q23)=3,O23*P23*Q23,"")</f>
        <v/>
      </c>
      <c r="T23" s="55">
        <f>IF(J23="","",RANK(J23,$J$11:$J$36,0)+COUNTIF($J$11:J23,J23)-1)</f>
        <v/>
      </c>
      <c r="U23" s="56" t="n">
        <v>13</v>
      </c>
      <c r="V23" s="57">
        <f>IFERROR(INDEX($B$11:$B$36,MATCH(U23,$T$11:$T$36,0)),"")</f>
        <v/>
      </c>
      <c r="W23" s="53">
        <f>IFERROR(INDEX($J$11:$J$36,MATCH(U23,$T$11:$T$36,0)),"")</f>
        <v/>
      </c>
      <c r="X23" s="53">
        <f>IFERROR(INDEX($R$11:$R$36,MATCH(U23,$T$11:$T$36,0)),"")</f>
        <v/>
      </c>
      <c r="Y23" s="53">
        <f>IF(W23="","",100)</f>
        <v/>
      </c>
    </row>
    <row r="24" ht="30" customHeight="1" s="25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0" t="n"/>
      <c r="J24" s="41">
        <f>IF(COUNT(D24,F24,I24)=3,D24*F24*I24,"")</f>
        <v/>
      </c>
      <c r="K24" s="40" t="n"/>
      <c r="L24" s="40" t="n"/>
      <c r="M24" s="40" t="n"/>
      <c r="N24" s="40" t="n"/>
      <c r="O24" s="40" t="n"/>
      <c r="P24" s="40" t="n"/>
      <c r="Q24" s="40" t="n"/>
      <c r="R24" s="41">
        <f>IF(COUNT(O24,P24,Q24)=3,O24*P24*Q24,"")</f>
        <v/>
      </c>
      <c r="T24" s="55">
        <f>IF(J24="","",RANK(J24,$J$11:$J$36,0)+COUNTIF($J$11:J24,J24)-1)</f>
        <v/>
      </c>
      <c r="U24" s="56" t="n">
        <v>14</v>
      </c>
      <c r="V24" s="57">
        <f>IFERROR(INDEX($B$11:$B$36,MATCH(U24,$T$11:$T$36,0)),"")</f>
        <v/>
      </c>
      <c r="W24" s="53">
        <f>IFERROR(INDEX($J$11:$J$36,MATCH(U24,$T$11:$T$36,0)),"")</f>
        <v/>
      </c>
      <c r="X24" s="53">
        <f>IFERROR(INDEX($R$11:$R$36,MATCH(U24,$T$11:$T$36,0)),"")</f>
        <v/>
      </c>
      <c r="Y24" s="53">
        <f>IF(W24="","",100)</f>
        <v/>
      </c>
    </row>
    <row r="25" ht="30" customHeight="1" s="25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0" t="n"/>
      <c r="J25" s="41">
        <f>IF(COUNT(D25,F25,I25)=3,D25*F25*I25,"")</f>
        <v/>
      </c>
      <c r="K25" s="40" t="n"/>
      <c r="L25" s="40" t="n"/>
      <c r="M25" s="40" t="n"/>
      <c r="N25" s="40" t="n"/>
      <c r="O25" s="40" t="n"/>
      <c r="P25" s="40" t="n"/>
      <c r="Q25" s="40" t="n"/>
      <c r="R25" s="41">
        <f>IF(COUNT(O25,P25,Q25)=3,O25*P25*Q25,"")</f>
        <v/>
      </c>
      <c r="T25" s="55">
        <f>IF(J25="","",RANK(J25,$J$11:$J$36,0)+COUNTIF($J$11:J25,J25)-1)</f>
        <v/>
      </c>
      <c r="U25" s="56" t="n">
        <v>15</v>
      </c>
      <c r="V25" s="57">
        <f>IFERROR(INDEX($B$11:$B$36,MATCH(U25,$T$11:$T$36,0)),"")</f>
        <v/>
      </c>
      <c r="W25" s="53">
        <f>IFERROR(INDEX($J$11:$J$36,MATCH(U25,$T$11:$T$36,0)),"")</f>
        <v/>
      </c>
      <c r="X25" s="53">
        <f>IFERROR(INDEX($R$11:$R$36,MATCH(U25,$T$11:$T$36,0)),"")</f>
        <v/>
      </c>
      <c r="Y25" s="53">
        <f>IF(W25="","",100)</f>
        <v/>
      </c>
    </row>
    <row r="26" ht="30" customHeight="1" s="25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0" t="n"/>
      <c r="J26" s="41">
        <f>IF(COUNT(D26,F26,I26)=3,D26*F26*I26,"")</f>
        <v/>
      </c>
      <c r="K26" s="40" t="n"/>
      <c r="L26" s="40" t="n"/>
      <c r="M26" s="40" t="n"/>
      <c r="N26" s="40" t="n"/>
      <c r="O26" s="40" t="n"/>
      <c r="P26" s="40" t="n"/>
      <c r="Q26" s="40" t="n"/>
      <c r="R26" s="41">
        <f>IF(COUNT(O26,P26,Q26)=3,O26*P26*Q26,"")</f>
        <v/>
      </c>
      <c r="T26" s="55">
        <f>IF(J26="","",RANK(J26,$J$11:$J$36,0)+COUNTIF($J$11:J26,J26)-1)</f>
        <v/>
      </c>
      <c r="U26" s="56" t="n">
        <v>16</v>
      </c>
      <c r="V26" s="57">
        <f>IFERROR(INDEX($B$11:$B$36,MATCH(U26,$T$11:$T$36,0)),"")</f>
        <v/>
      </c>
      <c r="W26" s="53">
        <f>IFERROR(INDEX($J$11:$J$36,MATCH(U26,$T$11:$T$36,0)),"")</f>
        <v/>
      </c>
      <c r="X26" s="53">
        <f>IFERROR(INDEX($R$11:$R$36,MATCH(U26,$T$11:$T$36,0)),"")</f>
        <v/>
      </c>
      <c r="Y26" s="53">
        <f>IF(W26="","",100)</f>
        <v/>
      </c>
    </row>
    <row r="27" ht="30" customHeight="1" s="25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0" t="n"/>
      <c r="J27" s="41">
        <f>IF(COUNT(D27,F27,I27)=3,D27*F27*I27,"")</f>
        <v/>
      </c>
      <c r="K27" s="40" t="n"/>
      <c r="L27" s="40" t="n"/>
      <c r="M27" s="40" t="n"/>
      <c r="N27" s="40" t="n"/>
      <c r="O27" s="40" t="n"/>
      <c r="P27" s="40" t="n"/>
      <c r="Q27" s="40" t="n"/>
      <c r="R27" s="41">
        <f>IF(COUNT(O27,P27,Q27)=3,O27*P27*Q27,"")</f>
        <v/>
      </c>
      <c r="T27" s="55">
        <f>IF(J27="","",RANK(J27,$J$11:$J$36,0)+COUNTIF($J$11:J27,J27)-1)</f>
        <v/>
      </c>
      <c r="U27" s="56" t="n">
        <v>17</v>
      </c>
      <c r="V27" s="57">
        <f>IFERROR(INDEX($B$11:$B$36,MATCH(U27,$T$11:$T$36,0)),"")</f>
        <v/>
      </c>
      <c r="W27" s="53">
        <f>IFERROR(INDEX($J$11:$J$36,MATCH(U27,$T$11:$T$36,0)),"")</f>
        <v/>
      </c>
      <c r="X27" s="53">
        <f>IFERROR(INDEX($R$11:$R$36,MATCH(U27,$T$11:$T$36,0)),"")</f>
        <v/>
      </c>
      <c r="Y27" s="53">
        <f>IF(W27="","",100)</f>
        <v/>
      </c>
    </row>
    <row r="28" ht="30" customHeight="1" s="25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0" t="n"/>
      <c r="J28" s="41">
        <f>IF(COUNT(D28,F28,I28)=3,D28*F28*I28,"")</f>
        <v/>
      </c>
      <c r="K28" s="40" t="n"/>
      <c r="L28" s="40" t="n"/>
      <c r="M28" s="40" t="n"/>
      <c r="N28" s="40" t="n"/>
      <c r="O28" s="40" t="n"/>
      <c r="P28" s="40" t="n"/>
      <c r="Q28" s="40" t="n"/>
      <c r="R28" s="41">
        <f>IF(COUNT(O28,P28,Q28)=3,O28*P28*Q28,"")</f>
        <v/>
      </c>
      <c r="T28" s="55">
        <f>IF(J28="","",RANK(J28,$J$11:$J$36,0)+COUNTIF($J$11:J28,J28)-1)</f>
        <v/>
      </c>
      <c r="U28" s="56" t="n">
        <v>18</v>
      </c>
      <c r="V28" s="57">
        <f>IFERROR(INDEX($B$11:$B$36,MATCH(U28,$T$11:$T$36,0)),"")</f>
        <v/>
      </c>
      <c r="W28" s="53">
        <f>IFERROR(INDEX($J$11:$J$36,MATCH(U28,$T$11:$T$36,0)),"")</f>
        <v/>
      </c>
      <c r="X28" s="53">
        <f>IFERROR(INDEX($R$11:$R$36,MATCH(U28,$T$11:$T$36,0)),"")</f>
        <v/>
      </c>
      <c r="Y28" s="53">
        <f>IF(W28="","",100)</f>
        <v/>
      </c>
    </row>
    <row r="29" ht="30" customHeight="1" s="25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0" t="n"/>
      <c r="J29" s="41">
        <f>IF(COUNT(D29,F29,I29)=3,D29*F29*I29,"")</f>
        <v/>
      </c>
      <c r="K29" s="40" t="n"/>
      <c r="L29" s="40" t="n"/>
      <c r="M29" s="40" t="n"/>
      <c r="N29" s="40" t="n"/>
      <c r="O29" s="40" t="n"/>
      <c r="P29" s="40" t="n"/>
      <c r="Q29" s="40" t="n"/>
      <c r="R29" s="41">
        <f>IF(COUNT(O29,P29,Q29)=3,O29*P29*Q29,"")</f>
        <v/>
      </c>
      <c r="T29" s="55">
        <f>IF(J29="","",RANK(J29,$J$11:$J$36,0)+COUNTIF($J$11:J29,J29)-1)</f>
        <v/>
      </c>
      <c r="U29" s="56" t="n">
        <v>19</v>
      </c>
      <c r="V29" s="57">
        <f>IFERROR(INDEX($B$11:$B$36,MATCH(U29,$T$11:$T$36,0)),"")</f>
        <v/>
      </c>
      <c r="W29" s="53">
        <f>IFERROR(INDEX($J$11:$J$36,MATCH(U29,$T$11:$T$36,0)),"")</f>
        <v/>
      </c>
      <c r="X29" s="53">
        <f>IFERROR(INDEX($R$11:$R$36,MATCH(U29,$T$11:$T$36,0)),"")</f>
        <v/>
      </c>
      <c r="Y29" s="53">
        <f>IF(W29="","",100)</f>
        <v/>
      </c>
    </row>
    <row r="30" ht="30" customHeight="1" s="25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0" t="n"/>
      <c r="J30" s="41">
        <f>IF(COUNT(D30,F30,I30)=3,D30*F30*I30,"")</f>
        <v/>
      </c>
      <c r="K30" s="40" t="n"/>
      <c r="L30" s="40" t="n"/>
      <c r="M30" s="40" t="n"/>
      <c r="N30" s="40" t="n"/>
      <c r="O30" s="40" t="n"/>
      <c r="P30" s="40" t="n"/>
      <c r="Q30" s="40" t="n"/>
      <c r="R30" s="41">
        <f>IF(COUNT(O30,P30,Q30)=3,O30*P30*Q30,"")</f>
        <v/>
      </c>
      <c r="T30" s="55">
        <f>IF(J30="","",RANK(J30,$J$11:$J$36,0)+COUNTIF($J$11:J30,J30)-1)</f>
        <v/>
      </c>
      <c r="U30" s="56" t="n">
        <v>20</v>
      </c>
      <c r="V30" s="57">
        <f>IFERROR(INDEX($B$11:$B$36,MATCH(U30,$T$11:$T$36,0)),"")</f>
        <v/>
      </c>
      <c r="W30" s="53">
        <f>IFERROR(INDEX($J$11:$J$36,MATCH(U30,$T$11:$T$36,0)),"")</f>
        <v/>
      </c>
      <c r="X30" s="53">
        <f>IFERROR(INDEX($R$11:$R$36,MATCH(U30,$T$11:$T$36,0)),"")</f>
        <v/>
      </c>
      <c r="Y30" s="53">
        <f>IF(W30="","",100)</f>
        <v/>
      </c>
    </row>
    <row r="31" ht="30" customHeight="1" s="25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0" t="n"/>
      <c r="J31" s="41">
        <f>IF(COUNT(D31,F31,I31)=3,D31*F31*I31,"")</f>
        <v/>
      </c>
      <c r="K31" s="40" t="n"/>
      <c r="L31" s="40" t="n"/>
      <c r="M31" s="40" t="n"/>
      <c r="N31" s="40" t="n"/>
      <c r="O31" s="40" t="n"/>
      <c r="P31" s="40" t="n"/>
      <c r="Q31" s="40" t="n"/>
      <c r="R31" s="41">
        <f>IF(COUNT(O31,P31,Q31)=3,O31*P31*Q31,"")</f>
        <v/>
      </c>
      <c r="T31" s="55">
        <f>IF(J31="","",RANK(J31,$J$11:$J$36,0)+COUNTIF($J$11:J31,J31)-1)</f>
        <v/>
      </c>
      <c r="U31" s="56" t="n">
        <v>21</v>
      </c>
      <c r="V31" s="57">
        <f>IFERROR(INDEX($B$11:$B$36,MATCH(U31,$T$11:$T$36,0)),"")</f>
        <v/>
      </c>
      <c r="W31" s="53">
        <f>IFERROR(INDEX($J$11:$J$36,MATCH(U31,$T$11:$T$36,0)),"")</f>
        <v/>
      </c>
      <c r="X31" s="53">
        <f>IFERROR(INDEX($R$11:$R$36,MATCH(U31,$T$11:$T$36,0)),"")</f>
        <v/>
      </c>
      <c r="Y31" s="53">
        <f>IF(W31="","",100)</f>
        <v/>
      </c>
    </row>
    <row r="32" ht="30" customHeight="1" s="25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0" t="n"/>
      <c r="J32" s="41">
        <f>IF(COUNT(D32,F32,I32)=3,D32*F32*I32,"")</f>
        <v/>
      </c>
      <c r="K32" s="40" t="n"/>
      <c r="L32" s="40" t="n"/>
      <c r="M32" s="40" t="n"/>
      <c r="N32" s="40" t="n"/>
      <c r="O32" s="40" t="n"/>
      <c r="P32" s="40" t="n"/>
      <c r="Q32" s="40" t="n"/>
      <c r="R32" s="41">
        <f>IF(COUNT(O32,P32,Q32)=3,O32*P32*Q32,"")</f>
        <v/>
      </c>
      <c r="T32" s="55">
        <f>IF(J32="","",RANK(J32,$J$11:$J$36,0)+COUNTIF($J$11:J32,J32)-1)</f>
        <v/>
      </c>
      <c r="U32" s="56" t="n">
        <v>22</v>
      </c>
      <c r="V32" s="57">
        <f>IFERROR(INDEX($B$11:$B$36,MATCH(U32,$T$11:$T$36,0)),"")</f>
        <v/>
      </c>
      <c r="W32" s="53">
        <f>IFERROR(INDEX($J$11:$J$36,MATCH(U32,$T$11:$T$36,0)),"")</f>
        <v/>
      </c>
      <c r="X32" s="53">
        <f>IFERROR(INDEX($R$11:$R$36,MATCH(U32,$T$11:$T$36,0)),"")</f>
        <v/>
      </c>
      <c r="Y32" s="53">
        <f>IF(W32="","",100)</f>
        <v/>
      </c>
    </row>
    <row r="33" ht="30" customHeight="1" s="25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0" t="n"/>
      <c r="J33" s="41">
        <f>IF(COUNT(D33,F33,I33)=3,D33*F33*I33,"")</f>
        <v/>
      </c>
      <c r="K33" s="40" t="n"/>
      <c r="L33" s="40" t="n"/>
      <c r="M33" s="40" t="n"/>
      <c r="N33" s="40" t="n"/>
      <c r="O33" s="40" t="n"/>
      <c r="P33" s="40" t="n"/>
      <c r="Q33" s="40" t="n"/>
      <c r="R33" s="41">
        <f>IF(COUNT(O33,P33,Q33)=3,O33*P33*Q33,"")</f>
        <v/>
      </c>
      <c r="T33" s="55">
        <f>IF(J33="","",RANK(J33,$J$11:$J$36,0)+COUNTIF($J$11:J33,J33)-1)</f>
        <v/>
      </c>
      <c r="U33" s="56" t="n">
        <v>23</v>
      </c>
      <c r="V33" s="57">
        <f>IFERROR(INDEX($B$11:$B$36,MATCH(U33,$T$11:$T$36,0)),"")</f>
        <v/>
      </c>
      <c r="W33" s="53">
        <f>IFERROR(INDEX($J$11:$J$36,MATCH(U33,$T$11:$T$36,0)),"")</f>
        <v/>
      </c>
      <c r="X33" s="53">
        <f>IFERROR(INDEX($R$11:$R$36,MATCH(U33,$T$11:$T$36,0)),"")</f>
        <v/>
      </c>
      <c r="Y33" s="53">
        <f>IF(W33="","",100)</f>
        <v/>
      </c>
    </row>
    <row r="34" ht="30" customHeight="1" s="25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0" t="n"/>
      <c r="J34" s="41">
        <f>IF(COUNT(D34,F34,I34)=3,D34*F34*I34,"")</f>
        <v/>
      </c>
      <c r="K34" s="40" t="n"/>
      <c r="L34" s="40" t="n"/>
      <c r="M34" s="40" t="n"/>
      <c r="N34" s="40" t="n"/>
      <c r="O34" s="40" t="n"/>
      <c r="P34" s="40" t="n"/>
      <c r="Q34" s="40" t="n"/>
      <c r="R34" s="41">
        <f>IF(COUNT(O34,P34,Q34)=3,O34*P34*Q34,"")</f>
        <v/>
      </c>
      <c r="T34" s="55">
        <f>IF(J34="","",RANK(J34,$J$11:$J$36,0)+COUNTIF($J$11:J34,J34)-1)</f>
        <v/>
      </c>
      <c r="U34" s="56" t="n">
        <v>24</v>
      </c>
      <c r="V34" s="57">
        <f>IFERROR(INDEX($B$11:$B$36,MATCH(U34,$T$11:$T$36,0)),"")</f>
        <v/>
      </c>
      <c r="W34" s="53">
        <f>IFERROR(INDEX($J$11:$J$36,MATCH(U34,$T$11:$T$36,0)),"")</f>
        <v/>
      </c>
      <c r="X34" s="53">
        <f>IFERROR(INDEX($R$11:$R$36,MATCH(U34,$T$11:$T$36,0)),"")</f>
        <v/>
      </c>
      <c r="Y34" s="53">
        <f>IF(W34="","",100)</f>
        <v/>
      </c>
    </row>
    <row r="35" ht="30" customHeight="1" s="25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0" t="n"/>
      <c r="J35" s="41">
        <f>IF(COUNT(D35,F35,I35)=3,D35*F35*I35,"")</f>
        <v/>
      </c>
      <c r="K35" s="40" t="n"/>
      <c r="L35" s="40" t="n"/>
      <c r="M35" s="40" t="n"/>
      <c r="N35" s="40" t="n"/>
      <c r="O35" s="40" t="n"/>
      <c r="P35" s="40" t="n"/>
      <c r="Q35" s="40" t="n"/>
      <c r="R35" s="41">
        <f>IF(COUNT(O35,P35,Q35)=3,O35*P35*Q35,"")</f>
        <v/>
      </c>
      <c r="T35" s="55">
        <f>IF(J35="","",RANK(J35,$J$11:$J$36,0)+COUNTIF($J$11:J35,J35)-1)</f>
        <v/>
      </c>
      <c r="U35" s="56" t="n">
        <v>25</v>
      </c>
      <c r="V35" s="57">
        <f>IFERROR(INDEX($B$11:$B$36,MATCH(U35,$T$11:$T$36,0)),"")</f>
        <v/>
      </c>
      <c r="W35" s="53">
        <f>IFERROR(INDEX($J$11:$J$36,MATCH(U35,$T$11:$T$36,0)),"")</f>
        <v/>
      </c>
      <c r="X35" s="53">
        <f>IFERROR(INDEX($R$11:$R$36,MATCH(U35,$T$11:$T$36,0)),"")</f>
        <v/>
      </c>
      <c r="Y35" s="53">
        <f>IF(W35="","",100)</f>
        <v/>
      </c>
    </row>
    <row r="36">
      <c r="T36" s="55">
        <f>IF(J36="","",RANK(J36,$J$11:$J$36,0)+COUNTIF($J$11:J36,J36)-1)</f>
        <v/>
      </c>
      <c r="U36" s="56" t="n">
        <v>26</v>
      </c>
      <c r="V36" s="57">
        <f>IFERROR(INDEX($B$11:$B$36,MATCH(U36,$T$11:$T$36,0)),"")</f>
        <v/>
      </c>
      <c r="W36" s="53">
        <f>IFERROR(INDEX($J$11:$J$36,MATCH(U36,$T$11:$T$36,0)),"")</f>
        <v/>
      </c>
      <c r="X36" s="53">
        <f>IFERROR(INDEX($R$11:$R$36,MATCH(U36,$T$11:$T$36,0)),"")</f>
        <v/>
      </c>
      <c r="Y36" s="53">
        <f>IF(W36="","",100)</f>
        <v/>
      </c>
    </row>
    <row r="37" ht="19.5" customHeight="1" s="25">
      <c r="A37" s="33" t="inlineStr">
        <is>
          <t>SUMMARY</t>
        </is>
      </c>
    </row>
    <row r="38" ht="15" customHeight="1" s="25">
      <c r="A38" s="42" t="inlineStr">
        <is>
          <t>Failure modes logged</t>
        </is>
      </c>
      <c r="D38" s="43">
        <f>COUNTA(A11:A35)</f>
        <v/>
      </c>
    </row>
    <row r="39" ht="15" customHeight="1" s="25">
      <c r="A39" s="42" t="inlineStr">
        <is>
          <t>Highest RPN</t>
        </is>
      </c>
      <c r="D39" s="43">
        <f>IFERROR(MAX(J11:J35),0)</f>
        <v/>
      </c>
    </row>
    <row r="40" ht="15" customHeight="1" s="25">
      <c r="A40" s="42" t="inlineStr">
        <is>
          <t>Above 200 (act now)</t>
        </is>
      </c>
      <c r="D40" s="43">
        <f>COUNTIF(J11:J35,"&gt;=200")</f>
        <v/>
      </c>
    </row>
    <row r="41" ht="15" customHeight="1" s="25">
      <c r="A41" s="42" t="inlineStr">
        <is>
          <t>Severity 9 or 10 (act regardless of RPN)</t>
        </is>
      </c>
      <c r="D41" s="43">
        <f>COUNTIF(D11:D35,"&gt;=9")</f>
        <v/>
      </c>
    </row>
    <row r="42" ht="15" customHeight="1" s="25">
      <c r="A42" s="42" t="inlineStr">
        <is>
          <t>Average RPN before</t>
        </is>
      </c>
      <c r="D42" s="43">
        <f>IFERROR(AVERAGE(J11:J35),0)</f>
        <v/>
      </c>
    </row>
    <row r="43" ht="15" customHeight="1" s="25">
      <c r="A43" s="42" t="inlineStr">
        <is>
          <t>Average RPN after</t>
        </is>
      </c>
      <c r="D43" s="43">
        <f>IFERROR(AVERAGE(R11:R35),0)</f>
        <v/>
      </c>
    </row>
    <row r="44" ht="15" customHeight="1" s="25">
      <c r="A44" s="42" t="inlineStr">
        <is>
          <t>Risk reduction (on remediated rows)</t>
        </is>
      </c>
      <c r="D44" s="44">
        <f>IFERROR(1-AVERAGE(R11:R35)/AVERAGEIF(R11:R35,"&gt;0",J11:J35),"")</f>
        <v/>
      </c>
    </row>
    <row r="46" ht="39" customHeight="1" s="25">
      <c r="A46" s="45" t="inlineStr">
        <is>
          <t>KEY INSIGHT FOR SUPPORT: detection is usually terrible (8–10). Most support failures are only detected if the customer complains a second time. Score every step whose only detection mechanism is "the customer contacts us again" as 9 or 10 — that scoring alone reprioritises most support FMEAs.</t>
        </is>
      </c>
    </row>
  </sheetData>
  <mergeCells count="16">
    <mergeCell ref="A42:C42"/>
    <mergeCell ref="A41:C41"/>
    <mergeCell ref="B7:F7"/>
    <mergeCell ref="A44:C44"/>
    <mergeCell ref="B6:F6"/>
    <mergeCell ref="A2:R2"/>
    <mergeCell ref="B5:F5"/>
    <mergeCell ref="A40:C40"/>
    <mergeCell ref="A46:R46"/>
    <mergeCell ref="A1:R1"/>
    <mergeCell ref="A4:F4"/>
    <mergeCell ref="A9:R9"/>
    <mergeCell ref="A37:R37"/>
    <mergeCell ref="A39:C39"/>
    <mergeCell ref="A43:C43"/>
    <mergeCell ref="A38:C38"/>
  </mergeCells>
  <conditionalFormatting sqref="J11:J35">
    <cfRule type="cellIs" rank="0" priority="2" equalAverage="0" operator="greaterThanOrEqual" aboveAverage="0" dxfId="0" text="" percent="0" bottom="0">
      <formula>200</formula>
    </cfRule>
    <cfRule type="cellIs" rank="0" priority="3" equalAverage="0" operator="between" aboveAverage="0" dxfId="1" text="" percent="0" bottom="0">
      <formula>100</formula>
      <formula>199</formula>
    </cfRule>
  </conditionalFormatting>
  <conditionalFormatting sqref="D11:D35">
    <cfRule type="cellIs" rank="0" priority="4" equalAverage="0" operator="greaterThanOrEqual" aboveAverage="0" dxfId="0" text="" percent="0" bottom="0">
      <formula>9</formula>
    </cfRule>
  </conditionalFormatting>
  <dataValidations count="1">
    <dataValidation sqref="D11:D35 F11:F35 I11:I35 O11:Q35" showDropDown="0" showInputMessage="0" showErrorMessage="0" allowBlank="1" errorTitle="Score 1–10" error="Severity, occurrence and detection are each scored 1 to 10. See the scoring guide sheet." type="whole" errorStyle="stop" operator="between">
      <formula1>1</formula1>
      <formula2>10</formula2>
    </dataValidation>
  </dataValidation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5" topLeftCell="A6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24" min="1" max="1"/>
    <col width="90" customWidth="1" style="24" min="2" max="2"/>
    <col width="4" customWidth="1" style="24" min="3" max="6"/>
  </cols>
  <sheetData>
    <row r="1" ht="25.5" customHeight="1" s="25">
      <c r="A1" s="31" t="inlineStr">
        <is>
          <t>How to score severity, occurrence and detection</t>
        </is>
      </c>
    </row>
    <row r="2" ht="27.75" customHeight="1" s="25">
      <c r="A2" s="32" t="inlineStr">
        <is>
          <t>Use these anchors so two people scoring the same failure mode land in the same place.</t>
        </is>
      </c>
    </row>
    <row r="4" ht="19.5" customHeight="1" s="25">
      <c r="A4" s="33" t="inlineStr">
        <is>
          <t>SEVERITY — how badly does this hurt the customer?</t>
        </is>
      </c>
    </row>
    <row r="5" ht="31.5" customHeight="1" s="25">
      <c r="A5" s="38" t="inlineStr">
        <is>
          <t>Score</t>
        </is>
      </c>
      <c r="B5" s="38" t="inlineStr">
        <is>
          <t>What it means</t>
        </is>
      </c>
      <c r="C5" s="38" t="n"/>
      <c r="D5" s="38" t="n"/>
      <c r="E5" s="38" t="n"/>
      <c r="F5" s="38" t="n"/>
    </row>
    <row r="6" ht="15" customHeight="1" s="25">
      <c r="A6" s="46" t="inlineStr">
        <is>
          <t>1–2</t>
        </is>
      </c>
      <c r="B6" s="47" t="inlineStr">
        <is>
          <t>The customer does not notice.</t>
        </is>
      </c>
      <c r="C6" s="48" t="n"/>
      <c r="D6" s="48" t="n"/>
      <c r="E6" s="48" t="n"/>
      <c r="F6" s="49" t="n"/>
    </row>
    <row r="7" ht="15" customHeight="1" s="25">
      <c r="A7" s="46" t="inlineStr">
        <is>
          <t>3–4</t>
        </is>
      </c>
      <c r="B7" s="47" t="inlineStr">
        <is>
          <t>Minor annoyance. No extra effort for the customer.</t>
        </is>
      </c>
      <c r="C7" s="48" t="n"/>
      <c r="D7" s="48" t="n"/>
      <c r="E7" s="48" t="n"/>
      <c r="F7" s="49" t="n"/>
    </row>
    <row r="8" ht="15" customHeight="1" s="25">
      <c r="A8" s="46" t="inlineStr">
        <is>
          <t>5–6</t>
        </is>
      </c>
      <c r="B8" s="47" t="inlineStr">
        <is>
          <t>The customer has to follow up, or wait noticeably longer.</t>
        </is>
      </c>
      <c r="C8" s="48" t="n"/>
      <c r="D8" s="48" t="n"/>
      <c r="E8" s="48" t="n"/>
      <c r="F8" s="49" t="n"/>
    </row>
    <row r="9" ht="15" customHeight="1" s="25">
      <c r="A9" s="46" t="inlineStr">
        <is>
          <t>7–8</t>
        </is>
      </c>
      <c r="B9" s="47" t="inlineStr">
        <is>
          <t>The customer escalates, complains, or becomes a churn risk.</t>
        </is>
      </c>
      <c r="C9" s="48" t="n"/>
      <c r="D9" s="48" t="n"/>
      <c r="E9" s="48" t="n"/>
      <c r="F9" s="49" t="n"/>
    </row>
    <row r="10" ht="15" customHeight="1" s="25">
      <c r="A10" s="46" t="inlineStr">
        <is>
          <t>9–10</t>
        </is>
      </c>
      <c r="B10" s="47" t="inlineStr">
        <is>
          <t>Regulatory breach, safety issue, data exposure, or mass impact.</t>
        </is>
      </c>
      <c r="C10" s="48" t="n"/>
      <c r="D10" s="48" t="n"/>
      <c r="E10" s="48" t="n"/>
      <c r="F10" s="49" t="n"/>
    </row>
    <row r="12" ht="19.5" customHeight="1" s="25">
      <c r="A12" s="33" t="inlineStr">
        <is>
          <t>OCCURRENCE — how often does it happen?</t>
        </is>
      </c>
    </row>
    <row r="13" ht="31.5" customHeight="1" s="25">
      <c r="A13" s="38" t="inlineStr">
        <is>
          <t>Score</t>
        </is>
      </c>
      <c r="B13" s="38" t="inlineStr">
        <is>
          <t>What it means</t>
        </is>
      </c>
      <c r="C13" s="38" t="n"/>
      <c r="D13" s="38" t="n"/>
      <c r="E13" s="38" t="n"/>
      <c r="F13" s="38" t="n"/>
    </row>
    <row r="14" ht="15" customHeight="1" s="25">
      <c r="A14" s="46" t="inlineStr">
        <is>
          <t>1–2</t>
        </is>
      </c>
      <c r="B14" s="47" t="inlineStr">
        <is>
          <t>Once a year or less.</t>
        </is>
      </c>
      <c r="C14" s="48" t="n"/>
      <c r="D14" s="48" t="n"/>
      <c r="E14" s="48" t="n"/>
      <c r="F14" s="49" t="n"/>
    </row>
    <row r="15" ht="15" customHeight="1" s="25">
      <c r="A15" s="46" t="inlineStr">
        <is>
          <t>3–4</t>
        </is>
      </c>
      <c r="B15" s="47" t="inlineStr">
        <is>
          <t>About monthly.</t>
        </is>
      </c>
      <c r="C15" s="48" t="n"/>
      <c r="D15" s="48" t="n"/>
      <c r="E15" s="48" t="n"/>
      <c r="F15" s="49" t="n"/>
    </row>
    <row r="16" ht="15" customHeight="1" s="25">
      <c r="A16" s="46" t="inlineStr">
        <is>
          <t>5–6</t>
        </is>
      </c>
      <c r="B16" s="47" t="inlineStr">
        <is>
          <t>About weekly.</t>
        </is>
      </c>
      <c r="C16" s="48" t="n"/>
      <c r="D16" s="48" t="n"/>
      <c r="E16" s="48" t="n"/>
      <c r="F16" s="49" t="n"/>
    </row>
    <row r="17" ht="15" customHeight="1" s="25">
      <c r="A17" s="46" t="inlineStr">
        <is>
          <t>7–8</t>
        </is>
      </c>
      <c r="B17" s="47" t="inlineStr">
        <is>
          <t>Daily.</t>
        </is>
      </c>
      <c r="C17" s="48" t="n"/>
      <c r="D17" s="48" t="n"/>
      <c r="E17" s="48" t="n"/>
      <c r="F17" s="49" t="n"/>
    </row>
    <row r="18" ht="15" customHeight="1" s="25">
      <c r="A18" s="46" t="inlineStr">
        <is>
          <t>9–10</t>
        </is>
      </c>
      <c r="B18" s="47" t="inlineStr">
        <is>
          <t>On most contacts of this type.</t>
        </is>
      </c>
      <c r="C18" s="48" t="n"/>
      <c r="D18" s="48" t="n"/>
      <c r="E18" s="48" t="n"/>
      <c r="F18" s="49" t="n"/>
    </row>
    <row r="20" ht="19.5" customHeight="1" s="25">
      <c r="A20" s="33" t="inlineStr">
        <is>
          <t>DETECTION — would we catch it before the customer does?  (10 = we would not)</t>
        </is>
      </c>
    </row>
    <row r="21" ht="31.5" customHeight="1" s="25">
      <c r="A21" s="38" t="inlineStr">
        <is>
          <t>Score</t>
        </is>
      </c>
      <c r="B21" s="38" t="inlineStr">
        <is>
          <t>What it means</t>
        </is>
      </c>
      <c r="C21" s="38" t="n"/>
      <c r="D21" s="38" t="n"/>
      <c r="E21" s="38" t="n"/>
      <c r="F21" s="38" t="n"/>
    </row>
    <row r="22" ht="15" customHeight="1" s="25">
      <c r="A22" s="46" t="inlineStr">
        <is>
          <t>1–2</t>
        </is>
      </c>
      <c r="B22" s="47" t="inlineStr">
        <is>
          <t>An automated control blocks it from happening at all.</t>
        </is>
      </c>
      <c r="C22" s="48" t="n"/>
      <c r="D22" s="48" t="n"/>
      <c r="E22" s="48" t="n"/>
      <c r="F22" s="49" t="n"/>
    </row>
    <row r="23" ht="15" customHeight="1" s="25">
      <c r="A23" s="46" t="inlineStr">
        <is>
          <t>3–4</t>
        </is>
      </c>
      <c r="B23" s="47" t="inlineStr">
        <is>
          <t>The system flags it the moment it occurs.</t>
        </is>
      </c>
      <c r="C23" s="48" t="n"/>
      <c r="D23" s="48" t="n"/>
      <c r="E23" s="48" t="n"/>
      <c r="F23" s="49" t="n"/>
    </row>
    <row r="24" ht="15" customHeight="1" s="25">
      <c r="A24" s="46" t="inlineStr">
        <is>
          <t>5–6</t>
        </is>
      </c>
      <c r="B24" s="47" t="inlineStr">
        <is>
          <t>QA sampling would catch it eventually.</t>
        </is>
      </c>
      <c r="C24" s="48" t="n"/>
      <c r="D24" s="48" t="n"/>
      <c r="E24" s="48" t="n"/>
      <c r="F24" s="49" t="n"/>
    </row>
    <row r="25" ht="15" customHeight="1" s="25">
      <c r="A25" s="46" t="inlineStr">
        <is>
          <t>7–8</t>
        </is>
      </c>
      <c r="B25" s="47" t="inlineStr">
        <is>
          <t>A supervisor might spot it.</t>
        </is>
      </c>
      <c r="C25" s="48" t="n"/>
      <c r="D25" s="48" t="n"/>
      <c r="E25" s="48" t="n"/>
      <c r="F25" s="49" t="n"/>
    </row>
    <row r="26" ht="15" customHeight="1" s="25">
      <c r="A26" s="46" t="inlineStr">
        <is>
          <t>9–10</t>
        </is>
      </c>
      <c r="B26" s="47" t="inlineStr">
        <is>
          <t>Only detected if the customer contacts us again. ← most support failures live here.</t>
        </is>
      </c>
      <c r="C26" s="48" t="n"/>
      <c r="D26" s="48" t="n"/>
      <c r="E26" s="48" t="n"/>
      <c r="F26" s="49" t="n"/>
    </row>
  </sheetData>
  <mergeCells count="20">
    <mergeCell ref="B7:F7"/>
    <mergeCell ref="B16:F16"/>
    <mergeCell ref="B25:F25"/>
    <mergeCell ref="A12:F12"/>
    <mergeCell ref="B22:F22"/>
    <mergeCell ref="B18:F18"/>
    <mergeCell ref="A2:F2"/>
    <mergeCell ref="B23:F23"/>
    <mergeCell ref="A4:F4"/>
    <mergeCell ref="B14:F14"/>
    <mergeCell ref="A20:F20"/>
    <mergeCell ref="B8:F8"/>
    <mergeCell ref="B17:F17"/>
    <mergeCell ref="B10:F10"/>
    <mergeCell ref="B9:F9"/>
    <mergeCell ref="B6:F6"/>
    <mergeCell ref="B24:F24"/>
    <mergeCell ref="B15:F15"/>
    <mergeCell ref="A1:F1"/>
    <mergeCell ref="B26:F26"/>
  </mergeCells>
  <printOptions horizontalCentered="1" verticalCentered="0" headings="0" gridLines="0" gridLinesSet="1"/>
  <pageMargins left="0.4" right="0.4" top="0.5" bottom="0.5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2026-07-31T15:37:50Z</dcterms:created>
  <dcterms:modified xsi:type="dcterms:W3CDTF">2026-08-01T00:06:58Z</dcterms:modified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hartspec" fmtid="{D5CDD505-2E9C-101B-9397-08002B2CF9AE}" pid="2">
    <vt:lpwstr>4a78657fbebb</vt:lpwstr>
  </property>
</Properties>
</file>