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FMEA" sheetId="2" state="visible" r:id="rId2"/>
    <sheet name="Scoring guid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general" vertical="top" wrapText="1"/>
    </xf>
    <xf numFmtId="0" fontId="17" fillId="0" borderId="0" pivotButton="0" quotePrefix="0" xfId="0"/>
    <xf numFmtId="3" fontId="0" fillId="10" borderId="0" pivotButton="0" quotePrefix="0" xfId="0"/>
    <xf numFmtId="0" fontId="18" fillId="0" borderId="0" pivotButton="0" quotePrefix="0" xfId="0"/>
    <xf numFmtId="1" fontId="18" fillId="10" borderId="0" pivotButton="0" quotePrefix="0" xfId="0"/>
    <xf numFmtId="1" fontId="0" fillId="0" borderId="0" pivotButton="0" quotePrefix="0" xfId="0"/>
    <xf numFmtId="0" fontId="0" fillId="10" borderId="0" pivotButton="0" quotePrefix="0" xfId="0"/>
    <xf numFmtId="3" fontId="0" fillId="11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FF2CC"/>
      <rgbColor rgb="FF99CCFF"/>
      <rgbColor rgb="FFFF99CC"/>
      <rgbColor rgb="FFCC99FF"/>
      <rgbColor rgb="FFFDEEEE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Risk priority number — ranked, and did the action reduce it?</a:t>
            </a:r>
          </a:p>
        </rich>
      </tx>
    </title>
    <plotArea>
      <barChart>
        <barDir val="col"/>
        <grouping val="clustered"/>
        <ser>
          <idx val="0"/>
          <order val="0"/>
          <tx>
            <v>RPN now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'FMEA'!$W$11:$W$36</f>
            </numRef>
          </val>
        </ser>
        <ser>
          <idx val="1"/>
          <order val="1"/>
          <tx>
            <v>RPN after (no re-score = no reduction)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'FMEA'!$X$11:$X$36</f>
            </numRef>
          </val>
        </ser>
        <gapWidth val="60"/>
        <overlap val="-10"/>
        <axId val="10"/>
        <axId val="100"/>
      </barChart>
      <lineChart>
        <grouping val="standard"/>
        <ser>
          <idx val="2"/>
          <order val="2"/>
          <tx>
            <v>Act above this threshold</v>
          </tx>
          <spPr>
            <a:ln w="18000">
              <a:solidFill>
                <a:srgbClr val="B45309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'FMEA'!$Y$11:$Y$36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4" min="1" max="1"/>
    <col width="108" customWidth="1" style="24" min="2" max="2"/>
  </cols>
  <sheetData>
    <row r="1"/>
    <row r="2" ht="30" customHeight="1" s="25">
      <c r="B2" s="26" t="inlineStr">
        <is>
          <t>FMEA — Failure Modes and Effects Analysis</t>
        </is>
      </c>
    </row>
    <row r="3" ht="39" customHeight="1" s="25">
      <c r="B3" s="27" t="inlineStr">
        <is>
          <t>This sheet helps you decide what to fix first. You list everything that can go wrong, score each one three ways, and the workbook multiplies those scores into a single risk number so you can rank them.</t>
        </is>
      </c>
    </row>
    <row r="4"/>
    <row r="5" ht="24" customHeight="1" s="25">
      <c r="B5" s="28" t="inlineStr">
        <is>
          <t>What to do, in order</t>
        </is>
      </c>
    </row>
    <row r="6" ht="15" customHeight="1" s="25">
      <c r="B6" s="29" t="inlineStr">
        <is>
          <t>1.  Open the FMEA tab. Row 1 is a worked example — read it, then overwrite or delete it.</t>
        </is>
      </c>
    </row>
    <row r="7" ht="15" customHeight="1" s="25">
      <c r="B7" s="29" t="inlineStr">
        <is>
          <t>2.  In column A, list your process steps. Take them straight from your process map.</t>
        </is>
      </c>
    </row>
    <row r="8" ht="25.5" customHeight="1" s="25">
      <c r="B8" s="29" t="inlineStr">
        <is>
          <t>3.  For each step, write what can go wrong (column B) and what that does to the customer (column C).</t>
        </is>
      </c>
    </row>
    <row r="9" ht="25.5" customHeight="1" s="25">
      <c r="B9" s="29" t="inlineStr">
        <is>
          <t>4.  Score SEVERITY, OCCURRENCE and DETECTION from 1 to 10 using the Scoring guide tab. The cells will refuse anything outside 1–10.</t>
        </is>
      </c>
    </row>
    <row r="10" ht="15" customHeight="1" s="25">
      <c r="B10" s="29" t="inlineStr">
        <is>
          <t>5.  RPN calculates itself. Sort by it, highest first.</t>
        </is>
      </c>
    </row>
    <row r="11" ht="25.5" customHeight="1" s="25">
      <c r="B11" s="29" t="inlineStr">
        <is>
          <t>6.  Write actions for the worst ones, then re-score in the New SEV / OCC / DET columns after you have made the change.</t>
        </is>
      </c>
    </row>
    <row r="12"/>
    <row r="13" ht="24" customHeight="1" s="25">
      <c r="B13" s="28" t="inlineStr">
        <is>
          <t>Two rules that matter more than the maths</t>
        </is>
      </c>
    </row>
    <row r="14" ht="25.5" customHeight="1" s="25">
      <c r="B14" s="30" t="inlineStr">
        <is>
          <t>Never ignore a severity of 9 or 10 just because its RPN is low. A rare catastrophe still needs a control.</t>
        </is>
      </c>
    </row>
    <row r="15" ht="39" customHeight="1" s="25">
      <c r="B15" s="30" t="inlineStr">
        <is>
          <t>In support, detection is nearly always 8–10, because most failures are only found when the customer contacts you a second time. Score that honestly and your priorities will change completely.</t>
        </is>
      </c>
    </row>
    <row r="16"/>
    <row r="17" ht="24" customHeight="1" s="25">
      <c r="B17" s="28" t="inlineStr">
        <is>
          <t>When you are done</t>
        </is>
      </c>
    </row>
    <row r="18" ht="25.5" customHeight="1" s="25">
      <c r="B18" s="27" t="inlineStr">
        <is>
          <t>The failure modes with the highest RPN become candidate root causes to test in the Analyze phase, and the controls you design for them belong in your control plan.</t>
        </is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Y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26" customWidth="1" style="24" min="2" max="2"/>
    <col width="28" customWidth="1" style="24" min="3" max="3"/>
    <col width="6" customWidth="1" style="24" min="4" max="4"/>
    <col width="26" customWidth="1" style="24" min="5" max="5"/>
    <col width="6" customWidth="1" style="24" min="6" max="6"/>
    <col width="24" customWidth="1" style="24" min="7" max="8"/>
    <col width="6" customWidth="1" style="24" min="9" max="9"/>
    <col width="8" customWidth="1" style="24" min="10" max="10"/>
    <col width="30" customWidth="1" style="24" min="11" max="11"/>
    <col width="14" customWidth="1" style="24" min="12" max="12"/>
    <col width="11" customWidth="1" style="24" min="13" max="13"/>
    <col width="26" customWidth="1" style="24" min="14" max="14"/>
    <col width="8" customWidth="1" style="24" min="15" max="17"/>
    <col width="9" customWidth="1" style="24" min="18" max="18"/>
  </cols>
  <sheetData>
    <row r="1" ht="25.5" customHeight="1" s="25">
      <c r="A1" s="31" t="inlineStr">
        <is>
          <t>FMEA  —  Failure Modes and Effects Analysis</t>
        </is>
      </c>
    </row>
    <row r="2" ht="27.75" customHeight="1" s="25">
      <c r="A2" s="32" t="inlineStr">
        <is>
          <t>Find the failure modes that will hurt most, and fix those first. RPN and New RPN calculate themselves.</t>
        </is>
      </c>
    </row>
    <row r="3"/>
    <row r="4" ht="19.5" customHeight="1" s="25">
      <c r="A4" s="33" t="inlineStr">
        <is>
          <t>HOW TO USE THIS SHEET</t>
        </is>
      </c>
    </row>
    <row r="5" ht="15" customHeight="1" s="25">
      <c r="A5" s="34" t="inlineStr">
        <is>
          <t>Yellow cells</t>
        </is>
      </c>
      <c r="B5" s="35" t="inlineStr">
        <is>
          <t>You fill these in. Blue text = a number you typed.</t>
        </is>
      </c>
    </row>
    <row r="6" ht="15" customHeight="1" s="25">
      <c r="A6" s="36" t="inlineStr">
        <is>
          <t>Blue cells</t>
        </is>
      </c>
      <c r="B6" s="35" t="inlineStr">
        <is>
          <t>Calculated for you. Do not type over these — they contain formulas.</t>
        </is>
      </c>
    </row>
    <row r="7" ht="15" customHeight="1" s="25">
      <c r="A7" s="37" t="inlineStr">
        <is>
          <t>Row 1 example</t>
        </is>
      </c>
      <c r="B7" s="35" t="inlineStr">
        <is>
          <t>A realistic worked example, so you can see the expected format. Delete or overwrite it.</t>
        </is>
      </c>
    </row>
    <row r="8"/>
    <row r="9" ht="19.5" customHeight="1" s="25">
      <c r="A9" s="33" t="inlineStr">
        <is>
          <t>SCORE EACH FAILURE MODE 1–10 ON SEVERITY, OCCURRENCE AND DETECTION. THE SCORING GUIDE IS ON THE NEXT SHEET.</t>
        </is>
      </c>
    </row>
    <row r="10" ht="31.5" customHeight="1" s="25">
      <c r="A10" s="38" t="inlineStr">
        <is>
          <t>Process step</t>
        </is>
      </c>
      <c r="B10" s="38" t="inlineStr">
        <is>
          <t>Potential failure mode</t>
        </is>
      </c>
      <c r="C10" s="38" t="inlineStr">
        <is>
          <t>Effect on the customer</t>
        </is>
      </c>
      <c r="D10" s="38" t="inlineStr">
        <is>
          <t>SEV</t>
        </is>
      </c>
      <c r="E10" s="38" t="inlineStr">
        <is>
          <t>Potential cause</t>
        </is>
      </c>
      <c r="F10" s="38" t="inlineStr">
        <is>
          <t>OCC</t>
        </is>
      </c>
      <c r="G10" s="38" t="inlineStr">
        <is>
          <t>Prevention control</t>
        </is>
      </c>
      <c r="H10" s="38" t="inlineStr">
        <is>
          <t>Detection control</t>
        </is>
      </c>
      <c r="I10" s="38" t="inlineStr">
        <is>
          <t>DET</t>
        </is>
      </c>
      <c r="J10" s="38" t="inlineStr">
        <is>
          <t>RPN</t>
        </is>
      </c>
      <c r="K10" s="38" t="inlineStr">
        <is>
          <t>Recommended action</t>
        </is>
      </c>
      <c r="L10" s="38" t="inlineStr">
        <is>
          <t>Owner</t>
        </is>
      </c>
      <c r="M10" s="38" t="inlineStr">
        <is>
          <t>Due</t>
        </is>
      </c>
      <c r="N10" s="38" t="inlineStr">
        <is>
          <t>Action taken</t>
        </is>
      </c>
      <c r="O10" s="38" t="inlineStr">
        <is>
          <t>New SEV</t>
        </is>
      </c>
      <c r="P10" s="38" t="inlineStr">
        <is>
          <t>New OCC</t>
        </is>
      </c>
      <c r="Q10" s="38" t="inlineStr">
        <is>
          <t>New DET</t>
        </is>
      </c>
      <c r="R10" s="38" t="inlineStr">
        <is>
          <t>New RPN</t>
        </is>
      </c>
      <c r="S10" s="52" t="inlineStr">
        <is>
          <t>RPN after (no re-score = no reduction)</t>
        </is>
      </c>
      <c r="T10" s="54" t="inlineStr">
        <is>
          <t>rank</t>
        </is>
      </c>
      <c r="U10" s="52" t="inlineStr">
        <is>
          <t>#</t>
        </is>
      </c>
      <c r="V10" s="52" t="inlineStr">
        <is>
          <t>Failure mode</t>
        </is>
      </c>
      <c r="W10" s="52" t="inlineStr">
        <is>
          <t>RPN now</t>
        </is>
      </c>
      <c r="X10" s="52" t="inlineStr">
        <is>
          <t>RPN after</t>
        </is>
      </c>
      <c r="Y10" s="52" t="inlineStr">
        <is>
          <t>Act above</t>
        </is>
      </c>
    </row>
    <row r="11" ht="45.75" customHeight="1" s="25">
      <c r="A11" s="50" t="inlineStr">
        <is>
          <t>Agent closes a billing ticket</t>
        </is>
      </c>
      <c r="B11" s="50" t="inlineStr">
        <is>
          <t>Adjustment has not posted yet</t>
        </is>
      </c>
      <c r="C11" s="50" t="inlineStr">
        <is>
          <t>Customer discovers it themselves and contacts us again</t>
        </is>
      </c>
      <c r="D11" s="50" t="n">
        <v>7</v>
      </c>
      <c r="E11" s="50" t="inlineStr">
        <is>
          <t>System closes the ticket before the posting webhook confirms</t>
        </is>
      </c>
      <c r="F11" s="50" t="n">
        <v>8</v>
      </c>
      <c r="G11" s="50" t="inlineStr">
        <is>
          <t>None</t>
        </is>
      </c>
      <c r="H11" s="50" t="inlineStr">
        <is>
          <t>Only detected if the customer complains again</t>
        </is>
      </c>
      <c r="I11" s="50" t="n">
        <v>9</v>
      </c>
      <c r="J11" s="39">
        <f>IF(COUNT(D11,F11,I11)=3,D11*F11*I11,"")</f>
        <v/>
      </c>
      <c r="K11" s="50" t="inlineStr">
        <is>
          <t>Block Resolved status until the posting webhook confirms</t>
        </is>
      </c>
      <c r="L11" s="50" t="inlineStr">
        <is>
          <t>Billing Ops</t>
        </is>
      </c>
      <c r="M11" s="50" t="inlineStr">
        <is>
          <t>2026-09-30</t>
        </is>
      </c>
      <c r="N11" s="50" t="inlineStr">
        <is>
          <t>Deferred-close rule shipped</t>
        </is>
      </c>
      <c r="O11" s="50" t="n">
        <v>7</v>
      </c>
      <c r="P11" s="50" t="n">
        <v>2</v>
      </c>
      <c r="Q11" s="50" t="n">
        <v>3</v>
      </c>
      <c r="R11" s="39">
        <f>IF(COUNT(O11,P11,Q11)=3,O11*P11*Q11,"")</f>
        <v/>
      </c>
      <c r="S11" s="53">
        <f>IF($J11="","",IF(COUNT($O11,$P11,$Q11)=3,$R11,$J11))</f>
        <v/>
      </c>
      <c r="T11" s="55">
        <f>IF(J11="","",RANK(J11,$J$11:$J$36,0)+COUNTIF($J$11:J11,J11)-1)</f>
        <v/>
      </c>
      <c r="U11" s="56" t="n">
        <v>1</v>
      </c>
      <c r="V11" s="57">
        <f>IFERROR(INDEX($B$11:$B$36,MATCH(U11,$T$11:$T$36,0)),"")</f>
        <v/>
      </c>
      <c r="W11" s="53">
        <f>IFERROR(INDEX($J$11:$J$36,MATCH(U11,$T$11:$T$36,0)),"")</f>
        <v/>
      </c>
      <c r="X11" s="53">
        <f>IFERROR(INDEX($S$11:$S$36,MATCH(U11,$T$11:$T$36,0)),"")</f>
        <v/>
      </c>
      <c r="Y11" s="53">
        <f>IF(W11="","",$D$45)</f>
        <v/>
      </c>
    </row>
    <row r="12" ht="30" customHeight="1" s="25">
      <c r="A12" s="51" t="inlineStr">
        <is>
          <t>Tier 1 tags the contact reason</t>
        </is>
      </c>
      <c r="B12" s="51" t="inlineStr">
        <is>
          <t>Wrong reason selected</t>
        </is>
      </c>
      <c r="C12" s="51" t="inlineStr">
        <is>
          <t>Routing sends it to the wrong queue; customer repeats themselves</t>
        </is>
      </c>
      <c r="D12" s="51" t="n">
        <v>6</v>
      </c>
      <c r="E12" s="51" t="inlineStr">
        <is>
          <t>40 codes in a flat list, no search</t>
        </is>
      </c>
      <c r="F12" s="51" t="n">
        <v>9</v>
      </c>
      <c r="G12" s="51" t="inlineStr">
        <is>
          <t>Annual training</t>
        </is>
      </c>
      <c r="H12" s="51" t="inlineStr">
        <is>
          <t>QA audit catches it weeks later on 2% of contacts</t>
        </is>
      </c>
      <c r="I12" s="51" t="n">
        <v>8</v>
      </c>
      <c r="J12" s="41">
        <f>IF(COUNT(D12,F12,I12)=3,D12*F12*I12,"")</f>
        <v/>
      </c>
      <c r="K12" s="51" t="inlineStr">
        <is>
          <t>Cut the list to 12 codes and predict from the first message</t>
        </is>
      </c>
      <c r="L12" s="51" t="inlineStr">
        <is>
          <t>Support Ops</t>
        </is>
      </c>
      <c r="M12" s="51" t="inlineStr">
        <is>
          <t>2026-10-15</t>
        </is>
      </c>
      <c r="N12" s="51" t="inlineStr">
        <is>
          <t>Code list redesigned, pending release</t>
        </is>
      </c>
      <c r="O12" s="51" t="n">
        <v>6</v>
      </c>
      <c r="P12" s="51" t="n">
        <v>3</v>
      </c>
      <c r="Q12" s="51" t="n">
        <v>4</v>
      </c>
      <c r="R12" s="41">
        <f>IF(COUNT(O12,P12,Q12)=3,O12*P12*Q12,"")</f>
        <v/>
      </c>
      <c r="S12" s="53">
        <f>IF($J12="","",IF(COUNT($O12,$P12,$Q12)=3,$R12,$J12))</f>
        <v/>
      </c>
      <c r="T12" s="55">
        <f>IF(J12="","",RANK(J12,$J$11:$J$36,0)+COUNTIF($J$11:J12,J12)-1)</f>
        <v/>
      </c>
      <c r="U12" s="56" t="n">
        <v>2</v>
      </c>
      <c r="V12" s="57">
        <f>IFERROR(INDEX($B$11:$B$36,MATCH(U12,$T$11:$T$36,0)),"")</f>
        <v/>
      </c>
      <c r="W12" s="53">
        <f>IFERROR(INDEX($J$11:$J$36,MATCH(U12,$T$11:$T$36,0)),"")</f>
        <v/>
      </c>
      <c r="X12" s="53">
        <f>IFERROR(INDEX($S$11:$S$36,MATCH(U12,$T$11:$T$36,0)),"")</f>
        <v/>
      </c>
      <c r="Y12" s="53">
        <f>IF(W12="","",$D$45)</f>
        <v/>
      </c>
    </row>
    <row r="13" ht="30" customHeight="1" s="25">
      <c r="A13" s="51" t="inlineStr">
        <is>
          <t>Billing Ops verifies evidence</t>
        </is>
      </c>
      <c r="B13" s="51" t="inlineStr">
        <is>
          <t>Evidence missing, ticket bounced back</t>
        </is>
      </c>
      <c r="C13" s="51" t="inlineStr">
        <is>
          <t>Adds a full day to the resolution</t>
        </is>
      </c>
      <c r="D13" s="51" t="n">
        <v>5</v>
      </c>
      <c r="E13" s="51" t="inlineStr">
        <is>
          <t>Tier 1 has no checklist for what Billing needs</t>
        </is>
      </c>
      <c r="F13" s="51" t="n">
        <v>7</v>
      </c>
      <c r="G13" s="51" t="inlineStr">
        <is>
          <t>Wiki page nobody opens</t>
        </is>
      </c>
      <c r="H13" s="51" t="inlineStr">
        <is>
          <t>Detected immediately on bounce-back</t>
        </is>
      </c>
      <c r="I13" s="51" t="n">
        <v>3</v>
      </c>
      <c r="J13" s="41">
        <f>IF(COUNT(D13,F13,I13)=3,D13*F13*I13,"")</f>
        <v/>
      </c>
      <c r="K13" s="51" t="inlineStr">
        <is>
          <t>Required-fields form before hand-off</t>
        </is>
      </c>
      <c r="L13" s="51" t="inlineStr">
        <is>
          <t>Support Ops</t>
        </is>
      </c>
      <c r="M13" s="51" t="inlineStr">
        <is>
          <t>2026-09-15</t>
        </is>
      </c>
      <c r="N13" s="51" t="inlineStr">
        <is>
          <t>Form live since August</t>
        </is>
      </c>
      <c r="O13" s="51" t="n">
        <v>5</v>
      </c>
      <c r="P13" s="51" t="n">
        <v>2</v>
      </c>
      <c r="Q13" s="51" t="n">
        <v>3</v>
      </c>
      <c r="R13" s="41">
        <f>IF(COUNT(O13,P13,Q13)=3,O13*P13*Q13,"")</f>
        <v/>
      </c>
      <c r="S13" s="53">
        <f>IF($J13="","",IF(COUNT($O13,$P13,$Q13)=3,$R13,$J13))</f>
        <v/>
      </c>
      <c r="T13" s="55">
        <f>IF(J13="","",RANK(J13,$J$11:$J$36,0)+COUNTIF($J$11:J13,J13)-1)</f>
        <v/>
      </c>
      <c r="U13" s="56" t="n">
        <v>3</v>
      </c>
      <c r="V13" s="57">
        <f>IFERROR(INDEX($B$11:$B$36,MATCH(U13,$T$11:$T$36,0)),"")</f>
        <v/>
      </c>
      <c r="W13" s="53">
        <f>IFERROR(INDEX($J$11:$J$36,MATCH(U13,$T$11:$T$36,0)),"")</f>
        <v/>
      </c>
      <c r="X13" s="53">
        <f>IFERROR(INDEX($S$11:$S$36,MATCH(U13,$T$11:$T$36,0)),"")</f>
        <v/>
      </c>
      <c r="Y13" s="53">
        <f>IF(W13="","",$D$45)</f>
        <v/>
      </c>
    </row>
    <row r="14" ht="30" customHeight="1" s="25">
      <c r="A14" s="51" t="inlineStr">
        <is>
          <t>Nightly adjustment batch runs</t>
        </is>
      </c>
      <c r="B14" s="51" t="inlineStr">
        <is>
          <t>Batch fails silently</t>
        </is>
      </c>
      <c r="C14" s="51" t="inlineStr">
        <is>
          <t>Every adjustment that day is late; nobody knows until customers call</t>
        </is>
      </c>
      <c r="D14" s="51" t="n">
        <v>8</v>
      </c>
      <c r="E14" s="51" t="inlineStr">
        <is>
          <t>No alerting on batch exit code</t>
        </is>
      </c>
      <c r="F14" s="51" t="n">
        <v>4</v>
      </c>
      <c r="G14" s="51" t="inlineStr">
        <is>
          <t>None</t>
        </is>
      </c>
      <c r="H14" s="51" t="inlineStr">
        <is>
          <t>Discovered next morning by chance</t>
        </is>
      </c>
      <c r="I14" s="51" t="n">
        <v>9</v>
      </c>
      <c r="J14" s="41">
        <f>IF(COUNT(D14,F14,I14)=3,D14*F14*I14,"")</f>
        <v/>
      </c>
      <c r="K14" s="51" t="inlineStr">
        <is>
          <t>Alert on non-zero exit to the on-call channel</t>
        </is>
      </c>
      <c r="L14" s="51" t="inlineStr">
        <is>
          <t>Platform Eng</t>
        </is>
      </c>
      <c r="M14" s="51" t="inlineStr">
        <is>
          <t>2026-09-01</t>
        </is>
      </c>
      <c r="N14" s="51" t="inlineStr">
        <is>
          <t>Alerting deployed</t>
        </is>
      </c>
      <c r="O14" s="51" t="n">
        <v>8</v>
      </c>
      <c r="P14" s="51" t="n">
        <v>2</v>
      </c>
      <c r="Q14" s="51" t="n">
        <v>2</v>
      </c>
      <c r="R14" s="41">
        <f>IF(COUNT(O14,P14,Q14)=3,O14*P14*Q14,"")</f>
        <v/>
      </c>
      <c r="S14" s="53">
        <f>IF($J14="","",IF(COUNT($O14,$P14,$Q14)=3,$R14,$J14))</f>
        <v/>
      </c>
      <c r="T14" s="55">
        <f>IF(J14="","",RANK(J14,$J$11:$J$36,0)+COUNTIF($J$11:J14,J14)-1)</f>
        <v/>
      </c>
      <c r="U14" s="56" t="n">
        <v>4</v>
      </c>
      <c r="V14" s="57">
        <f>IFERROR(INDEX($B$11:$B$36,MATCH(U14,$T$11:$T$36,0)),"")</f>
        <v/>
      </c>
      <c r="W14" s="53">
        <f>IFERROR(INDEX($J$11:$J$36,MATCH(U14,$T$11:$T$36,0)),"")</f>
        <v/>
      </c>
      <c r="X14" s="53">
        <f>IFERROR(INDEX($S$11:$S$36,MATCH(U14,$T$11:$T$36,0)),"")</f>
        <v/>
      </c>
      <c r="Y14" s="53">
        <f>IF(W14="","",$D$45)</f>
        <v/>
      </c>
    </row>
    <row r="15" ht="30" customHeight="1" s="25">
      <c r="A15" s="51" t="inlineStr">
        <is>
          <t>Agent applies a goodwill credit</t>
        </is>
      </c>
      <c r="B15" s="51" t="inlineStr">
        <is>
          <t>Credit exceeds the agent's authority</t>
        </is>
      </c>
      <c r="C15" s="51" t="inlineStr">
        <is>
          <t>Margin leakage; caught in month-end reconciliation</t>
        </is>
      </c>
      <c r="D15" s="51" t="n">
        <v>4</v>
      </c>
      <c r="E15" s="51" t="inlineStr">
        <is>
          <t>Limit is documented but not enforced in the tool</t>
        </is>
      </c>
      <c r="F15" s="51" t="n">
        <v>6</v>
      </c>
      <c r="G15" s="51" t="inlineStr">
        <is>
          <t>SOP states the limit</t>
        </is>
      </c>
      <c r="H15" s="51" t="inlineStr">
        <is>
          <t>Month-end reconciliation, up to 30 days later</t>
        </is>
      </c>
      <c r="I15" s="51" t="n">
        <v>7</v>
      </c>
      <c r="J15" s="41">
        <f>IF(COUNT(D15,F15,I15)=3,D15*F15*I15,"")</f>
        <v/>
      </c>
      <c r="K15" s="51" t="inlineStr">
        <is>
          <t>Enforce the limit in the credit form</t>
        </is>
      </c>
      <c r="L15" s="51" t="inlineStr">
        <is>
          <t>Billing Ops</t>
        </is>
      </c>
      <c r="M15" s="51" t="inlineStr">
        <is>
          <t>2026-11-30</t>
        </is>
      </c>
      <c r="N15" s="51" t="inlineStr">
        <is>
          <t>In backlog</t>
        </is>
      </c>
      <c r="O15" s="51" t="n">
        <v>4</v>
      </c>
      <c r="P15" s="51" t="n">
        <v>6</v>
      </c>
      <c r="Q15" s="51" t="n">
        <v>7</v>
      </c>
      <c r="R15" s="41">
        <f>IF(COUNT(O15,P15,Q15)=3,O15*P15*Q15,"")</f>
        <v/>
      </c>
      <c r="S15" s="53">
        <f>IF($J15="","",IF(COUNT($O15,$P15,$Q15)=3,$R15,$J15))</f>
        <v/>
      </c>
      <c r="T15" s="55">
        <f>IF(J15="","",RANK(J15,$J$11:$J$36,0)+COUNTIF($J$11:J15,J15)-1)</f>
        <v/>
      </c>
      <c r="U15" s="56" t="n">
        <v>5</v>
      </c>
      <c r="V15" s="57">
        <f>IFERROR(INDEX($B$11:$B$36,MATCH(U15,$T$11:$T$36,0)),"")</f>
        <v/>
      </c>
      <c r="W15" s="53">
        <f>IFERROR(INDEX($J$11:$J$36,MATCH(U15,$T$11:$T$36,0)),"")</f>
        <v/>
      </c>
      <c r="X15" s="53">
        <f>IFERROR(INDEX($S$11:$S$36,MATCH(U15,$T$11:$T$36,0)),"")</f>
        <v/>
      </c>
      <c r="Y15" s="53">
        <f>IF(W15="","",$D$45)</f>
        <v/>
      </c>
    </row>
    <row r="16" ht="30" customHeight="1" s="25">
      <c r="A16" s="51" t="inlineStr">
        <is>
          <t>Customer confirms resolution</t>
        </is>
      </c>
      <c r="B16" s="51" t="inlineStr">
        <is>
          <t>No confirmation ever arrives</t>
        </is>
      </c>
      <c r="C16" s="51" t="inlineStr">
        <is>
          <t>Ticket auto-closes while the customer still has the problem</t>
        </is>
      </c>
      <c r="D16" s="51" t="n">
        <v>6</v>
      </c>
      <c r="E16" s="51" t="inlineStr">
        <is>
          <t>Auto-close at 96 hours with no reminder</t>
        </is>
      </c>
      <c r="F16" s="51" t="n">
        <v>7</v>
      </c>
      <c r="G16" s="51" t="inlineStr">
        <is>
          <t>None</t>
        </is>
      </c>
      <c r="H16" s="51" t="inlineStr">
        <is>
          <t>Only visible as a reopen days later</t>
        </is>
      </c>
      <c r="I16" s="51" t="n">
        <v>8</v>
      </c>
      <c r="J16" s="41">
        <f>IF(COUNT(D16,F16,I16)=3,D16*F16*I16,"")</f>
        <v/>
      </c>
      <c r="K16" s="51" t="inlineStr">
        <is>
          <t>Send a reminder at 48 hours before auto-close</t>
        </is>
      </c>
      <c r="L16" s="51" t="inlineStr">
        <is>
          <t>Support Ops</t>
        </is>
      </c>
      <c r="M16" s="51" t="inlineStr">
        <is>
          <t>2026-10-01</t>
        </is>
      </c>
      <c r="N16" s="51" t="inlineStr">
        <is>
          <t>Reminder shipped</t>
        </is>
      </c>
      <c r="O16" s="51" t="n">
        <v>6</v>
      </c>
      <c r="P16" s="51" t="n">
        <v>3</v>
      </c>
      <c r="Q16" s="51" t="n">
        <v>4</v>
      </c>
      <c r="R16" s="41">
        <f>IF(COUNT(O16,P16,Q16)=3,O16*P16*Q16,"")</f>
        <v/>
      </c>
      <c r="S16" s="53">
        <f>IF($J16="","",IF(COUNT($O16,$P16,$Q16)=3,$R16,$J16))</f>
        <v/>
      </c>
      <c r="T16" s="55">
        <f>IF(J16="","",RANK(J16,$J$11:$J$36,0)+COUNTIF($J$11:J16,J16)-1)</f>
        <v/>
      </c>
      <c r="U16" s="56" t="n">
        <v>6</v>
      </c>
      <c r="V16" s="57">
        <f>IFERROR(INDEX($B$11:$B$36,MATCH(U16,$T$11:$T$36,0)),"")</f>
        <v/>
      </c>
      <c r="W16" s="53">
        <f>IFERROR(INDEX($J$11:$J$36,MATCH(U16,$T$11:$T$36,0)),"")</f>
        <v/>
      </c>
      <c r="X16" s="53">
        <f>IFERROR(INDEX($S$11:$S$36,MATCH(U16,$T$11:$T$36,0)),"")</f>
        <v/>
      </c>
      <c r="Y16" s="53">
        <f>IF(W16="","",$D$45)</f>
        <v/>
      </c>
    </row>
    <row r="17" ht="30" customHeight="1" s="25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1">
        <f>IF(COUNT(D17,F17,I17)=3,D17*F17*I17,"")</f>
        <v/>
      </c>
      <c r="K17" s="40" t="n"/>
      <c r="L17" s="40" t="n"/>
      <c r="M17" s="40" t="n"/>
      <c r="N17" s="40" t="n"/>
      <c r="O17" s="40" t="n"/>
      <c r="P17" s="40" t="n"/>
      <c r="Q17" s="40" t="n"/>
      <c r="R17" s="41">
        <f>IF(COUNT(O17,P17,Q17)=3,O17*P17*Q17,"")</f>
        <v/>
      </c>
      <c r="S17" s="53">
        <f>IF($J17="","",IF(COUNT($O17,$P17,$Q17)=3,$R17,$J17))</f>
        <v/>
      </c>
      <c r="T17" s="55">
        <f>IF(J17="","",RANK(J17,$J$11:$J$36,0)+COUNTIF($J$11:J17,J17)-1)</f>
        <v/>
      </c>
      <c r="U17" s="56" t="n">
        <v>7</v>
      </c>
      <c r="V17" s="57">
        <f>IFERROR(INDEX($B$11:$B$36,MATCH(U17,$T$11:$T$36,0)),"")</f>
        <v/>
      </c>
      <c r="W17" s="53">
        <f>IFERROR(INDEX($J$11:$J$36,MATCH(U17,$T$11:$T$36,0)),"")</f>
        <v/>
      </c>
      <c r="X17" s="53">
        <f>IFERROR(INDEX($S$11:$S$36,MATCH(U17,$T$11:$T$36,0)),"")</f>
        <v/>
      </c>
      <c r="Y17" s="53">
        <f>IF(W17="","",$D$45)</f>
        <v/>
      </c>
    </row>
    <row r="18" ht="30" customHeight="1" s="25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1">
        <f>IF(COUNT(D18,F18,I18)=3,D18*F18*I18,"")</f>
        <v/>
      </c>
      <c r="K18" s="40" t="n"/>
      <c r="L18" s="40" t="n"/>
      <c r="M18" s="40" t="n"/>
      <c r="N18" s="40" t="n"/>
      <c r="O18" s="40" t="n"/>
      <c r="P18" s="40" t="n"/>
      <c r="Q18" s="40" t="n"/>
      <c r="R18" s="41">
        <f>IF(COUNT(O18,P18,Q18)=3,O18*P18*Q18,"")</f>
        <v/>
      </c>
      <c r="S18" s="53">
        <f>IF($J18="","",IF(COUNT($O18,$P18,$Q18)=3,$R18,$J18))</f>
        <v/>
      </c>
      <c r="T18" s="55">
        <f>IF(J18="","",RANK(J18,$J$11:$J$36,0)+COUNTIF($J$11:J18,J18)-1)</f>
        <v/>
      </c>
      <c r="U18" s="56" t="n">
        <v>8</v>
      </c>
      <c r="V18" s="57">
        <f>IFERROR(INDEX($B$11:$B$36,MATCH(U18,$T$11:$T$36,0)),"")</f>
        <v/>
      </c>
      <c r="W18" s="53">
        <f>IFERROR(INDEX($J$11:$J$36,MATCH(U18,$T$11:$T$36,0)),"")</f>
        <v/>
      </c>
      <c r="X18" s="53">
        <f>IFERROR(INDEX($S$11:$S$36,MATCH(U18,$T$11:$T$36,0)),"")</f>
        <v/>
      </c>
      <c r="Y18" s="53">
        <f>IF(W18="","",$D$45)</f>
        <v/>
      </c>
    </row>
    <row r="19" ht="30" customHeight="1" s="25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1">
        <f>IF(COUNT(D19,F19,I19)=3,D19*F19*I19,"")</f>
        <v/>
      </c>
      <c r="K19" s="40" t="n"/>
      <c r="L19" s="40" t="n"/>
      <c r="M19" s="40" t="n"/>
      <c r="N19" s="40" t="n"/>
      <c r="O19" s="40" t="n"/>
      <c r="P19" s="40" t="n"/>
      <c r="Q19" s="40" t="n"/>
      <c r="R19" s="41">
        <f>IF(COUNT(O19,P19,Q19)=3,O19*P19*Q19,"")</f>
        <v/>
      </c>
      <c r="S19" s="53">
        <f>IF($J19="","",IF(COUNT($O19,$P19,$Q19)=3,$R19,$J19))</f>
        <v/>
      </c>
      <c r="T19" s="55">
        <f>IF(J19="","",RANK(J19,$J$11:$J$36,0)+COUNTIF($J$11:J19,J19)-1)</f>
        <v/>
      </c>
      <c r="U19" s="56" t="n">
        <v>9</v>
      </c>
      <c r="V19" s="57">
        <f>IFERROR(INDEX($B$11:$B$36,MATCH(U19,$T$11:$T$36,0)),"")</f>
        <v/>
      </c>
      <c r="W19" s="53">
        <f>IFERROR(INDEX($J$11:$J$36,MATCH(U19,$T$11:$T$36,0)),"")</f>
        <v/>
      </c>
      <c r="X19" s="53">
        <f>IFERROR(INDEX($S$11:$S$36,MATCH(U19,$T$11:$T$36,0)),"")</f>
        <v/>
      </c>
      <c r="Y19" s="53">
        <f>IF(W19="","",$D$45)</f>
        <v/>
      </c>
    </row>
    <row r="20" ht="30" customHeight="1" s="25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1">
        <f>IF(COUNT(D20,F20,I20)=3,D20*F20*I20,"")</f>
        <v/>
      </c>
      <c r="K20" s="40" t="n"/>
      <c r="L20" s="40" t="n"/>
      <c r="M20" s="40" t="n"/>
      <c r="N20" s="40" t="n"/>
      <c r="O20" s="40" t="n"/>
      <c r="P20" s="40" t="n"/>
      <c r="Q20" s="40" t="n"/>
      <c r="R20" s="41">
        <f>IF(COUNT(O20,P20,Q20)=3,O20*P20*Q20,"")</f>
        <v/>
      </c>
      <c r="S20" s="53">
        <f>IF($J20="","",IF(COUNT($O20,$P20,$Q20)=3,$R20,$J20))</f>
        <v/>
      </c>
      <c r="T20" s="55">
        <f>IF(J20="","",RANK(J20,$J$11:$J$36,0)+COUNTIF($J$11:J20,J20)-1)</f>
        <v/>
      </c>
      <c r="U20" s="56" t="n">
        <v>10</v>
      </c>
      <c r="V20" s="57">
        <f>IFERROR(INDEX($B$11:$B$36,MATCH(U20,$T$11:$T$36,0)),"")</f>
        <v/>
      </c>
      <c r="W20" s="53">
        <f>IFERROR(INDEX($J$11:$J$36,MATCH(U20,$T$11:$T$36,0)),"")</f>
        <v/>
      </c>
      <c r="X20" s="53">
        <f>IFERROR(INDEX($S$11:$S$36,MATCH(U20,$T$11:$T$36,0)),"")</f>
        <v/>
      </c>
      <c r="Y20" s="53">
        <f>IF(W20="","",$D$45)</f>
        <v/>
      </c>
    </row>
    <row r="21" ht="30" customHeight="1" s="25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1">
        <f>IF(COUNT(D21,F21,I21)=3,D21*F21*I21,"")</f>
        <v/>
      </c>
      <c r="K21" s="40" t="n"/>
      <c r="L21" s="40" t="n"/>
      <c r="M21" s="40" t="n"/>
      <c r="N21" s="40" t="n"/>
      <c r="O21" s="40" t="n"/>
      <c r="P21" s="40" t="n"/>
      <c r="Q21" s="40" t="n"/>
      <c r="R21" s="41">
        <f>IF(COUNT(O21,P21,Q21)=3,O21*P21*Q21,"")</f>
        <v/>
      </c>
      <c r="S21" s="53">
        <f>IF($J21="","",IF(COUNT($O21,$P21,$Q21)=3,$R21,$J21))</f>
        <v/>
      </c>
      <c r="T21" s="55">
        <f>IF(J21="","",RANK(J21,$J$11:$J$36,0)+COUNTIF($J$11:J21,J21)-1)</f>
        <v/>
      </c>
      <c r="U21" s="56" t="n">
        <v>11</v>
      </c>
      <c r="V21" s="57">
        <f>IFERROR(INDEX($B$11:$B$36,MATCH(U21,$T$11:$T$36,0)),"")</f>
        <v/>
      </c>
      <c r="W21" s="53">
        <f>IFERROR(INDEX($J$11:$J$36,MATCH(U21,$T$11:$T$36,0)),"")</f>
        <v/>
      </c>
      <c r="X21" s="53">
        <f>IFERROR(INDEX($S$11:$S$36,MATCH(U21,$T$11:$T$36,0)),"")</f>
        <v/>
      </c>
      <c r="Y21" s="53">
        <f>IF(W21="","",$D$45)</f>
        <v/>
      </c>
    </row>
    <row r="22" ht="30" customHeight="1" s="25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1">
        <f>IF(COUNT(D22,F22,I22)=3,D22*F22*I22,"")</f>
        <v/>
      </c>
      <c r="K22" s="40" t="n"/>
      <c r="L22" s="40" t="n"/>
      <c r="M22" s="40" t="n"/>
      <c r="N22" s="40" t="n"/>
      <c r="O22" s="40" t="n"/>
      <c r="P22" s="40" t="n"/>
      <c r="Q22" s="40" t="n"/>
      <c r="R22" s="41">
        <f>IF(COUNT(O22,P22,Q22)=3,O22*P22*Q22,"")</f>
        <v/>
      </c>
      <c r="S22" s="53">
        <f>IF($J22="","",IF(COUNT($O22,$P22,$Q22)=3,$R22,$J22))</f>
        <v/>
      </c>
      <c r="T22" s="55">
        <f>IF(J22="","",RANK(J22,$J$11:$J$36,0)+COUNTIF($J$11:J22,J22)-1)</f>
        <v/>
      </c>
      <c r="U22" s="56" t="n">
        <v>12</v>
      </c>
      <c r="V22" s="57">
        <f>IFERROR(INDEX($B$11:$B$36,MATCH(U22,$T$11:$T$36,0)),"")</f>
        <v/>
      </c>
      <c r="W22" s="53">
        <f>IFERROR(INDEX($J$11:$J$36,MATCH(U22,$T$11:$T$36,0)),"")</f>
        <v/>
      </c>
      <c r="X22" s="53">
        <f>IFERROR(INDEX($S$11:$S$36,MATCH(U22,$T$11:$T$36,0)),"")</f>
        <v/>
      </c>
      <c r="Y22" s="53">
        <f>IF(W22="","",$D$45)</f>
        <v/>
      </c>
    </row>
    <row r="23" ht="30" customHeight="1" s="25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1">
        <f>IF(COUNT(D23,F23,I23)=3,D23*F23*I23,"")</f>
        <v/>
      </c>
      <c r="K23" s="40" t="n"/>
      <c r="L23" s="40" t="n"/>
      <c r="M23" s="40" t="n"/>
      <c r="N23" s="40" t="n"/>
      <c r="O23" s="40" t="n"/>
      <c r="P23" s="40" t="n"/>
      <c r="Q23" s="40" t="n"/>
      <c r="R23" s="41">
        <f>IF(COUNT(O23,P23,Q23)=3,O23*P23*Q23,"")</f>
        <v/>
      </c>
      <c r="S23" s="53">
        <f>IF($J23="","",IF(COUNT($O23,$P23,$Q23)=3,$R23,$J23))</f>
        <v/>
      </c>
      <c r="T23" s="55">
        <f>IF(J23="","",RANK(J23,$J$11:$J$36,0)+COUNTIF($J$11:J23,J23)-1)</f>
        <v/>
      </c>
      <c r="U23" s="56" t="n">
        <v>13</v>
      </c>
      <c r="V23" s="57">
        <f>IFERROR(INDEX($B$11:$B$36,MATCH(U23,$T$11:$T$36,0)),"")</f>
        <v/>
      </c>
      <c r="W23" s="53">
        <f>IFERROR(INDEX($J$11:$J$36,MATCH(U23,$T$11:$T$36,0)),"")</f>
        <v/>
      </c>
      <c r="X23" s="53">
        <f>IFERROR(INDEX($S$11:$S$36,MATCH(U23,$T$11:$T$36,0)),"")</f>
        <v/>
      </c>
      <c r="Y23" s="53">
        <f>IF(W23="","",$D$45)</f>
        <v/>
      </c>
    </row>
    <row r="24" ht="30" customHeight="1" s="25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1">
        <f>IF(COUNT(D24,F24,I24)=3,D24*F24*I24,"")</f>
        <v/>
      </c>
      <c r="K24" s="40" t="n"/>
      <c r="L24" s="40" t="n"/>
      <c r="M24" s="40" t="n"/>
      <c r="N24" s="40" t="n"/>
      <c r="O24" s="40" t="n"/>
      <c r="P24" s="40" t="n"/>
      <c r="Q24" s="40" t="n"/>
      <c r="R24" s="41">
        <f>IF(COUNT(O24,P24,Q24)=3,O24*P24*Q24,"")</f>
        <v/>
      </c>
      <c r="S24" s="53">
        <f>IF($J24="","",IF(COUNT($O24,$P24,$Q24)=3,$R24,$J24))</f>
        <v/>
      </c>
      <c r="T24" s="55">
        <f>IF(J24="","",RANK(J24,$J$11:$J$36,0)+COUNTIF($J$11:J24,J24)-1)</f>
        <v/>
      </c>
      <c r="U24" s="56" t="n">
        <v>14</v>
      </c>
      <c r="V24" s="57">
        <f>IFERROR(INDEX($B$11:$B$36,MATCH(U24,$T$11:$T$36,0)),"")</f>
        <v/>
      </c>
      <c r="W24" s="53">
        <f>IFERROR(INDEX($J$11:$J$36,MATCH(U24,$T$11:$T$36,0)),"")</f>
        <v/>
      </c>
      <c r="X24" s="53">
        <f>IFERROR(INDEX($S$11:$S$36,MATCH(U24,$T$11:$T$36,0)),"")</f>
        <v/>
      </c>
      <c r="Y24" s="53">
        <f>IF(W24="","",$D$45)</f>
        <v/>
      </c>
    </row>
    <row r="25" ht="30" customHeight="1" s="25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1">
        <f>IF(COUNT(D25,F25,I25)=3,D25*F25*I25,"")</f>
        <v/>
      </c>
      <c r="K25" s="40" t="n"/>
      <c r="L25" s="40" t="n"/>
      <c r="M25" s="40" t="n"/>
      <c r="N25" s="40" t="n"/>
      <c r="O25" s="40" t="n"/>
      <c r="P25" s="40" t="n"/>
      <c r="Q25" s="40" t="n"/>
      <c r="R25" s="41">
        <f>IF(COUNT(O25,P25,Q25)=3,O25*P25*Q25,"")</f>
        <v/>
      </c>
      <c r="S25" s="53">
        <f>IF($J25="","",IF(COUNT($O25,$P25,$Q25)=3,$R25,$J25))</f>
        <v/>
      </c>
      <c r="T25" s="55">
        <f>IF(J25="","",RANK(J25,$J$11:$J$36,0)+COUNTIF($J$11:J25,J25)-1)</f>
        <v/>
      </c>
      <c r="U25" s="56" t="n">
        <v>15</v>
      </c>
      <c r="V25" s="57">
        <f>IFERROR(INDEX($B$11:$B$36,MATCH(U25,$T$11:$T$36,0)),"")</f>
        <v/>
      </c>
      <c r="W25" s="53">
        <f>IFERROR(INDEX($J$11:$J$36,MATCH(U25,$T$11:$T$36,0)),"")</f>
        <v/>
      </c>
      <c r="X25" s="53">
        <f>IFERROR(INDEX($S$11:$S$36,MATCH(U25,$T$11:$T$36,0)),"")</f>
        <v/>
      </c>
      <c r="Y25" s="53">
        <f>IF(W25="","",$D$45)</f>
        <v/>
      </c>
    </row>
    <row r="26" ht="30" customHeight="1" s="25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1">
        <f>IF(COUNT(D26,F26,I26)=3,D26*F26*I26,"")</f>
        <v/>
      </c>
      <c r="K26" s="40" t="n"/>
      <c r="L26" s="40" t="n"/>
      <c r="M26" s="40" t="n"/>
      <c r="N26" s="40" t="n"/>
      <c r="O26" s="40" t="n"/>
      <c r="P26" s="40" t="n"/>
      <c r="Q26" s="40" t="n"/>
      <c r="R26" s="41">
        <f>IF(COUNT(O26,P26,Q26)=3,O26*P26*Q26,"")</f>
        <v/>
      </c>
      <c r="S26" s="53">
        <f>IF($J26="","",IF(COUNT($O26,$P26,$Q26)=3,$R26,$J26))</f>
        <v/>
      </c>
      <c r="T26" s="55">
        <f>IF(J26="","",RANK(J26,$J$11:$J$36,0)+COUNTIF($J$11:J26,J26)-1)</f>
        <v/>
      </c>
      <c r="U26" s="56" t="n">
        <v>16</v>
      </c>
      <c r="V26" s="57">
        <f>IFERROR(INDEX($B$11:$B$36,MATCH(U26,$T$11:$T$36,0)),"")</f>
        <v/>
      </c>
      <c r="W26" s="53">
        <f>IFERROR(INDEX($J$11:$J$36,MATCH(U26,$T$11:$T$36,0)),"")</f>
        <v/>
      </c>
      <c r="X26" s="53">
        <f>IFERROR(INDEX($S$11:$S$36,MATCH(U26,$T$11:$T$36,0)),"")</f>
        <v/>
      </c>
      <c r="Y26" s="53">
        <f>IF(W26="","",$D$45)</f>
        <v/>
      </c>
    </row>
    <row r="27" ht="30" customHeight="1" s="25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1">
        <f>IF(COUNT(D27,F27,I27)=3,D27*F27*I27,"")</f>
        <v/>
      </c>
      <c r="K27" s="40" t="n"/>
      <c r="L27" s="40" t="n"/>
      <c r="M27" s="40" t="n"/>
      <c r="N27" s="40" t="n"/>
      <c r="O27" s="40" t="n"/>
      <c r="P27" s="40" t="n"/>
      <c r="Q27" s="40" t="n"/>
      <c r="R27" s="41">
        <f>IF(COUNT(O27,P27,Q27)=3,O27*P27*Q27,"")</f>
        <v/>
      </c>
      <c r="S27" s="53">
        <f>IF($J27="","",IF(COUNT($O27,$P27,$Q27)=3,$R27,$J27))</f>
        <v/>
      </c>
      <c r="T27" s="55">
        <f>IF(J27="","",RANK(J27,$J$11:$J$36,0)+COUNTIF($J$11:J27,J27)-1)</f>
        <v/>
      </c>
      <c r="U27" s="56" t="n">
        <v>17</v>
      </c>
      <c r="V27" s="57">
        <f>IFERROR(INDEX($B$11:$B$36,MATCH(U27,$T$11:$T$36,0)),"")</f>
        <v/>
      </c>
      <c r="W27" s="53">
        <f>IFERROR(INDEX($J$11:$J$36,MATCH(U27,$T$11:$T$36,0)),"")</f>
        <v/>
      </c>
      <c r="X27" s="53">
        <f>IFERROR(INDEX($S$11:$S$36,MATCH(U27,$T$11:$T$36,0)),"")</f>
        <v/>
      </c>
      <c r="Y27" s="53">
        <f>IF(W27="","",$D$45)</f>
        <v/>
      </c>
    </row>
    <row r="28" ht="30" customHeight="1" s="25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1">
        <f>IF(COUNT(D28,F28,I28)=3,D28*F28*I28,"")</f>
        <v/>
      </c>
      <c r="K28" s="40" t="n"/>
      <c r="L28" s="40" t="n"/>
      <c r="M28" s="40" t="n"/>
      <c r="N28" s="40" t="n"/>
      <c r="O28" s="40" t="n"/>
      <c r="P28" s="40" t="n"/>
      <c r="Q28" s="40" t="n"/>
      <c r="R28" s="41">
        <f>IF(COUNT(O28,P28,Q28)=3,O28*P28*Q28,"")</f>
        <v/>
      </c>
      <c r="S28" s="53">
        <f>IF($J28="","",IF(COUNT($O28,$P28,$Q28)=3,$R28,$J28))</f>
        <v/>
      </c>
      <c r="T28" s="55">
        <f>IF(J28="","",RANK(J28,$J$11:$J$36,0)+COUNTIF($J$11:J28,J28)-1)</f>
        <v/>
      </c>
      <c r="U28" s="56" t="n">
        <v>18</v>
      </c>
      <c r="V28" s="57">
        <f>IFERROR(INDEX($B$11:$B$36,MATCH(U28,$T$11:$T$36,0)),"")</f>
        <v/>
      </c>
      <c r="W28" s="53">
        <f>IFERROR(INDEX($J$11:$J$36,MATCH(U28,$T$11:$T$36,0)),"")</f>
        <v/>
      </c>
      <c r="X28" s="53">
        <f>IFERROR(INDEX($S$11:$S$36,MATCH(U28,$T$11:$T$36,0)),"")</f>
        <v/>
      </c>
      <c r="Y28" s="53">
        <f>IF(W28="","",$D$45)</f>
        <v/>
      </c>
    </row>
    <row r="29" ht="30" customHeight="1" s="25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1">
        <f>IF(COUNT(D29,F29,I29)=3,D29*F29*I29,"")</f>
        <v/>
      </c>
      <c r="K29" s="40" t="n"/>
      <c r="L29" s="40" t="n"/>
      <c r="M29" s="40" t="n"/>
      <c r="N29" s="40" t="n"/>
      <c r="O29" s="40" t="n"/>
      <c r="P29" s="40" t="n"/>
      <c r="Q29" s="40" t="n"/>
      <c r="R29" s="41">
        <f>IF(COUNT(O29,P29,Q29)=3,O29*P29*Q29,"")</f>
        <v/>
      </c>
      <c r="S29" s="53">
        <f>IF($J29="","",IF(COUNT($O29,$P29,$Q29)=3,$R29,$J29))</f>
        <v/>
      </c>
      <c r="T29" s="55">
        <f>IF(J29="","",RANK(J29,$J$11:$J$36,0)+COUNTIF($J$11:J29,J29)-1)</f>
        <v/>
      </c>
      <c r="U29" s="56" t="n">
        <v>19</v>
      </c>
      <c r="V29" s="57">
        <f>IFERROR(INDEX($B$11:$B$36,MATCH(U29,$T$11:$T$36,0)),"")</f>
        <v/>
      </c>
      <c r="W29" s="53">
        <f>IFERROR(INDEX($J$11:$J$36,MATCH(U29,$T$11:$T$36,0)),"")</f>
        <v/>
      </c>
      <c r="X29" s="53">
        <f>IFERROR(INDEX($S$11:$S$36,MATCH(U29,$T$11:$T$36,0)),"")</f>
        <v/>
      </c>
      <c r="Y29" s="53">
        <f>IF(W29="","",$D$45)</f>
        <v/>
      </c>
    </row>
    <row r="30" ht="30" customHeight="1" s="25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1">
        <f>IF(COUNT(D30,F30,I30)=3,D30*F30*I30,"")</f>
        <v/>
      </c>
      <c r="K30" s="40" t="n"/>
      <c r="L30" s="40" t="n"/>
      <c r="M30" s="40" t="n"/>
      <c r="N30" s="40" t="n"/>
      <c r="O30" s="40" t="n"/>
      <c r="P30" s="40" t="n"/>
      <c r="Q30" s="40" t="n"/>
      <c r="R30" s="41">
        <f>IF(COUNT(O30,P30,Q30)=3,O30*P30*Q30,"")</f>
        <v/>
      </c>
      <c r="S30" s="53">
        <f>IF($J30="","",IF(COUNT($O30,$P30,$Q30)=3,$R30,$J30))</f>
        <v/>
      </c>
      <c r="T30" s="55">
        <f>IF(J30="","",RANK(J30,$J$11:$J$36,0)+COUNTIF($J$11:J30,J30)-1)</f>
        <v/>
      </c>
      <c r="U30" s="56" t="n">
        <v>20</v>
      </c>
      <c r="V30" s="57">
        <f>IFERROR(INDEX($B$11:$B$36,MATCH(U30,$T$11:$T$36,0)),"")</f>
        <v/>
      </c>
      <c r="W30" s="53">
        <f>IFERROR(INDEX($J$11:$J$36,MATCH(U30,$T$11:$T$36,0)),"")</f>
        <v/>
      </c>
      <c r="X30" s="53">
        <f>IFERROR(INDEX($S$11:$S$36,MATCH(U30,$T$11:$T$36,0)),"")</f>
        <v/>
      </c>
      <c r="Y30" s="53">
        <f>IF(W30="","",$D$45)</f>
        <v/>
      </c>
    </row>
    <row r="31" ht="30" customHeight="1" s="25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1">
        <f>IF(COUNT(D31,F31,I31)=3,D31*F31*I31,"")</f>
        <v/>
      </c>
      <c r="K31" s="40" t="n"/>
      <c r="L31" s="40" t="n"/>
      <c r="M31" s="40" t="n"/>
      <c r="N31" s="40" t="n"/>
      <c r="O31" s="40" t="n"/>
      <c r="P31" s="40" t="n"/>
      <c r="Q31" s="40" t="n"/>
      <c r="R31" s="41">
        <f>IF(COUNT(O31,P31,Q31)=3,O31*P31*Q31,"")</f>
        <v/>
      </c>
      <c r="S31" s="53">
        <f>IF($J31="","",IF(COUNT($O31,$P31,$Q31)=3,$R31,$J31))</f>
        <v/>
      </c>
      <c r="T31" s="55">
        <f>IF(J31="","",RANK(J31,$J$11:$J$36,0)+COUNTIF($J$11:J31,J31)-1)</f>
        <v/>
      </c>
      <c r="U31" s="56" t="n">
        <v>21</v>
      </c>
      <c r="V31" s="57">
        <f>IFERROR(INDEX($B$11:$B$36,MATCH(U31,$T$11:$T$36,0)),"")</f>
        <v/>
      </c>
      <c r="W31" s="53">
        <f>IFERROR(INDEX($J$11:$J$36,MATCH(U31,$T$11:$T$36,0)),"")</f>
        <v/>
      </c>
      <c r="X31" s="53">
        <f>IFERROR(INDEX($S$11:$S$36,MATCH(U31,$T$11:$T$36,0)),"")</f>
        <v/>
      </c>
      <c r="Y31" s="53">
        <f>IF(W31="","",$D$45)</f>
        <v/>
      </c>
    </row>
    <row r="32" ht="30" customHeight="1" s="25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1">
        <f>IF(COUNT(D32,F32,I32)=3,D32*F32*I32,"")</f>
        <v/>
      </c>
      <c r="K32" s="40" t="n"/>
      <c r="L32" s="40" t="n"/>
      <c r="M32" s="40" t="n"/>
      <c r="N32" s="40" t="n"/>
      <c r="O32" s="40" t="n"/>
      <c r="P32" s="40" t="n"/>
      <c r="Q32" s="40" t="n"/>
      <c r="R32" s="41">
        <f>IF(COUNT(O32,P32,Q32)=3,O32*P32*Q32,"")</f>
        <v/>
      </c>
      <c r="S32" s="53">
        <f>IF($J32="","",IF(COUNT($O32,$P32,$Q32)=3,$R32,$J32))</f>
        <v/>
      </c>
      <c r="T32" s="55">
        <f>IF(J32="","",RANK(J32,$J$11:$J$36,0)+COUNTIF($J$11:J32,J32)-1)</f>
        <v/>
      </c>
      <c r="U32" s="56" t="n">
        <v>22</v>
      </c>
      <c r="V32" s="57">
        <f>IFERROR(INDEX($B$11:$B$36,MATCH(U32,$T$11:$T$36,0)),"")</f>
        <v/>
      </c>
      <c r="W32" s="53">
        <f>IFERROR(INDEX($J$11:$J$36,MATCH(U32,$T$11:$T$36,0)),"")</f>
        <v/>
      </c>
      <c r="X32" s="53">
        <f>IFERROR(INDEX($S$11:$S$36,MATCH(U32,$T$11:$T$36,0)),"")</f>
        <v/>
      </c>
      <c r="Y32" s="53">
        <f>IF(W32="","",$D$45)</f>
        <v/>
      </c>
    </row>
    <row r="33" ht="30" customHeight="1" s="25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1">
        <f>IF(COUNT(D33,F33,I33)=3,D33*F33*I33,"")</f>
        <v/>
      </c>
      <c r="K33" s="40" t="n"/>
      <c r="L33" s="40" t="n"/>
      <c r="M33" s="40" t="n"/>
      <c r="N33" s="40" t="n"/>
      <c r="O33" s="40" t="n"/>
      <c r="P33" s="40" t="n"/>
      <c r="Q33" s="40" t="n"/>
      <c r="R33" s="41">
        <f>IF(COUNT(O33,P33,Q33)=3,O33*P33*Q33,"")</f>
        <v/>
      </c>
      <c r="S33" s="53">
        <f>IF($J33="","",IF(COUNT($O33,$P33,$Q33)=3,$R33,$J33))</f>
        <v/>
      </c>
      <c r="T33" s="55">
        <f>IF(J33="","",RANK(J33,$J$11:$J$36,0)+COUNTIF($J$11:J33,J33)-1)</f>
        <v/>
      </c>
      <c r="U33" s="56" t="n">
        <v>23</v>
      </c>
      <c r="V33" s="57">
        <f>IFERROR(INDEX($B$11:$B$36,MATCH(U33,$T$11:$T$36,0)),"")</f>
        <v/>
      </c>
      <c r="W33" s="53">
        <f>IFERROR(INDEX($J$11:$J$36,MATCH(U33,$T$11:$T$36,0)),"")</f>
        <v/>
      </c>
      <c r="X33" s="53">
        <f>IFERROR(INDEX($S$11:$S$36,MATCH(U33,$T$11:$T$36,0)),"")</f>
        <v/>
      </c>
      <c r="Y33" s="53">
        <f>IF(W33="","",$D$45)</f>
        <v/>
      </c>
    </row>
    <row r="34" ht="30" customHeight="1" s="25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1">
        <f>IF(COUNT(D34,F34,I34)=3,D34*F34*I34,"")</f>
        <v/>
      </c>
      <c r="K34" s="40" t="n"/>
      <c r="L34" s="40" t="n"/>
      <c r="M34" s="40" t="n"/>
      <c r="N34" s="40" t="n"/>
      <c r="O34" s="40" t="n"/>
      <c r="P34" s="40" t="n"/>
      <c r="Q34" s="40" t="n"/>
      <c r="R34" s="41">
        <f>IF(COUNT(O34,P34,Q34)=3,O34*P34*Q34,"")</f>
        <v/>
      </c>
      <c r="S34" s="53">
        <f>IF($J34="","",IF(COUNT($O34,$P34,$Q34)=3,$R34,$J34))</f>
        <v/>
      </c>
      <c r="T34" s="55">
        <f>IF(J34="","",RANK(J34,$J$11:$J$36,0)+COUNTIF($J$11:J34,J34)-1)</f>
        <v/>
      </c>
      <c r="U34" s="56" t="n">
        <v>24</v>
      </c>
      <c r="V34" s="57">
        <f>IFERROR(INDEX($B$11:$B$36,MATCH(U34,$T$11:$T$36,0)),"")</f>
        <v/>
      </c>
      <c r="W34" s="53">
        <f>IFERROR(INDEX($J$11:$J$36,MATCH(U34,$T$11:$T$36,0)),"")</f>
        <v/>
      </c>
      <c r="X34" s="53">
        <f>IFERROR(INDEX($S$11:$S$36,MATCH(U34,$T$11:$T$36,0)),"")</f>
        <v/>
      </c>
      <c r="Y34" s="53">
        <f>IF(W34="","",$D$45)</f>
        <v/>
      </c>
    </row>
    <row r="35" ht="30" customHeight="1" s="2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1">
        <f>IF(COUNT(D35,F35,I35)=3,D35*F35*I35,"")</f>
        <v/>
      </c>
      <c r="K35" s="40" t="n"/>
      <c r="L35" s="40" t="n"/>
      <c r="M35" s="40" t="n"/>
      <c r="N35" s="40" t="n"/>
      <c r="O35" s="40" t="n"/>
      <c r="P35" s="40" t="n"/>
      <c r="Q35" s="40" t="n"/>
      <c r="R35" s="41">
        <f>IF(COUNT(O35,P35,Q35)=3,O35*P35*Q35,"")</f>
        <v/>
      </c>
      <c r="S35" s="53">
        <f>IF($J35="","",IF(COUNT($O35,$P35,$Q35)=3,$R35,$J35))</f>
        <v/>
      </c>
      <c r="T35" s="55">
        <f>IF(J35="","",RANK(J35,$J$11:$J$36,0)+COUNTIF($J$11:J35,J35)-1)</f>
        <v/>
      </c>
      <c r="U35" s="56" t="n">
        <v>25</v>
      </c>
      <c r="V35" s="57">
        <f>IFERROR(INDEX($B$11:$B$36,MATCH(U35,$T$11:$T$36,0)),"")</f>
        <v/>
      </c>
      <c r="W35" s="53">
        <f>IFERROR(INDEX($J$11:$J$36,MATCH(U35,$T$11:$T$36,0)),"")</f>
        <v/>
      </c>
      <c r="X35" s="53">
        <f>IFERROR(INDEX($S$11:$S$36,MATCH(U35,$T$11:$T$36,0)),"")</f>
        <v/>
      </c>
      <c r="Y35" s="53">
        <f>IF(W35="","",$D$45)</f>
        <v/>
      </c>
    </row>
    <row r="36">
      <c r="S36" s="53">
        <f>IF($J36="","",IF(COUNT($O36,$P36,$Q36)=3,$R36,$J36))</f>
        <v/>
      </c>
      <c r="T36" s="55">
        <f>IF(J36="","",RANK(J36,$J$11:$J$36,0)+COUNTIF($J$11:J36,J36)-1)</f>
        <v/>
      </c>
      <c r="U36" s="56" t="n">
        <v>26</v>
      </c>
      <c r="V36" s="57">
        <f>IFERROR(INDEX($B$11:$B$36,MATCH(U36,$T$11:$T$36,0)),"")</f>
        <v/>
      </c>
      <c r="W36" s="53">
        <f>IFERROR(INDEX($J$11:$J$36,MATCH(U36,$T$11:$T$36,0)),"")</f>
        <v/>
      </c>
      <c r="X36" s="53">
        <f>IFERROR(INDEX($S$11:$S$36,MATCH(U36,$T$11:$T$36,0)),"")</f>
        <v/>
      </c>
      <c r="Y36" s="53">
        <f>IF(W36="","",$D$45)</f>
        <v/>
      </c>
    </row>
    <row r="37" ht="19.5" customHeight="1" s="25">
      <c r="A37" s="33" t="inlineStr">
        <is>
          <t>SUMMARY</t>
        </is>
      </c>
    </row>
    <row r="38" ht="15" customHeight="1" s="25">
      <c r="A38" s="42" t="inlineStr">
        <is>
          <t>Failure modes logged</t>
        </is>
      </c>
      <c r="D38" s="43">
        <f>COUNTA(A11:A35)</f>
        <v/>
      </c>
    </row>
    <row r="39" ht="15" customHeight="1" s="25">
      <c r="A39" s="42" t="inlineStr">
        <is>
          <t>Highest RPN</t>
        </is>
      </c>
      <c r="D39" s="43">
        <f>IFERROR(MAX(J11:J35),0)</f>
        <v/>
      </c>
    </row>
    <row r="40" ht="15" customHeight="1" s="25">
      <c r="A40" s="42" t="inlineStr">
        <is>
          <t>Above the action threshold (act now)</t>
        </is>
      </c>
      <c r="D40" s="43">
        <f>COUNTIF(J11:J35,"&gt;="&amp;$D$45)</f>
        <v/>
      </c>
    </row>
    <row r="41" ht="15" customHeight="1" s="25">
      <c r="A41" s="42" t="inlineStr">
        <is>
          <t>Severity 9 or 10 (act regardless of RPN)</t>
        </is>
      </c>
      <c r="D41" s="43">
        <f>COUNTIF(D11:D35,"&gt;=9")</f>
        <v/>
      </c>
    </row>
    <row r="42" ht="15" customHeight="1" s="25">
      <c r="A42" s="42" t="inlineStr">
        <is>
          <t>Average RPN before</t>
        </is>
      </c>
      <c r="D42" s="43">
        <f>IFERROR(AVERAGE(J11:J35),0)</f>
        <v/>
      </c>
    </row>
    <row r="43" ht="15" customHeight="1" s="25">
      <c r="A43" s="42" t="inlineStr">
        <is>
          <t>Average RPN after</t>
        </is>
      </c>
      <c r="D43" s="43">
        <f>IFERROR(AVERAGE(R11:R35),0)</f>
        <v/>
      </c>
    </row>
    <row r="44" ht="15" customHeight="1" s="25">
      <c r="A44" s="42" t="inlineStr">
        <is>
          <t>Risk reduction (on remediated rows)</t>
        </is>
      </c>
      <c r="D44" s="44">
        <f>IFERROR(1-AVERAGE(R11:R35)/AVERAGEIF(R11:R35,"&gt;0",J11:J35),"")</f>
        <v/>
      </c>
    </row>
    <row r="45">
      <c r="A45" s="52" t="inlineStr">
        <is>
          <t>Act above this RPN</t>
        </is>
      </c>
      <c r="D45" s="58" t="n">
        <v>200</v>
      </c>
      <c r="E45" s="54" t="inlineStr">
        <is>
          <t>The conventional line is 100-200. Whatever you set here drives the chart line and the count above.</t>
        </is>
      </c>
    </row>
    <row r="46" ht="39" customHeight="1" s="25">
      <c r="A46" s="45" t="inlineStr">
        <is>
          <t>KEY INSIGHT FOR SUPPORT: detection is usually terrible (8–10). Most support failures are only detected if the customer complains a second time. Score every step whose only detection mechanism is "the customer contacts us again" as 9 or 10 — that scoring alone reprioritises most support FMEAs.</t>
        </is>
      </c>
    </row>
  </sheetData>
  <mergeCells count="16">
    <mergeCell ref="A42:C42"/>
    <mergeCell ref="A41:C41"/>
    <mergeCell ref="B7:F7"/>
    <mergeCell ref="A44:C44"/>
    <mergeCell ref="B6:F6"/>
    <mergeCell ref="A2:R2"/>
    <mergeCell ref="B5:F5"/>
    <mergeCell ref="A40:C40"/>
    <mergeCell ref="A46:R46"/>
    <mergeCell ref="A1:R1"/>
    <mergeCell ref="A4:F4"/>
    <mergeCell ref="A9:R9"/>
    <mergeCell ref="A37:R37"/>
    <mergeCell ref="A39:C39"/>
    <mergeCell ref="A43:C43"/>
    <mergeCell ref="A38:C38"/>
  </mergeCells>
  <conditionalFormatting sqref="J11:J35">
    <cfRule type="cellIs" rank="0" priority="2" equalAverage="0" operator="greaterThanOrEqual" aboveAverage="0" dxfId="0" text="" percent="0" bottom="0">
      <formula>200</formula>
    </cfRule>
    <cfRule type="cellIs" rank="0" priority="3" equalAverage="0" operator="between" aboveAverage="0" dxfId="1" text="" percent="0" bottom="0">
      <formula>100</formula>
      <formula>199</formula>
    </cfRule>
  </conditionalFormatting>
  <conditionalFormatting sqref="D11:D35">
    <cfRule type="cellIs" rank="0" priority="4" equalAverage="0" operator="greaterThanOrEqual" aboveAverage="0" dxfId="0" text="" percent="0" bottom="0">
      <formula>9</formula>
    </cfRule>
  </conditionalFormatting>
  <dataValidations count="1">
    <dataValidation sqref="D11:D35 F11:F35 I11:I35 O11:Q35" showDropDown="0" showInputMessage="0" showErrorMessage="0" allowBlank="1" errorTitle="Score 1–10" error="Severity, occurrence and detection are each scored 1 to 10. See the scoring guide sheet." type="whole" errorStyle="stop" operator="between">
      <formula1>1</formula1>
      <formula2>10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5" topLeftCell="A6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90" customWidth="1" style="24" min="2" max="2"/>
    <col width="4" customWidth="1" style="24" min="3" max="6"/>
  </cols>
  <sheetData>
    <row r="1" ht="25.5" customHeight="1" s="25">
      <c r="A1" s="31" t="inlineStr">
        <is>
          <t>How to score severity, occurrence and detection</t>
        </is>
      </c>
    </row>
    <row r="2" ht="27.75" customHeight="1" s="25">
      <c r="A2" s="32" t="inlineStr">
        <is>
          <t>Use these anchors so two people scoring the same failure mode land in the same place.</t>
        </is>
      </c>
    </row>
    <row r="4" ht="19.5" customHeight="1" s="25">
      <c r="A4" s="33" t="inlineStr">
        <is>
          <t>SEVERITY — how badly does this hurt the customer?</t>
        </is>
      </c>
    </row>
    <row r="5" ht="31.5" customHeight="1" s="25">
      <c r="A5" s="38" t="inlineStr">
        <is>
          <t>Score</t>
        </is>
      </c>
      <c r="B5" s="38" t="inlineStr">
        <is>
          <t>What it means</t>
        </is>
      </c>
      <c r="C5" s="38" t="n"/>
      <c r="D5" s="38" t="n"/>
      <c r="E5" s="38" t="n"/>
      <c r="F5" s="38" t="n"/>
    </row>
    <row r="6" ht="15" customHeight="1" s="25">
      <c r="A6" s="46" t="inlineStr">
        <is>
          <t>1–2</t>
        </is>
      </c>
      <c r="B6" s="47" t="inlineStr">
        <is>
          <t>The customer does not notice.</t>
        </is>
      </c>
      <c r="C6" s="48" t="n"/>
      <c r="D6" s="48" t="n"/>
      <c r="E6" s="48" t="n"/>
      <c r="F6" s="49" t="n"/>
    </row>
    <row r="7" ht="15" customHeight="1" s="25">
      <c r="A7" s="46" t="inlineStr">
        <is>
          <t>3–4</t>
        </is>
      </c>
      <c r="B7" s="47" t="inlineStr">
        <is>
          <t>Minor annoyance. No extra effort for the customer.</t>
        </is>
      </c>
      <c r="C7" s="48" t="n"/>
      <c r="D7" s="48" t="n"/>
      <c r="E7" s="48" t="n"/>
      <c r="F7" s="49" t="n"/>
    </row>
    <row r="8" ht="15" customHeight="1" s="25">
      <c r="A8" s="46" t="inlineStr">
        <is>
          <t>5–6</t>
        </is>
      </c>
      <c r="B8" s="47" t="inlineStr">
        <is>
          <t>The customer has to follow up, or wait noticeably longer.</t>
        </is>
      </c>
      <c r="C8" s="48" t="n"/>
      <c r="D8" s="48" t="n"/>
      <c r="E8" s="48" t="n"/>
      <c r="F8" s="49" t="n"/>
    </row>
    <row r="9" ht="15" customHeight="1" s="25">
      <c r="A9" s="46" t="inlineStr">
        <is>
          <t>7–8</t>
        </is>
      </c>
      <c r="B9" s="47" t="inlineStr">
        <is>
          <t>The customer escalates, complains, or becomes a churn risk.</t>
        </is>
      </c>
      <c r="C9" s="48" t="n"/>
      <c r="D9" s="48" t="n"/>
      <c r="E9" s="48" t="n"/>
      <c r="F9" s="49" t="n"/>
    </row>
    <row r="10" ht="15" customHeight="1" s="25">
      <c r="A10" s="46" t="inlineStr">
        <is>
          <t>9–10</t>
        </is>
      </c>
      <c r="B10" s="47" t="inlineStr">
        <is>
          <t>Regulatory breach, safety issue, data exposure, or mass impact.</t>
        </is>
      </c>
      <c r="C10" s="48" t="n"/>
      <c r="D10" s="48" t="n"/>
      <c r="E10" s="48" t="n"/>
      <c r="F10" s="49" t="n"/>
    </row>
    <row r="12" ht="19.5" customHeight="1" s="25">
      <c r="A12" s="33" t="inlineStr">
        <is>
          <t>OCCURRENCE — how often does it happen?</t>
        </is>
      </c>
    </row>
    <row r="13" ht="31.5" customHeight="1" s="25">
      <c r="A13" s="38" t="inlineStr">
        <is>
          <t>Score</t>
        </is>
      </c>
      <c r="B13" s="38" t="inlineStr">
        <is>
          <t>What it means</t>
        </is>
      </c>
      <c r="C13" s="38" t="n"/>
      <c r="D13" s="38" t="n"/>
      <c r="E13" s="38" t="n"/>
      <c r="F13" s="38" t="n"/>
    </row>
    <row r="14" ht="15" customHeight="1" s="25">
      <c r="A14" s="46" t="inlineStr">
        <is>
          <t>1–2</t>
        </is>
      </c>
      <c r="B14" s="47" t="inlineStr">
        <is>
          <t>Once a year or less.</t>
        </is>
      </c>
      <c r="C14" s="48" t="n"/>
      <c r="D14" s="48" t="n"/>
      <c r="E14" s="48" t="n"/>
      <c r="F14" s="49" t="n"/>
    </row>
    <row r="15" ht="15" customHeight="1" s="25">
      <c r="A15" s="46" t="inlineStr">
        <is>
          <t>3–4</t>
        </is>
      </c>
      <c r="B15" s="47" t="inlineStr">
        <is>
          <t>About monthly.</t>
        </is>
      </c>
      <c r="C15" s="48" t="n"/>
      <c r="D15" s="48" t="n"/>
      <c r="E15" s="48" t="n"/>
      <c r="F15" s="49" t="n"/>
    </row>
    <row r="16" ht="15" customHeight="1" s="25">
      <c r="A16" s="46" t="inlineStr">
        <is>
          <t>5–6</t>
        </is>
      </c>
      <c r="B16" s="47" t="inlineStr">
        <is>
          <t>About weekly.</t>
        </is>
      </c>
      <c r="C16" s="48" t="n"/>
      <c r="D16" s="48" t="n"/>
      <c r="E16" s="48" t="n"/>
      <c r="F16" s="49" t="n"/>
    </row>
    <row r="17" ht="15" customHeight="1" s="25">
      <c r="A17" s="46" t="inlineStr">
        <is>
          <t>7–8</t>
        </is>
      </c>
      <c r="B17" s="47" t="inlineStr">
        <is>
          <t>Daily.</t>
        </is>
      </c>
      <c r="C17" s="48" t="n"/>
      <c r="D17" s="48" t="n"/>
      <c r="E17" s="48" t="n"/>
      <c r="F17" s="49" t="n"/>
    </row>
    <row r="18" ht="15" customHeight="1" s="25">
      <c r="A18" s="46" t="inlineStr">
        <is>
          <t>9–10</t>
        </is>
      </c>
      <c r="B18" s="47" t="inlineStr">
        <is>
          <t>On most contacts of this type.</t>
        </is>
      </c>
      <c r="C18" s="48" t="n"/>
      <c r="D18" s="48" t="n"/>
      <c r="E18" s="48" t="n"/>
      <c r="F18" s="49" t="n"/>
    </row>
    <row r="20" ht="19.5" customHeight="1" s="25">
      <c r="A20" s="33" t="inlineStr">
        <is>
          <t>DETECTION — would we catch it before the customer does?  (10 = we would not)</t>
        </is>
      </c>
    </row>
    <row r="21" ht="31.5" customHeight="1" s="25">
      <c r="A21" s="38" t="inlineStr">
        <is>
          <t>Score</t>
        </is>
      </c>
      <c r="B21" s="38" t="inlineStr">
        <is>
          <t>What it means</t>
        </is>
      </c>
      <c r="C21" s="38" t="n"/>
      <c r="D21" s="38" t="n"/>
      <c r="E21" s="38" t="n"/>
      <c r="F21" s="38" t="n"/>
    </row>
    <row r="22" ht="15" customHeight="1" s="25">
      <c r="A22" s="46" t="inlineStr">
        <is>
          <t>1–2</t>
        </is>
      </c>
      <c r="B22" s="47" t="inlineStr">
        <is>
          <t>An automated control blocks it from happening at all.</t>
        </is>
      </c>
      <c r="C22" s="48" t="n"/>
      <c r="D22" s="48" t="n"/>
      <c r="E22" s="48" t="n"/>
      <c r="F22" s="49" t="n"/>
    </row>
    <row r="23" ht="15" customHeight="1" s="25">
      <c r="A23" s="46" t="inlineStr">
        <is>
          <t>3–4</t>
        </is>
      </c>
      <c r="B23" s="47" t="inlineStr">
        <is>
          <t>The system flags it the moment it occurs.</t>
        </is>
      </c>
      <c r="C23" s="48" t="n"/>
      <c r="D23" s="48" t="n"/>
      <c r="E23" s="48" t="n"/>
      <c r="F23" s="49" t="n"/>
    </row>
    <row r="24" ht="15" customHeight="1" s="25">
      <c r="A24" s="46" t="inlineStr">
        <is>
          <t>5–6</t>
        </is>
      </c>
      <c r="B24" s="47" t="inlineStr">
        <is>
          <t>QA sampling would catch it eventually.</t>
        </is>
      </c>
      <c r="C24" s="48" t="n"/>
      <c r="D24" s="48" t="n"/>
      <c r="E24" s="48" t="n"/>
      <c r="F24" s="49" t="n"/>
    </row>
    <row r="25" ht="15" customHeight="1" s="25">
      <c r="A25" s="46" t="inlineStr">
        <is>
          <t>7–8</t>
        </is>
      </c>
      <c r="B25" s="47" t="inlineStr">
        <is>
          <t>A supervisor might spot it.</t>
        </is>
      </c>
      <c r="C25" s="48" t="n"/>
      <c r="D25" s="48" t="n"/>
      <c r="E25" s="48" t="n"/>
      <c r="F25" s="49" t="n"/>
    </row>
    <row r="26" ht="15" customHeight="1" s="25">
      <c r="A26" s="46" t="inlineStr">
        <is>
          <t>9–10</t>
        </is>
      </c>
      <c r="B26" s="47" t="inlineStr">
        <is>
          <t>Only detected if the customer contacts us again. ← most support failures live here.</t>
        </is>
      </c>
      <c r="C26" s="48" t="n"/>
      <c r="D26" s="48" t="n"/>
      <c r="E26" s="48" t="n"/>
      <c r="F26" s="49" t="n"/>
    </row>
  </sheetData>
  <mergeCells count="20">
    <mergeCell ref="B7:F7"/>
    <mergeCell ref="B16:F16"/>
    <mergeCell ref="B25:F25"/>
    <mergeCell ref="A12:F12"/>
    <mergeCell ref="B22:F22"/>
    <mergeCell ref="B18:F18"/>
    <mergeCell ref="A2:F2"/>
    <mergeCell ref="B23:F23"/>
    <mergeCell ref="A4:F4"/>
    <mergeCell ref="B14:F14"/>
    <mergeCell ref="A20:F20"/>
    <mergeCell ref="B8:F8"/>
    <mergeCell ref="B17:F17"/>
    <mergeCell ref="B10:F10"/>
    <mergeCell ref="B9:F9"/>
    <mergeCell ref="B6:F6"/>
    <mergeCell ref="B24:F24"/>
    <mergeCell ref="B15:F15"/>
    <mergeCell ref="A1:F1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2026-08-01T04:22:59Z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1c5cd0e397e7</vt:lpwstr>
  </property>
</Properties>
</file>