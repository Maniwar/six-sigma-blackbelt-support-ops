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 this" sheetId="1" state="visible" r:id="rId1"/>
    <sheet name="Swimlane map" sheetId="2" state="visible" r:id="rId2"/>
    <sheet name="Step log" sheetId="3" state="visible" r:id="rId3"/>
  </sheets>
  <definedNames>
    <definedName name="_xlnm._FilterDatabase" localSheetId="2" hidden="1">'Step log'!$A$5:$H$29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FFFFFFFF"/>
      <sz val="15"/>
    </font>
    <font>
      <i val="1"/>
      <color rgb="FF6B7280"/>
      <sz val="9"/>
    </font>
    <font>
      <b val="1"/>
      <sz val="11"/>
    </font>
    <font>
      <b val="1"/>
      <color rgb="FF6B7280"/>
      <sz val="9"/>
    </font>
    <font>
      <sz val="9"/>
    </font>
    <font>
      <b val="1"/>
      <color rgb="FFFFFFFF"/>
      <sz val="10"/>
    </font>
    <font>
      <color rgb="FF1D4ED8"/>
      <sz val="11"/>
    </font>
    <font>
      <sz val="11"/>
    </font>
    <font>
      <i val="1"/>
      <color rgb="FF4B5563"/>
      <sz val="9"/>
    </font>
  </fonts>
  <fills count="8">
    <fill>
      <patternFill/>
    </fill>
    <fill>
      <patternFill patternType="gray125"/>
    </fill>
    <fill>
      <patternFill patternType="solid">
        <fgColor rgb="FF151B24"/>
      </patternFill>
    </fill>
    <fill>
      <patternFill patternType="solid">
        <fgColor rgb="FFEEF1F6"/>
      </patternFill>
    </fill>
    <fill>
      <patternFill patternType="solid">
        <fgColor rgb="FFECFAEF"/>
      </patternFill>
    </fill>
    <fill>
      <patternFill patternType="solid">
        <fgColor rgb="FF333C49"/>
      </patternFill>
    </fill>
    <fill>
      <patternFill patternType="solid">
        <fgColor rgb="FFF2F7FF"/>
      </patternFill>
    </fill>
    <fill>
      <patternFill patternType="solid">
        <fgColor rgb="FFFFF9E3"/>
      </patternFill>
    </fill>
  </fills>
  <borders count="3">
    <border>
      <left/>
      <right/>
      <top/>
      <bottom/>
      <diagonal/>
    </border>
    <border>
      <left style="thin">
        <color rgb="FFD8DEE7"/>
      </left>
      <right style="thin">
        <color rgb="FFD8DEE7"/>
      </right>
      <top style="thin">
        <color rgb="FFD8DEE7"/>
      </top>
      <bottom style="thin">
        <color rgb="FFD8DEE7"/>
      </bottom>
    </border>
    <border>
      <bottom style="thin">
        <color rgb="FFD8DE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3" fillId="3" borderId="0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0" fillId="4" borderId="2" pivotButton="0" quotePrefix="0" xfId="0"/>
    <xf numFmtId="0" fontId="7" fillId="6" borderId="2" pivotButton="0" quotePrefix="0" xfId="0"/>
    <xf numFmtId="0" fontId="0" fillId="7" borderId="2" pivotButton="0" quotePrefix="0" xfId="0"/>
    <xf numFmtId="0" fontId="9" fillId="0" borderId="0" applyAlignment="1" pivotButton="0" quotePrefix="0" xfId="0">
      <alignment vertical="top" wrapText="1"/>
    </xf>
    <xf numFmtId="164" fontId="7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Where the customer's time goes — minutes by step</a:t>
            </a:r>
          </a:p>
        </rich>
      </tx>
    </title>
    <plotArea>
      <barChart>
        <barDir val="col"/>
        <grouping val="clustered"/>
        <ser>
          <idx val="0"/>
          <order val="0"/>
          <tx>
            <v>Minutes at this step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'Step log'!$A$6:$A$29</f>
            </numRef>
          </cat>
          <val>
            <numRef>
              <f>'Step log'!$E$6:$E$29</f>
            </numRef>
          </val>
        </ser>
        <gapWidth val="60"/>
        <axId val="10"/>
        <axId val="100"/>
      </barChart>
      <lineChart>
        <grouping val="standard"/>
        <ser>
          <idx val="1"/>
          <order val="1"/>
          <tx>
            <v>Mean — anything above this line is where the time actually goes</v>
          </tx>
          <spPr>
            <a:ln w="18000">
              <a:solidFill>
                <a:srgbClr val="C0392B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'Step log'!$I$6:$I$29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8" customWidth="1" min="2" max="2"/>
  </cols>
  <sheetData>
    <row r="1"/>
    <row r="2">
      <c r="B2" s="1" t="inlineStr">
        <is>
          <t>Yellow cells</t>
        </is>
      </c>
    </row>
    <row r="3" ht="15" customHeight="1">
      <c r="B3" s="2" t="inlineStr">
        <is>
          <t>You fill these in.</t>
        </is>
      </c>
    </row>
    <row r="4">
      <c r="B4" s="1" t="inlineStr">
        <is>
          <t>Blue cells</t>
        </is>
      </c>
    </row>
    <row r="5" ht="15" customHeight="1">
      <c r="B5" s="2" t="inlineStr">
        <is>
          <t>Calculated for you. Do not type over them — they contain formulas.</t>
        </is>
      </c>
    </row>
    <row r="6">
      <c r="B6" s="1" t="inlineStr">
        <is>
          <t>Green cells</t>
        </is>
      </c>
    </row>
    <row r="7" ht="30" customHeight="1">
      <c r="B7" s="2" t="inlineStr">
        <is>
          <t>A worked example, so you can see the expected format and the charts say something the moment you open the file. Replace it with your own data when you start.</t>
        </is>
      </c>
    </row>
    <row r="8">
      <c r="B8" s="1" t="inlineStr">
        <is>
          <t>What this is for</t>
        </is>
      </c>
    </row>
    <row r="9" ht="30" customHeight="1">
      <c r="B9" s="2" t="inlineStr">
        <is>
          <t>Seeing the process as it runs, including the parts that appear in no system. Do it at the gemba, sitting with an agent, not in a conference room with the process owner.</t>
        </is>
      </c>
    </row>
    <row r="10">
      <c r="B10" s="1" t="inlineStr">
        <is>
          <t>Swimlane map tab</t>
        </is>
      </c>
    </row>
    <row r="11" ht="45" customHeight="1">
      <c r="B11" s="2" t="inlineStr">
        <is>
          <t>One lane per actor and one column per step in time order. Number the steps and keep the numbering contiguous. A handoff is any two consecutive numbers in different lanes — you do not have to draw the arrows, because the numbering already shows them and the Step log counts them.</t>
        </is>
      </c>
    </row>
    <row r="12">
      <c r="B12" s="1" t="inlineStr">
        <is>
          <t>Step log tab</t>
        </is>
      </c>
    </row>
    <row r="13" ht="60" customHeight="1">
      <c r="B13" s="2" t="inlineStr">
        <is>
          <t>One row per box, in the same order. The Handoff column is calculated: it flags every lane change. The summary underneath gives you handoffs, decision points, rework loops and process cycle efficiency — which is the number that makes the case, because it is almost always under 10% and nobody believes it until they see their own map.</t>
        </is>
      </c>
    </row>
    <row r="14">
      <c r="B14" s="1" t="inlineStr">
        <is>
          <t>The trap</t>
        </is>
      </c>
    </row>
    <row r="15" ht="45" customHeight="1">
      <c r="B15" s="2" t="inlineStr">
        <is>
          <t>If your map matches the documented SOP, you mapped the SOP. Go back. The informal escalation path — asking a senior agent off-system — is invisible in every log, is often 10–20% of resolutions, and will not come up unless you ask about it directly.</t>
        </is>
      </c>
    </row>
    <row r="16">
      <c r="B16" s="1" t="inlineStr">
        <is>
          <t>Where the numbers go next</t>
        </is>
      </c>
    </row>
    <row r="17" ht="60" customHeight="1">
      <c r="B17" s="2" t="inlineStr">
        <is>
          <t>Handoff count and the waiting states feed 10-value-stream-map.xlsx. Every re-keyed field is a failure mode for 12-fmea.xlsx with a detection score that is usually terrible. The system hops you counted here are the input to 32-system-hop.xlsx, and any integration you propose gets scored in 15-solution-selection-matrix.xlsx.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printOptions horizontalCentered="1"/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 ht="26" customHeight="1">
      <c r="A1" s="3" t="inlineStr">
        <is>
          <t>Swimlane process map — one lane per actor, and every handoff visible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</row>
    <row r="2">
      <c r="A2" s="5" t="inlineStr">
        <is>
          <t>Map what happens, not what the SOP says. If the map matches the SOP exactly, you mapped the SOP — go back to the gemba.</t>
        </is>
      </c>
    </row>
    <row r="3"/>
    <row r="4">
      <c r="A4" s="6" t="inlineStr">
        <is>
          <t>THE MAP — number the steps in order; a handoff is any two consecutive numbers sitting in different lanes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 ht="20" customHeight="1">
      <c r="A5" s="8" t="inlineStr">
        <is>
          <t>Lane \ time →</t>
        </is>
      </c>
      <c r="B5" s="9" t="n">
        <v>1</v>
      </c>
      <c r="C5" s="9" t="n">
        <v>2</v>
      </c>
      <c r="D5" s="9" t="n">
        <v>3</v>
      </c>
      <c r="E5" s="9" t="n">
        <v>4</v>
      </c>
      <c r="F5" s="9" t="n">
        <v>5</v>
      </c>
      <c r="G5" s="9" t="n">
        <v>6</v>
      </c>
      <c r="H5" s="9" t="n">
        <v>7</v>
      </c>
      <c r="I5" s="9" t="n">
        <v>8</v>
      </c>
      <c r="J5" s="9" t="n">
        <v>9</v>
      </c>
      <c r="K5" s="9" t="n">
        <v>10</v>
      </c>
      <c r="L5" s="9" t="n">
        <v>11</v>
      </c>
      <c r="M5" s="9" t="n">
        <v>12</v>
      </c>
    </row>
    <row r="6" ht="40" customHeight="1">
      <c r="A6" s="10" t="inlineStr">
        <is>
          <t>Customer</t>
        </is>
      </c>
      <c r="B6" s="11" t="inlineStr">
        <is>
          <t>1. Raises billing query</t>
        </is>
      </c>
      <c r="C6" s="12" t="n"/>
      <c r="D6" s="11" t="inlineStr">
        <is>
          <t>3. ⏱ Waits in queue 6 min</t>
        </is>
      </c>
      <c r="E6" s="12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12. Confirmation email</t>
        </is>
      </c>
    </row>
    <row r="7" ht="40" customHeight="1">
      <c r="A7" s="10" t="inlineStr">
        <is>
          <t>Bot / IVR</t>
        </is>
      </c>
      <c r="B7" s="12" t="n"/>
      <c r="C7" s="11" t="inlineStr">
        <is>
          <t>2. ◆ Deflection attempt</t>
        </is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40" customHeight="1">
      <c r="A8" s="10" t="inlineStr">
        <is>
          <t>Tier 1</t>
        </is>
      </c>
      <c r="B8" s="12" t="n"/>
      <c r="C8" s="12" t="n"/>
      <c r="D8" s="12" t="n"/>
      <c r="E8" s="11" t="inlineStr">
        <is>
          <t>4. Reads account, re-keys ID</t>
        </is>
      </c>
      <c r="F8" s="11" t="inlineStr">
        <is>
          <t>5. ◆ Adjustment over £50?</t>
        </is>
      </c>
      <c r="G8" s="12" t="n"/>
      <c r="H8" s="11" t="inlineStr">
        <is>
          <t>7. ↺ Asks a senior on Slack</t>
        </is>
      </c>
      <c r="I8" s="12" t="n"/>
      <c r="J8" s="12" t="n"/>
      <c r="K8" s="12" t="n"/>
      <c r="L8" s="12" t="n"/>
      <c r="M8" s="12" t="n"/>
    </row>
    <row r="9" ht="40" customHeight="1">
      <c r="A9" s="10" t="inlineStr">
        <is>
          <t>Tier 2</t>
        </is>
      </c>
      <c r="B9" s="12" t="n"/>
      <c r="C9" s="12" t="n"/>
      <c r="D9" s="12" t="n"/>
      <c r="E9" s="12" t="n"/>
      <c r="F9" s="12" t="n"/>
      <c r="G9" s="12" t="n"/>
      <c r="H9" s="12" t="n"/>
      <c r="I9" s="11" t="inlineStr">
        <is>
          <t>8. Recalculates the charge</t>
        </is>
      </c>
      <c r="J9" s="12" t="n"/>
      <c r="K9" s="11" t="inlineStr">
        <is>
          <t>10. ⏱ Waits for approver 4 h</t>
        </is>
      </c>
      <c r="L9" s="12" t="n"/>
      <c r="M9" s="12" t="n"/>
    </row>
    <row r="10" ht="40" customHeight="1">
      <c r="A10" s="10" t="inlineStr">
        <is>
          <t>Engineering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40" customHeight="1">
      <c r="A11" s="10" t="inlineStr">
        <is>
          <t>Approver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1" t="inlineStr">
        <is>
          <t>9. ◆ Approval requested</t>
        </is>
      </c>
      <c r="K11" s="12" t="n"/>
      <c r="L11" s="12" t="n"/>
      <c r="M11" s="12" t="n"/>
    </row>
    <row r="12" ht="40" customHeight="1">
      <c r="A12" s="10" t="inlineStr">
        <is>
          <t>System</t>
        </is>
      </c>
      <c r="B12" s="12" t="n"/>
      <c r="C12" s="12" t="n"/>
      <c r="D12" s="12" t="n"/>
      <c r="E12" s="12" t="n"/>
      <c r="F12" s="12" t="n"/>
      <c r="G12" s="11" t="inlineStr">
        <is>
          <t>6. Billing platform lookup</t>
        </is>
      </c>
      <c r="H12" s="12" t="n"/>
      <c r="I12" s="12" t="n"/>
      <c r="J12" s="12" t="n"/>
      <c r="K12" s="12" t="n"/>
      <c r="L12" s="11" t="inlineStr">
        <is>
          <t>11. Credit posted</t>
        </is>
      </c>
      <c r="M12" s="12" t="n"/>
    </row>
    <row r="13"/>
    <row r="14" ht="75" customHeight="1">
      <c r="A14" s="13" t="inlineStr">
        <is>
          <t>Every box is green because every box is worked example — replace them. ◆ marks a decision, ⏱ a wait, ↺ a rework loop. Steps 6 and 7 are the two that matter here: the agent leaves the conversation to fetch a number the billing platform already holds, then asks a senior off-system — the informal escalation path that appears in no log and is often 10–20% of resolutions. Ask about it directly, because nobody volunteers it.</t>
        </is>
      </c>
    </row>
    <row r="15"/>
    <row r="16" ht="45" customHeight="1">
      <c r="A16" s="13" t="inlineStr">
        <is>
          <t>Replace every box with your own. Keep the numbering contiguous: the Step log counts a handoff wherever consecutive numbers change lane, so a gap in the numbers silently drops a handoff from the count.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5">
    <mergeCell ref="A14:M14"/>
    <mergeCell ref="A1:M1"/>
    <mergeCell ref="A4:M4"/>
    <mergeCell ref="A2:M2"/>
    <mergeCell ref="A16:M16"/>
  </mergeCells>
  <printOptions horizontalCentered="1"/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8" customWidth="1" min="3" max="3"/>
    <col width="14" customWidth="1" min="4" max="4"/>
    <col width="13" customWidth="1" min="5" max="5"/>
    <col width="20" customWidth="1" min="6" max="6"/>
    <col width="13" customWidth="1" min="7" max="7"/>
    <col width="46" customWidth="1" min="8" max="8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26" customHeight="1">
      <c r="A1" s="3" t="inlineStr">
        <is>
          <t>Step log — the counts that make the map an argument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5" t="inlineStr">
        <is>
          <t>A picture persuades nobody on its own. These are the numbers you take to the tollgate.</t>
        </is>
      </c>
    </row>
    <row r="3"/>
    <row r="4">
      <c r="A4" s="6" t="inlineStr">
        <is>
          <t>THE STEPS — one row per box on the map, in order</t>
        </is>
      </c>
      <c r="B4" s="7" t="n"/>
      <c r="C4" s="7" t="n"/>
      <c r="D4" s="7" t="n"/>
      <c r="E4" s="7" t="n"/>
      <c r="F4" s="7" t="n"/>
      <c r="G4" s="7" t="n"/>
      <c r="H4" s="7" t="n"/>
    </row>
    <row r="5" ht="30" customHeight="1">
      <c r="A5" s="14" t="inlineStr">
        <is>
          <t>#</t>
        </is>
      </c>
      <c r="B5" s="14" t="inlineStr">
        <is>
          <t>Step</t>
        </is>
      </c>
      <c r="C5" s="14" t="inlineStr">
        <is>
          <t>Lane</t>
        </is>
      </c>
      <c r="D5" s="14" t="inlineStr">
        <is>
          <t>Type</t>
        </is>
      </c>
      <c r="E5" s="14" t="inlineStr">
        <is>
          <t>Minutes</t>
        </is>
      </c>
      <c r="F5" s="14" t="inlineStr">
        <is>
          <t>System touched</t>
        </is>
      </c>
      <c r="G5" s="14" t="inlineStr">
        <is>
          <t>Handoff?</t>
        </is>
      </c>
      <c r="H5" s="14" t="inlineStr">
        <is>
          <t>What you saw that the SOP does not say</t>
        </is>
      </c>
      <c r="I5" s="5" t="inlineStr">
        <is>
          <t>Mean minutes per step</t>
        </is>
      </c>
    </row>
    <row r="6">
      <c r="A6" s="15" t="n">
        <v>1</v>
      </c>
      <c r="B6" s="15" t="inlineStr">
        <is>
          <t>Raises billing query</t>
        </is>
      </c>
      <c r="C6" s="15" t="inlineStr">
        <is>
          <t>Customer</t>
        </is>
      </c>
      <c r="D6" s="15" t="inlineStr">
        <is>
          <t>Step</t>
        </is>
      </c>
      <c r="E6" s="15" t="n">
        <v>0.5</v>
      </c>
      <c r="F6" s="15" t="inlineStr">
        <is>
          <t>Web chat</t>
        </is>
      </c>
      <c r="G6" s="16">
        <f>IF(C6="","","start")</f>
        <v/>
      </c>
      <c r="H6" s="15" t="inlineStr"/>
      <c r="I6" s="5">
        <f>IF(COUNT($E$6:$E$29)=0,"",AVERAGE($E$6:$E$29))</f>
        <v/>
      </c>
    </row>
    <row r="7">
      <c r="A7" s="15" t="n">
        <v>2</v>
      </c>
      <c r="B7" s="15" t="inlineStr">
        <is>
          <t>Deflection attempt</t>
        </is>
      </c>
      <c r="C7" s="15" t="inlineStr">
        <is>
          <t>Bot / IVR</t>
        </is>
      </c>
      <c r="D7" s="15" t="inlineStr">
        <is>
          <t>Decision</t>
        </is>
      </c>
      <c r="E7" s="15" t="n">
        <v>1</v>
      </c>
      <c r="F7" s="15" t="inlineStr">
        <is>
          <t>Bot</t>
        </is>
      </c>
      <c r="G7" s="16">
        <f>IF(OR(C7="",A7=""),"",IF(ROW()=6,"start",IF(C7&lt;&gt;C6,"HANDOFF","")))</f>
        <v/>
      </c>
      <c r="H7" s="15" t="inlineStr">
        <is>
          <t>Deflection is measured as a success even when it adds a minute.</t>
        </is>
      </c>
      <c r="I7" s="5">
        <f>IF(COUNT($E$6:$E$29)=0,"",AVERAGE($E$6:$E$29))</f>
        <v/>
      </c>
    </row>
    <row r="8">
      <c r="A8" s="15" t="n">
        <v>3</v>
      </c>
      <c r="B8" s="15" t="inlineStr">
        <is>
          <t>Waits in queue 6 min</t>
        </is>
      </c>
      <c r="C8" s="15" t="inlineStr">
        <is>
          <t>Customer</t>
        </is>
      </c>
      <c r="D8" s="15" t="inlineStr">
        <is>
          <t>Wait</t>
        </is>
      </c>
      <c r="E8" s="15" t="n">
        <v>6</v>
      </c>
      <c r="F8" s="15" t="inlineStr">
        <is>
          <t>Routing</t>
        </is>
      </c>
      <c r="G8" s="16">
        <f>IF(OR(C8="",A8=""),"",IF(ROW()=6,"start",IF(C8&lt;&gt;C7,"HANDOFF","")))</f>
        <v/>
      </c>
      <c r="H8" s="15" t="inlineStr">
        <is>
          <t>Wait is invisible in AHT and is most of the customer's experience.</t>
        </is>
      </c>
      <c r="I8" s="5">
        <f>IF(COUNT($E$6:$E$29)=0,"",AVERAGE($E$6:$E$29))</f>
        <v/>
      </c>
    </row>
    <row r="9">
      <c r="A9" s="15" t="n">
        <v>4</v>
      </c>
      <c r="B9" s="15" t="inlineStr">
        <is>
          <t>Reads account, re-keys ID</t>
        </is>
      </c>
      <c r="C9" s="15" t="inlineStr">
        <is>
          <t>Tier 1</t>
        </is>
      </c>
      <c r="D9" s="15" t="inlineStr">
        <is>
          <t>Step</t>
        </is>
      </c>
      <c r="E9" s="15" t="n">
        <v>2</v>
      </c>
      <c r="F9" s="15" t="inlineStr">
        <is>
          <t>CRM</t>
        </is>
      </c>
      <c r="G9" s="16">
        <f>IF(OR(C9="",A9=""),"",IF(ROW()=6,"start",IF(C9&lt;&gt;C8,"HANDOFF","")))</f>
        <v/>
      </c>
      <c r="H9" s="15" t="inlineStr">
        <is>
          <t>Re-keyed by hand; nothing validates it.</t>
        </is>
      </c>
      <c r="I9" s="5">
        <f>IF(COUNT($E$6:$E$29)=0,"",AVERAGE($E$6:$E$29))</f>
        <v/>
      </c>
    </row>
    <row r="10">
      <c r="A10" s="15" t="n">
        <v>5</v>
      </c>
      <c r="B10" s="15" t="inlineStr">
        <is>
          <t>Adjustment over £50?</t>
        </is>
      </c>
      <c r="C10" s="15" t="inlineStr">
        <is>
          <t>Tier 1</t>
        </is>
      </c>
      <c r="D10" s="15" t="inlineStr">
        <is>
          <t>Decision</t>
        </is>
      </c>
      <c r="E10" s="15" t="n">
        <v>0.5</v>
      </c>
      <c r="F10" s="15" t="inlineStr">
        <is>
          <t>CRM</t>
        </is>
      </c>
      <c r="G10" s="16">
        <f>IF(OR(C10="",A10=""),"",IF(ROW()=6,"start",IF(C10&lt;&gt;C9,"HANDOFF","")))</f>
        <v/>
      </c>
      <c r="H10" s="15" t="inlineStr"/>
      <c r="I10" s="5">
        <f>IF(COUNT($E$6:$E$29)=0,"",AVERAGE($E$6:$E$29))</f>
        <v/>
      </c>
    </row>
    <row r="11">
      <c r="A11" s="15" t="n">
        <v>6</v>
      </c>
      <c r="B11" s="15" t="inlineStr">
        <is>
          <t>Billing platform lookup</t>
        </is>
      </c>
      <c r="C11" s="15" t="inlineStr">
        <is>
          <t>System</t>
        </is>
      </c>
      <c r="D11" s="15" t="inlineStr">
        <is>
          <t>Step</t>
        </is>
      </c>
      <c r="E11" s="15" t="n">
        <v>3</v>
      </c>
      <c r="F11" s="15" t="inlineStr">
        <is>
          <t>Billing</t>
        </is>
      </c>
      <c r="G11" s="16">
        <f>IF(OR(C11="",A11=""),"",IF(ROW()=6,"start",IF(C11&lt;&gt;C10,"HANDOFF","")))</f>
        <v/>
      </c>
      <c r="H11" s="15" t="inlineStr">
        <is>
          <t>A number the CRM could have shown.</t>
        </is>
      </c>
      <c r="I11" s="5">
        <f>IF(COUNT($E$6:$E$29)=0,"",AVERAGE($E$6:$E$29))</f>
        <v/>
      </c>
    </row>
    <row r="12">
      <c r="A12" s="15" t="n">
        <v>7</v>
      </c>
      <c r="B12" s="15" t="inlineStr">
        <is>
          <t>Asks a senior on Slack</t>
        </is>
      </c>
      <c r="C12" s="15" t="inlineStr">
        <is>
          <t>Tier 1</t>
        </is>
      </c>
      <c r="D12" s="15" t="inlineStr">
        <is>
          <t>Rework</t>
        </is>
      </c>
      <c r="E12" s="15" t="n">
        <v>4</v>
      </c>
      <c r="F12" s="15" t="inlineStr">
        <is>
          <t>Slack</t>
        </is>
      </c>
      <c r="G12" s="16">
        <f>IF(OR(C12="",A12=""),"",IF(ROW()=6,"start",IF(C12&lt;&gt;C11,"HANDOFF","")))</f>
        <v/>
      </c>
      <c r="H12" s="15" t="inlineStr">
        <is>
          <t>Off-system. Appears in no report. This is the rework loop.</t>
        </is>
      </c>
      <c r="I12" s="5">
        <f>IF(COUNT($E$6:$E$29)=0,"",AVERAGE($E$6:$E$29))</f>
        <v/>
      </c>
    </row>
    <row r="13">
      <c r="A13" s="15" t="n">
        <v>8</v>
      </c>
      <c r="B13" s="15" t="inlineStr">
        <is>
          <t>Recalculates the charge</t>
        </is>
      </c>
      <c r="C13" s="15" t="inlineStr">
        <is>
          <t>Tier 2</t>
        </is>
      </c>
      <c r="D13" s="15" t="inlineStr">
        <is>
          <t>Step</t>
        </is>
      </c>
      <c r="E13" s="15" t="n">
        <v>5</v>
      </c>
      <c r="F13" s="15" t="inlineStr">
        <is>
          <t>Billing</t>
        </is>
      </c>
      <c r="G13" s="16">
        <f>IF(OR(C13="",A13=""),"",IF(ROW()=6,"start",IF(C13&lt;&gt;C12,"HANDOFF","")))</f>
        <v/>
      </c>
      <c r="H13" s="15" t="inlineStr"/>
      <c r="I13" s="5">
        <f>IF(COUNT($E$6:$E$29)=0,"",AVERAGE($E$6:$E$29))</f>
        <v/>
      </c>
    </row>
    <row r="14">
      <c r="A14" s="15" t="n">
        <v>9</v>
      </c>
      <c r="B14" s="15" t="inlineStr">
        <is>
          <t>Approval requested</t>
        </is>
      </c>
      <c r="C14" s="15" t="inlineStr">
        <is>
          <t>Approver</t>
        </is>
      </c>
      <c r="D14" s="15" t="inlineStr">
        <is>
          <t>Decision</t>
        </is>
      </c>
      <c r="E14" s="15" t="n">
        <v>1</v>
      </c>
      <c r="F14" s="15" t="inlineStr">
        <is>
          <t>Email</t>
        </is>
      </c>
      <c r="G14" s="16">
        <f>IF(OR(C14="",A14=""),"",IF(ROW()=6,"start",IF(C14&lt;&gt;C13,"HANDOFF","")))</f>
        <v/>
      </c>
      <c r="H14" s="15" t="inlineStr"/>
      <c r="I14" s="5">
        <f>IF(COUNT($E$6:$E$29)=0,"",AVERAGE($E$6:$E$29))</f>
        <v/>
      </c>
    </row>
    <row r="15">
      <c r="A15" s="15" t="n">
        <v>10</v>
      </c>
      <c r="B15" s="15" t="inlineStr">
        <is>
          <t>Waits for approver 4 h</t>
        </is>
      </c>
      <c r="C15" s="15" t="inlineStr">
        <is>
          <t>Tier 2</t>
        </is>
      </c>
      <c r="D15" s="15" t="inlineStr">
        <is>
          <t>Wait</t>
        </is>
      </c>
      <c r="E15" s="15" t="n">
        <v>240</v>
      </c>
      <c r="F15" s="15" t="inlineStr">
        <is>
          <t>Email</t>
        </is>
      </c>
      <c r="G15" s="16">
        <f>IF(OR(C15="",A15=""),"",IF(ROW()=6,"start",IF(C15&lt;&gt;C14,"HANDOFF","")))</f>
        <v/>
      </c>
      <c r="H15" s="15" t="inlineStr">
        <is>
          <t>Four hours of lead time against 19.5 minutes of touch time for the whole case. One approval is 90% of what the customer waits through.</t>
        </is>
      </c>
      <c r="I15" s="5">
        <f>IF(COUNT($E$6:$E$29)=0,"",AVERAGE($E$6:$E$29))</f>
        <v/>
      </c>
    </row>
    <row r="16">
      <c r="A16" s="15" t="n">
        <v>11</v>
      </c>
      <c r="B16" s="15" t="inlineStr">
        <is>
          <t>Credit posted</t>
        </is>
      </c>
      <c r="C16" s="15" t="inlineStr">
        <is>
          <t>System</t>
        </is>
      </c>
      <c r="D16" s="15" t="inlineStr">
        <is>
          <t>Step</t>
        </is>
      </c>
      <c r="E16" s="15" t="n">
        <v>2</v>
      </c>
      <c r="F16" s="15" t="inlineStr">
        <is>
          <t>Billing</t>
        </is>
      </c>
      <c r="G16" s="16">
        <f>IF(OR(C16="",A16=""),"",IF(ROW()=6,"start",IF(C16&lt;&gt;C15,"HANDOFF","")))</f>
        <v/>
      </c>
      <c r="H16" s="15" t="inlineStr"/>
      <c r="I16" s="5">
        <f>IF(COUNT($E$6:$E$29)=0,"",AVERAGE($E$6:$E$29))</f>
        <v/>
      </c>
    </row>
    <row r="17">
      <c r="A17" s="15" t="n">
        <v>12</v>
      </c>
      <c r="B17" s="15" t="inlineStr">
        <is>
          <t>Confirmation email</t>
        </is>
      </c>
      <c r="C17" s="15" t="inlineStr">
        <is>
          <t>Customer</t>
        </is>
      </c>
      <c r="D17" s="15" t="inlineStr">
        <is>
          <t>Step</t>
        </is>
      </c>
      <c r="E17" s="15" t="n">
        <v>0.5</v>
      </c>
      <c r="F17" s="15" t="inlineStr">
        <is>
          <t>Email</t>
        </is>
      </c>
      <c r="G17" s="16">
        <f>IF(OR(C17="",A17=""),"",IF(ROW()=6,"start",IF(C17&lt;&gt;C16,"HANDOFF","")))</f>
        <v/>
      </c>
      <c r="H17" s="15" t="inlineStr"/>
      <c r="I17" s="5">
        <f>IF(COUNT($E$6:$E$29)=0,"",AVERAGE($E$6:$E$29))</f>
        <v/>
      </c>
    </row>
    <row r="18">
      <c r="A18" s="17" t="n"/>
      <c r="B18" s="17" t="n"/>
      <c r="C18" s="17" t="n"/>
      <c r="D18" s="17" t="n"/>
      <c r="E18" s="17" t="n"/>
      <c r="F18" s="17" t="n"/>
      <c r="G18" s="16">
        <f>IF(OR(C18="",A18=""),"",IF(ROW()=6,"start",IF(C18&lt;&gt;C17,"HANDOFF","")))</f>
        <v/>
      </c>
      <c r="H18" s="17" t="n"/>
      <c r="I18" s="5">
        <f>IF(COUNT($E$6:$E$29)=0,"",AVERAGE($E$6:$E$29))</f>
        <v/>
      </c>
    </row>
    <row r="19">
      <c r="A19" s="17" t="n"/>
      <c r="B19" s="17" t="n"/>
      <c r="C19" s="17" t="n"/>
      <c r="D19" s="17" t="n"/>
      <c r="E19" s="17" t="n"/>
      <c r="F19" s="17" t="n"/>
      <c r="G19" s="16">
        <f>IF(OR(C19="",A19=""),"",IF(ROW()=6,"start",IF(C19&lt;&gt;C18,"HANDOFF","")))</f>
        <v/>
      </c>
      <c r="H19" s="17" t="n"/>
      <c r="I19" s="5">
        <f>IF(COUNT($E$6:$E$29)=0,"",AVERAGE($E$6:$E$29))</f>
        <v/>
      </c>
    </row>
    <row r="20">
      <c r="A20" s="17" t="n"/>
      <c r="B20" s="17" t="n"/>
      <c r="C20" s="17" t="n"/>
      <c r="D20" s="17" t="n"/>
      <c r="E20" s="17" t="n"/>
      <c r="F20" s="17" t="n"/>
      <c r="G20" s="16">
        <f>IF(OR(C20="",A20=""),"",IF(ROW()=6,"start",IF(C20&lt;&gt;C19,"HANDOFF","")))</f>
        <v/>
      </c>
      <c r="H20" s="17" t="n"/>
      <c r="I20" s="5">
        <f>IF(COUNT($E$6:$E$29)=0,"",AVERAGE($E$6:$E$29))</f>
        <v/>
      </c>
    </row>
    <row r="21">
      <c r="A21" s="17" t="n"/>
      <c r="B21" s="17" t="n"/>
      <c r="C21" s="17" t="n"/>
      <c r="D21" s="17" t="n"/>
      <c r="E21" s="17" t="n"/>
      <c r="F21" s="17" t="n"/>
      <c r="G21" s="16">
        <f>IF(OR(C21="",A21=""),"",IF(ROW()=6,"start",IF(C21&lt;&gt;C20,"HANDOFF","")))</f>
        <v/>
      </c>
      <c r="H21" s="17" t="n"/>
      <c r="I21" s="5">
        <f>IF(COUNT($E$6:$E$29)=0,"",AVERAGE($E$6:$E$29))</f>
        <v/>
      </c>
    </row>
    <row r="22" ht="99" customHeight="1">
      <c r="A22" s="17" t="n"/>
      <c r="B22" s="17" t="n"/>
      <c r="C22" s="17" t="n"/>
      <c r="D22" s="17" t="n"/>
      <c r="E22" s="17" t="n"/>
      <c r="F22" s="17" t="n"/>
      <c r="G22" s="16">
        <f>IF(OR(C22="",A22=""),"",IF(ROW()=6,"start",IF(C22&lt;&gt;C21,"HANDOFF","")))</f>
        <v/>
      </c>
      <c r="H22" s="17" t="n"/>
      <c r="I22" s="5">
        <f>IF(COUNT($E$6:$E$29)=0,"",AVERAGE($E$6:$E$29))</f>
        <v/>
      </c>
      <c r="K22" s="18" t="inlineStr">
        <is>
          <t>HOW TO READ IT.  One bar dwarfs the rest, and it is not anybody working. The approval wait is 240 of the 265 minutes this case takes — 90% of what the customer lives through — against 19.5 minutes of touch time across all twelve steps. That ratio is process cycle efficiency, and 7% is normal rather than shocking, which is exactly why it is worth showing people their own.
SO:  Attack the tallest bar, not the most annoying one. Here that means the approval step: ask what it is protecting against, what a reasonable auto-approve threshold would be, and who owns that decision. Shaving seconds off the agent's handling while a four-hour wait sits untouched is the most common way a support project produces no customer-visible change.</t>
        </is>
      </c>
    </row>
    <row r="23">
      <c r="A23" s="17" t="n"/>
      <c r="B23" s="17" t="n"/>
      <c r="C23" s="17" t="n"/>
      <c r="D23" s="17" t="n"/>
      <c r="E23" s="17" t="n"/>
      <c r="F23" s="17" t="n"/>
      <c r="G23" s="16">
        <f>IF(OR(C23="",A23=""),"",IF(ROW()=6,"start",IF(C23&lt;&gt;C22,"HANDOFF","")))</f>
        <v/>
      </c>
      <c r="H23" s="17" t="n"/>
      <c r="I23" s="5">
        <f>IF(COUNT($E$6:$E$29)=0,"",AVERAGE($E$6:$E$29))</f>
        <v/>
      </c>
    </row>
    <row r="24">
      <c r="A24" s="17" t="n"/>
      <c r="B24" s="17" t="n"/>
      <c r="C24" s="17" t="n"/>
      <c r="D24" s="17" t="n"/>
      <c r="E24" s="17" t="n"/>
      <c r="F24" s="17" t="n"/>
      <c r="G24" s="16">
        <f>IF(OR(C24="",A24=""),"",IF(ROW()=6,"start",IF(C24&lt;&gt;C23,"HANDOFF","")))</f>
        <v/>
      </c>
      <c r="H24" s="17" t="n"/>
      <c r="I24" s="5">
        <f>IF(COUNT($E$6:$E$29)=0,"",AVERAGE($E$6:$E$29))</f>
        <v/>
      </c>
    </row>
    <row r="25">
      <c r="A25" s="17" t="n"/>
      <c r="B25" s="17" t="n"/>
      <c r="C25" s="17" t="n"/>
      <c r="D25" s="17" t="n"/>
      <c r="E25" s="17" t="n"/>
      <c r="F25" s="17" t="n"/>
      <c r="G25" s="16">
        <f>IF(OR(C25="",A25=""),"",IF(ROW()=6,"start",IF(C25&lt;&gt;C24,"HANDOFF","")))</f>
        <v/>
      </c>
      <c r="H25" s="17" t="n"/>
      <c r="I25" s="5">
        <f>IF(COUNT($E$6:$E$29)=0,"",AVERAGE($E$6:$E$29))</f>
        <v/>
      </c>
    </row>
    <row r="26">
      <c r="A26" s="17" t="n"/>
      <c r="B26" s="17" t="n"/>
      <c r="C26" s="17" t="n"/>
      <c r="D26" s="17" t="n"/>
      <c r="E26" s="17" t="n"/>
      <c r="F26" s="17" t="n"/>
      <c r="G26" s="16">
        <f>IF(OR(C26="",A26=""),"",IF(ROW()=6,"start",IF(C26&lt;&gt;C25,"HANDOFF","")))</f>
        <v/>
      </c>
      <c r="H26" s="17" t="n"/>
      <c r="I26" s="5">
        <f>IF(COUNT($E$6:$E$29)=0,"",AVERAGE($E$6:$E$29))</f>
        <v/>
      </c>
    </row>
    <row r="27">
      <c r="A27" s="17" t="n"/>
      <c r="B27" s="17" t="n"/>
      <c r="C27" s="17" t="n"/>
      <c r="D27" s="17" t="n"/>
      <c r="E27" s="17" t="n"/>
      <c r="F27" s="17" t="n"/>
      <c r="G27" s="16">
        <f>IF(OR(C27="",A27=""),"",IF(ROW()=6,"start",IF(C27&lt;&gt;C26,"HANDOFF","")))</f>
        <v/>
      </c>
      <c r="H27" s="17" t="n"/>
      <c r="I27" s="5">
        <f>IF(COUNT($E$6:$E$29)=0,"",AVERAGE($E$6:$E$29))</f>
        <v/>
      </c>
    </row>
    <row r="28">
      <c r="A28" s="17" t="n"/>
      <c r="B28" s="17" t="n"/>
      <c r="C28" s="17" t="n"/>
      <c r="D28" s="17" t="n"/>
      <c r="E28" s="17" t="n"/>
      <c r="F28" s="17" t="n"/>
      <c r="G28" s="16">
        <f>IF(OR(C28="",A28=""),"",IF(ROW()=6,"start",IF(C28&lt;&gt;C27,"HANDOFF","")))</f>
        <v/>
      </c>
      <c r="H28" s="17" t="n"/>
      <c r="I28" s="5">
        <f>IF(COUNT($E$6:$E$29)=0,"",AVERAGE($E$6:$E$29))</f>
        <v/>
      </c>
    </row>
    <row r="29">
      <c r="A29" s="17" t="n"/>
      <c r="B29" s="17" t="n"/>
      <c r="C29" s="17" t="n"/>
      <c r="D29" s="17" t="n"/>
      <c r="E29" s="17" t="n"/>
      <c r="F29" s="17" t="n"/>
      <c r="G29" s="16">
        <f>IF(OR(C29="",A29=""),"",IF(ROW()=6,"start",IF(C29&lt;&gt;C28,"HANDOFF","")))</f>
        <v/>
      </c>
      <c r="H29" s="17" t="n"/>
      <c r="I29" s="5">
        <f>IF(COUNT($E$6:$E$29)=0,"",AVERAGE($E$6:$E$29))</f>
        <v/>
      </c>
    </row>
    <row r="30"/>
    <row r="31">
      <c r="A31" s="6" t="inlineStr">
        <is>
          <t>WHAT THE MAP IS TELLING YOU</t>
        </is>
      </c>
      <c r="B31" s="7" t="n"/>
      <c r="C31" s="7" t="n"/>
      <c r="D31" s="7" t="n"/>
      <c r="E31" s="7" t="n"/>
      <c r="F31" s="7" t="n"/>
      <c r="G31" s="7" t="n"/>
      <c r="H31" s="7" t="n"/>
    </row>
    <row r="32" ht="30" customHeight="1">
      <c r="A32" s="8" t="inlineStr">
        <is>
          <t>Handoffs</t>
        </is>
      </c>
      <c r="D32" s="16">
        <f>COUNTIF(G6:G29,"HANDOFF")</f>
        <v/>
      </c>
      <c r="E32" s="13" t="inlineStr">
        <is>
          <t>Every one is a place a defect can enter and a place the customer can wait. This is the number to reduce.</t>
        </is>
      </c>
    </row>
    <row r="33" ht="30" customHeight="1">
      <c r="A33" s="8" t="inlineStr">
        <is>
          <t>Decision points</t>
        </is>
      </c>
      <c r="D33" s="16">
        <f>COUNTIF(D6:D29,"Decision")</f>
        <v/>
      </c>
      <c r="E33" s="13" t="inlineStr">
        <is>
          <t>Each one is a rule someone applies from memory. Write down the rule the agent actually uses, not the documented one.</t>
        </is>
      </c>
    </row>
    <row r="34" ht="30" customHeight="1">
      <c r="A34" s="8" t="inlineStr">
        <is>
          <t>Rework loops</t>
        </is>
      </c>
      <c r="D34" s="16">
        <f>COUNTIF(D6:D29,"Rework")</f>
        <v/>
      </c>
      <c r="E34" s="13" t="inlineStr">
        <is>
          <t>Where your defects live. An informal loop that appears in no system is still a loop, and is usually the biggest one.</t>
        </is>
      </c>
    </row>
    <row r="35" ht="30" customHeight="1">
      <c r="A35" s="8" t="inlineStr">
        <is>
          <t>Lanes touched</t>
        </is>
      </c>
      <c r="D35" s="16">
        <f>SUMPRODUCT((COUNTIF(C6:C29,C6:C29)&gt;0)/(COUNTIF(C6:C29,C6:C29)+(C6:C29="")))</f>
        <v/>
      </c>
      <c r="E35" s="13" t="inlineStr">
        <is>
          <t>More lanes is more coordination cost, and coordination cost does not appear in anyone's handle time.</t>
        </is>
      </c>
    </row>
    <row r="36" ht="15" customHeight="1">
      <c r="A36" s="8" t="inlineStr">
        <is>
          <t>Touch time (min)</t>
        </is>
      </c>
      <c r="D36" s="16">
        <f>SUMIF(D6:D29,"&lt;&gt;Wait",E6:E29)</f>
        <v/>
      </c>
      <c r="E36" s="13" t="inlineStr">
        <is>
          <t>The work itself.</t>
        </is>
      </c>
    </row>
    <row r="37" ht="15" customHeight="1">
      <c r="A37" s="8" t="inlineStr">
        <is>
          <t>Lead time (min)</t>
        </is>
      </c>
      <c r="D37" s="16">
        <f>SUM(E6:E29)</f>
        <v/>
      </c>
      <c r="E37" s="13" t="inlineStr">
        <is>
          <t>What the customer lives through.</t>
        </is>
      </c>
    </row>
    <row r="38" ht="30" customHeight="1">
      <c r="A38" s="8" t="inlineStr">
        <is>
          <t>Process cycle efficiency</t>
        </is>
      </c>
      <c r="D38" s="19">
        <f>IF(D36=0,"",D36/D37)</f>
        <v/>
      </c>
      <c r="E38" s="13" t="inlineStr">
        <is>
          <t>Touch ÷ lead. Under 10% is normal and is the argument: almost none of the customer's wait is anybody working. Carry this into 10-value-stream-map.xlsx.</t>
        </is>
      </c>
    </row>
  </sheetData>
  <autoFilter ref="A5:H29"/>
  <mergeCells count="19">
    <mergeCell ref="A37:C37"/>
    <mergeCell ref="K22:S22"/>
    <mergeCell ref="A1:H1"/>
    <mergeCell ref="E32:H32"/>
    <mergeCell ref="E37:H37"/>
    <mergeCell ref="A33:C33"/>
    <mergeCell ref="A32:C32"/>
    <mergeCell ref="E33:H33"/>
    <mergeCell ref="A35:C35"/>
    <mergeCell ref="A38:C38"/>
    <mergeCell ref="A2:H2"/>
    <mergeCell ref="E35:H35"/>
    <mergeCell ref="E38:H38"/>
    <mergeCell ref="A34:C34"/>
    <mergeCell ref="A4:H4"/>
    <mergeCell ref="A36:C36"/>
    <mergeCell ref="E34:H34"/>
    <mergeCell ref="A31:H31"/>
    <mergeCell ref="E36:H36"/>
  </mergeCells>
  <printOptions horizontalCentered="1"/>
  <pageMargins left="0.4" right="0.4" top="0.5" bottom="0.5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six-sigma-blackbelt-support-ops</dc:creator>
  <dcterms:created xsi:type="dcterms:W3CDTF">2026-01-01T00:00:00Z</dcterms:created>
  <dcterms:modified xsi:type="dcterms:W3CDTF">2026-01-01T00:00:00Z</dcterms:modified>
  <cp:lastModifiedBy>six-sigma-blackbelt-support-ops</cp:lastModifiedBy>
</cp:coreProperties>
</file>