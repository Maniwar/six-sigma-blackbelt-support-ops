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2">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 fontId="5" fillId="7" borderId="1" pivotButton="0" quotePrefix="0" xfId="0"/>
    <xf numFmtId="164" fontId="5" fillId="7" borderId="1" pivotButton="0" quotePrefix="0" xfId="0"/>
    <xf numFmtId="0" fontId="3" fillId="3" borderId="0" applyAlignment="1" pivotButton="0" quotePrefix="0" xfId="0">
      <alignment vertical="center" wrapText="1"/>
    </xf>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row r="23"/>
    <row r="24"/>
    <row r="25"/>
    <row r="26"/>
    <row r="27"/>
    <row r="28"/>
    <row r="29"/>
    <row r="30"/>
    <row r="31"/>
    <row r="32"/>
    <row r="33"/>
    <row r="34"/>
    <row r="35"/>
    <row r="36"/>
    <row r="37"/>
    <row r="38"/>
    <row r="39"/>
    <row r="40"/>
  </sheetData>
  <mergeCells count="3">
    <mergeCell ref="B15"/>
    <mergeCell ref="B9"/>
    <mergeCell ref="B13"/>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s>
  <sheetData>
    <row r="1" ht="26" customHeight="1">
      <c r="A1" s="3" t="inlineStr">
        <is>
          <t>Multi-vari study — which family of variation owns the problem</t>
        </is>
      </c>
      <c r="B1" s="4" t="n"/>
      <c r="C1" s="4" t="n"/>
      <c r="D1" s="4" t="n"/>
      <c r="E1" s="4" t="n"/>
      <c r="F1" s="4" t="n"/>
      <c r="G1" s="4" t="n"/>
      <c r="H1" s="4" t="n"/>
    </row>
    <row r="2">
      <c r="A2" s="5"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6" t="inlineStr">
        <is>
          <t>THE QUESTION — what you are partitioning, and how the contacts were drawn</t>
        </is>
      </c>
      <c r="B4" s="7" t="n"/>
      <c r="C4" s="7" t="n"/>
      <c r="D4" s="7" t="n"/>
      <c r="E4" s="7" t="n"/>
      <c r="F4" s="7" t="n"/>
      <c r="G4" s="7" t="n"/>
      <c r="H4" s="7" t="n"/>
    </row>
    <row r="5" ht="30" customHeight="1">
      <c r="A5" s="8" t="inlineStr">
        <is>
          <t>What you are measuring</t>
        </is>
      </c>
      <c r="B5" s="9" t="inlineStr">
        <is>
          <t>Handle time in seconds, CRM open to CRM close</t>
        </is>
      </c>
      <c r="C5" s="10" t="inlineStr">
        <is>
          <t>One measurement, with its start and stop written down. A multi-vari study on 'productivity' partitions an opinion.</t>
        </is>
      </c>
    </row>
    <row r="6" ht="45" customHeight="1">
      <c r="A6" s="8" t="inlineStr">
        <is>
          <t>The families you sampled, outer to inner</t>
        </is>
      </c>
      <c r="B6" s="9" t="inlineStr">
        <is>
          <t>Site → team → agent → contact</t>
        </is>
      </c>
      <c r="C6" s="10" t="inlineStr">
        <is>
          <t>Each family has to sit INSIDE the one before it. Agents belong to one team, teams to one site. If a family cuts across the others — shift, say, or contact type — it is not nested and this sheet will mis-attribute it.</t>
        </is>
      </c>
    </row>
    <row r="7" ht="30" customHeight="1">
      <c r="A7" s="8" t="inlineStr">
        <is>
          <t>How the contacts were drawn</t>
        </is>
      </c>
      <c r="B7" s="9" t="inlineStr">
        <is>
          <t>Two consecutive contacts per agent, same week</t>
        </is>
      </c>
      <c r="C7" s="10" t="inlineStr">
        <is>
          <t>Consecutive and close together on purpose: the innermost family is meant to capture contact-to-contact variation, not the drift between March and June.</t>
        </is>
      </c>
    </row>
    <row r="8" ht="30" customHeight="1">
      <c r="A8" s="8" t="inlineStr">
        <is>
          <t>Smallest difference worth chasing (seconds)</t>
        </is>
      </c>
      <c r="B8" s="11" t="n">
        <v>30</v>
      </c>
      <c r="C8" s="10" t="inlineStr">
        <is>
          <t>The gap you would actually change something for. Set it before you look at the answer, or you will set it to whatever the answer turned out to be.</t>
        </is>
      </c>
    </row>
    <row r="9"/>
    <row r="10">
      <c r="A10" s="6" t="inlineStr">
        <is>
          <t>THE DATA — one row per contact, nested: site, then team, then agent</t>
        </is>
      </c>
      <c r="B10" s="7" t="n"/>
      <c r="C10" s="7" t="n"/>
      <c r="D10" s="7" t="n"/>
      <c r="E10" s="7" t="n"/>
      <c r="F10" s="7" t="n"/>
      <c r="G10" s="7" t="n"/>
      <c r="H10" s="7" t="n"/>
    </row>
    <row r="11" ht="30" customHeight="1">
      <c r="A11" s="12" t="inlineStr">
        <is>
          <t>Site</t>
        </is>
      </c>
      <c r="B11" s="12" t="inlineStr">
        <is>
          <t>Team</t>
        </is>
      </c>
      <c r="C11" s="12" t="inlineStr">
        <is>
          <t>Agent</t>
        </is>
      </c>
      <c r="D11" s="12" t="inlineStr">
        <is>
          <t>Contact ref</t>
        </is>
      </c>
      <c r="E11" s="12" t="inlineStr">
        <is>
          <t>Handle time (seconds)</t>
        </is>
      </c>
      <c r="F11" s="12" t="inlineStr"/>
      <c r="G11" s="12" t="inlineStr"/>
      <c r="H11" s="12" t="inlineStr"/>
    </row>
    <row r="12">
      <c r="A12" s="13" t="inlineStr">
        <is>
          <t>Manchester</t>
        </is>
      </c>
      <c r="B12" s="13" t="inlineStr">
        <is>
          <t>Billing A</t>
        </is>
      </c>
      <c r="C12" s="13" t="inlineStr">
        <is>
          <t>R. Okonjo</t>
        </is>
      </c>
      <c r="D12" s="13" t="inlineStr">
        <is>
          <t>BA-3001</t>
        </is>
      </c>
      <c r="E12" s="14" t="n">
        <v>312</v>
      </c>
    </row>
    <row r="13">
      <c r="A13" s="13" t="inlineStr">
        <is>
          <t>Manchester</t>
        </is>
      </c>
      <c r="B13" s="13" t="inlineStr">
        <is>
          <t>Billing A</t>
        </is>
      </c>
      <c r="C13" s="13" t="inlineStr">
        <is>
          <t>R. Okonjo</t>
        </is>
      </c>
      <c r="D13" s="13" t="inlineStr">
        <is>
          <t>BA-3002</t>
        </is>
      </c>
      <c r="E13" s="14" t="n">
        <v>377</v>
      </c>
    </row>
    <row r="14">
      <c r="A14" s="13" t="inlineStr">
        <is>
          <t>Manchester</t>
        </is>
      </c>
      <c r="B14" s="13" t="inlineStr">
        <is>
          <t>Billing A</t>
        </is>
      </c>
      <c r="C14" s="13" t="inlineStr">
        <is>
          <t>P. Adeyemi</t>
        </is>
      </c>
      <c r="D14" s="13" t="inlineStr">
        <is>
          <t>BA-3003</t>
        </is>
      </c>
      <c r="E14" s="14" t="n">
        <v>478</v>
      </c>
    </row>
    <row r="15">
      <c r="A15" s="13" t="inlineStr">
        <is>
          <t>Manchester</t>
        </is>
      </c>
      <c r="B15" s="13" t="inlineStr">
        <is>
          <t>Billing A</t>
        </is>
      </c>
      <c r="C15" s="13" t="inlineStr">
        <is>
          <t>P. Adeyemi</t>
        </is>
      </c>
      <c r="D15" s="13" t="inlineStr">
        <is>
          <t>BA-3004</t>
        </is>
      </c>
      <c r="E15" s="14" t="n">
        <v>415</v>
      </c>
    </row>
    <row r="16">
      <c r="A16" s="13" t="inlineStr">
        <is>
          <t>Manchester</t>
        </is>
      </c>
      <c r="B16" s="13" t="inlineStr">
        <is>
          <t>Billing A</t>
        </is>
      </c>
      <c r="C16" s="13" t="inlineStr">
        <is>
          <t>S. Novak</t>
        </is>
      </c>
      <c r="D16" s="13" t="inlineStr">
        <is>
          <t>BA-3005</t>
        </is>
      </c>
      <c r="E16" s="14" t="n">
        <v>356</v>
      </c>
    </row>
    <row r="17">
      <c r="A17" s="13" t="inlineStr">
        <is>
          <t>Manchester</t>
        </is>
      </c>
      <c r="B17" s="13" t="inlineStr">
        <is>
          <t>Billing A</t>
        </is>
      </c>
      <c r="C17" s="13" t="inlineStr">
        <is>
          <t>S. Novak</t>
        </is>
      </c>
      <c r="D17" s="13" t="inlineStr">
        <is>
          <t>BA-3006</t>
        </is>
      </c>
      <c r="E17" s="14" t="n">
        <v>410</v>
      </c>
    </row>
    <row r="18">
      <c r="A18" s="13" t="inlineStr">
        <is>
          <t>Manchester</t>
        </is>
      </c>
      <c r="B18" s="13" t="inlineStr">
        <is>
          <t>Billing B</t>
        </is>
      </c>
      <c r="C18" s="13" t="inlineStr">
        <is>
          <t>T. Iqbal</t>
        </is>
      </c>
      <c r="D18" s="13" t="inlineStr">
        <is>
          <t>BA-3007</t>
        </is>
      </c>
      <c r="E18" s="14" t="n">
        <v>527</v>
      </c>
    </row>
    <row r="19">
      <c r="A19" s="13" t="inlineStr">
        <is>
          <t>Manchester</t>
        </is>
      </c>
      <c r="B19" s="13" t="inlineStr">
        <is>
          <t>Billing B</t>
        </is>
      </c>
      <c r="C19" s="13" t="inlineStr">
        <is>
          <t>T. Iqbal</t>
        </is>
      </c>
      <c r="D19" s="13" t="inlineStr">
        <is>
          <t>BA-3008</t>
        </is>
      </c>
      <c r="E19" s="14" t="n">
        <v>462</v>
      </c>
    </row>
    <row r="20">
      <c r="A20" s="13" t="inlineStr">
        <is>
          <t>Manchester</t>
        </is>
      </c>
      <c r="B20" s="13" t="inlineStr">
        <is>
          <t>Billing B</t>
        </is>
      </c>
      <c r="C20" s="13" t="inlineStr">
        <is>
          <t>M. Chen</t>
        </is>
      </c>
      <c r="D20" s="13" t="inlineStr">
        <is>
          <t>BA-3009</t>
        </is>
      </c>
      <c r="E20" s="14" t="n">
        <v>341</v>
      </c>
    </row>
    <row r="21">
      <c r="A21" s="13" t="inlineStr">
        <is>
          <t>Manchester</t>
        </is>
      </c>
      <c r="B21" s="13" t="inlineStr">
        <is>
          <t>Billing B</t>
        </is>
      </c>
      <c r="C21" s="13" t="inlineStr">
        <is>
          <t>M. Chen</t>
        </is>
      </c>
      <c r="D21" s="13" t="inlineStr">
        <is>
          <t>BA-3010</t>
        </is>
      </c>
      <c r="E21" s="14" t="n">
        <v>398</v>
      </c>
    </row>
    <row r="22">
      <c r="A22" s="13" t="inlineStr">
        <is>
          <t>Manchester</t>
        </is>
      </c>
      <c r="B22" s="13" t="inlineStr">
        <is>
          <t>Billing B</t>
        </is>
      </c>
      <c r="C22" s="13" t="inlineStr">
        <is>
          <t>L. Haddad</t>
        </is>
      </c>
      <c r="D22" s="13" t="inlineStr">
        <is>
          <t>BA-3011</t>
        </is>
      </c>
      <c r="E22" s="14" t="n">
        <v>401</v>
      </c>
    </row>
    <row r="23">
      <c r="A23" s="13" t="inlineStr">
        <is>
          <t>Manchester</t>
        </is>
      </c>
      <c r="B23" s="13" t="inlineStr">
        <is>
          <t>Billing B</t>
        </is>
      </c>
      <c r="C23" s="13" t="inlineStr">
        <is>
          <t>L. Haddad</t>
        </is>
      </c>
      <c r="D23" s="13" t="inlineStr">
        <is>
          <t>BA-3012</t>
        </is>
      </c>
      <c r="E23" s="14" t="n">
        <v>459</v>
      </c>
    </row>
    <row r="24">
      <c r="A24" s="13" t="inlineStr">
        <is>
          <t>Kraków</t>
        </is>
      </c>
      <c r="B24" s="13" t="inlineStr">
        <is>
          <t>Billing C</t>
        </is>
      </c>
      <c r="C24" s="13" t="inlineStr">
        <is>
          <t>J. Barros</t>
        </is>
      </c>
      <c r="D24" s="13" t="inlineStr">
        <is>
          <t>BA-3013</t>
        </is>
      </c>
      <c r="E24" s="14" t="n">
        <v>438</v>
      </c>
    </row>
    <row r="25">
      <c r="A25" s="13" t="inlineStr">
        <is>
          <t>Kraków</t>
        </is>
      </c>
      <c r="B25" s="13" t="inlineStr">
        <is>
          <t>Billing C</t>
        </is>
      </c>
      <c r="C25" s="13" t="inlineStr">
        <is>
          <t>J. Barros</t>
        </is>
      </c>
      <c r="D25" s="13" t="inlineStr">
        <is>
          <t>BA-3014</t>
        </is>
      </c>
      <c r="E25" s="14" t="n">
        <v>375</v>
      </c>
    </row>
    <row r="26">
      <c r="A26" s="13" t="inlineStr">
        <is>
          <t>Kraków</t>
        </is>
      </c>
      <c r="B26" s="13" t="inlineStr">
        <is>
          <t>Billing C</t>
        </is>
      </c>
      <c r="C26" s="13" t="inlineStr">
        <is>
          <t>D. Wexler</t>
        </is>
      </c>
      <c r="D26" s="13" t="inlineStr">
        <is>
          <t>BA-3015</t>
        </is>
      </c>
      <c r="E26" s="14" t="n">
        <v>552</v>
      </c>
    </row>
    <row r="27">
      <c r="A27" s="13" t="inlineStr">
        <is>
          <t>Kraków</t>
        </is>
      </c>
      <c r="B27" s="13" t="inlineStr">
        <is>
          <t>Billing C</t>
        </is>
      </c>
      <c r="C27" s="13" t="inlineStr">
        <is>
          <t>D. Wexler</t>
        </is>
      </c>
      <c r="D27" s="13" t="inlineStr">
        <is>
          <t>BA-3016</t>
        </is>
      </c>
      <c r="E27" s="14" t="n">
        <v>487</v>
      </c>
    </row>
    <row r="28">
      <c r="A28" s="13" t="inlineStr">
        <is>
          <t>Kraków</t>
        </is>
      </c>
      <c r="B28" s="13" t="inlineStr">
        <is>
          <t>Billing C</t>
        </is>
      </c>
      <c r="C28" s="13" t="inlineStr">
        <is>
          <t>A. Ferreira</t>
        </is>
      </c>
      <c r="D28" s="13" t="inlineStr">
        <is>
          <t>BA-3017</t>
        </is>
      </c>
      <c r="E28" s="14" t="n">
        <v>329</v>
      </c>
    </row>
    <row r="29">
      <c r="A29" s="13" t="inlineStr">
        <is>
          <t>Kraków</t>
        </is>
      </c>
      <c r="B29" s="13" t="inlineStr">
        <is>
          <t>Billing C</t>
        </is>
      </c>
      <c r="C29" s="13" t="inlineStr">
        <is>
          <t>A. Ferreira</t>
        </is>
      </c>
      <c r="D29" s="13" t="inlineStr">
        <is>
          <t>BA-3018</t>
        </is>
      </c>
      <c r="E29" s="14" t="n">
        <v>388</v>
      </c>
    </row>
    <row r="30">
      <c r="A30" s="13" t="inlineStr">
        <is>
          <t>Kraków</t>
        </is>
      </c>
      <c r="B30" s="13" t="inlineStr">
        <is>
          <t>Billing D</t>
        </is>
      </c>
      <c r="C30" s="13" t="inlineStr">
        <is>
          <t>K. Nowak</t>
        </is>
      </c>
      <c r="D30" s="13" t="inlineStr">
        <is>
          <t>BA-3019</t>
        </is>
      </c>
      <c r="E30" s="14" t="n">
        <v>495</v>
      </c>
    </row>
    <row r="31">
      <c r="A31" s="13" t="inlineStr">
        <is>
          <t>Kraków</t>
        </is>
      </c>
      <c r="B31" s="13" t="inlineStr">
        <is>
          <t>Billing D</t>
        </is>
      </c>
      <c r="C31" s="13" t="inlineStr">
        <is>
          <t>K. Nowak</t>
        </is>
      </c>
      <c r="D31" s="13" t="inlineStr">
        <is>
          <t>BA-3020</t>
        </is>
      </c>
      <c r="E31" s="14" t="n">
        <v>433</v>
      </c>
    </row>
    <row r="32">
      <c r="A32" s="13" t="inlineStr">
        <is>
          <t>Kraków</t>
        </is>
      </c>
      <c r="B32" s="13" t="inlineStr">
        <is>
          <t>Billing D</t>
        </is>
      </c>
      <c r="C32" s="13" t="inlineStr">
        <is>
          <t>E. Duarte</t>
        </is>
      </c>
      <c r="D32" s="13" t="inlineStr">
        <is>
          <t>BA-3021</t>
        </is>
      </c>
      <c r="E32" s="14" t="n">
        <v>368</v>
      </c>
    </row>
    <row r="33">
      <c r="A33" s="13" t="inlineStr">
        <is>
          <t>Kraków</t>
        </is>
      </c>
      <c r="B33" s="13" t="inlineStr">
        <is>
          <t>Billing D</t>
        </is>
      </c>
      <c r="C33" s="13" t="inlineStr">
        <is>
          <t>E. Duarte</t>
        </is>
      </c>
      <c r="D33" s="13" t="inlineStr">
        <is>
          <t>BA-3022</t>
        </is>
      </c>
      <c r="E33" s="14" t="n">
        <v>424</v>
      </c>
    </row>
    <row r="34">
      <c r="A34" s="13" t="inlineStr">
        <is>
          <t>Kraków</t>
        </is>
      </c>
      <c r="B34" s="13" t="inlineStr">
        <is>
          <t>Billing D</t>
        </is>
      </c>
      <c r="C34" s="13" t="inlineStr">
        <is>
          <t>N. Osei</t>
        </is>
      </c>
      <c r="D34" s="13" t="inlineStr">
        <is>
          <t>BA-3023</t>
        </is>
      </c>
      <c r="E34" s="14" t="n">
        <v>571</v>
      </c>
    </row>
    <row r="35">
      <c r="A35" s="13" t="inlineStr">
        <is>
          <t>Kraków</t>
        </is>
      </c>
      <c r="B35" s="13" t="inlineStr">
        <is>
          <t>Billing D</t>
        </is>
      </c>
      <c r="C35" s="13" t="inlineStr">
        <is>
          <t>N. Osei</t>
        </is>
      </c>
      <c r="D35" s="13" t="inlineStr">
        <is>
          <t>BA-3024</t>
        </is>
      </c>
      <c r="E35" s="14" t="n">
        <v>505</v>
      </c>
    </row>
    <row r="36" ht="60" customHeight="1">
      <c r="A36" s="10"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row r="38">
      <c r="A38" s="6" t="inlineStr">
        <is>
          <t>STEP 1 — the averages, from the bottom up</t>
        </is>
      </c>
      <c r="B38" s="7" t="n"/>
      <c r="C38" s="7" t="n"/>
      <c r="D38" s="7" t="n"/>
      <c r="E38" s="7" t="n"/>
      <c r="F38" s="7" t="n"/>
      <c r="G38" s="7" t="n"/>
      <c r="H38" s="7" t="n"/>
    </row>
    <row r="39" ht="30" customHeight="1">
      <c r="A39" s="12" t="inlineStr">
        <is>
          <t>Level</t>
        </is>
      </c>
      <c r="B39" s="12" t="inlineStr">
        <is>
          <t>Name</t>
        </is>
      </c>
      <c r="C39" s="12" t="inlineStr">
        <is>
          <t>Mean handle time (s)</t>
        </is>
      </c>
      <c r="D39" s="12" t="inlineStr">
        <is>
          <t>Contacts behind it</t>
        </is>
      </c>
      <c r="E39" s="12" t="inlineStr">
        <is>
          <t>Gap to its parent (s)</t>
        </is>
      </c>
      <c r="F39" s="12" t="inlineStr">
        <is>
          <t>Spread inside (s)</t>
        </is>
      </c>
      <c r="G39" s="12" t="inlineStr"/>
      <c r="H39" s="12" t="inlineStr"/>
    </row>
    <row r="40">
      <c r="A40" t="inlineStr">
        <is>
          <t>Agent</t>
        </is>
      </c>
      <c r="B40" t="inlineStr">
        <is>
          <t>R. Okonjo · Billing A</t>
        </is>
      </c>
      <c r="C40" s="15">
        <f>AVERAGE(E12:E13)</f>
        <v/>
      </c>
      <c r="D40" s="16">
        <f>COUNT(E12:E13)</f>
        <v/>
      </c>
      <c r="E40" s="17">
        <f>C40-C52</f>
        <v/>
      </c>
      <c r="F40" s="17">
        <f>E12-E13</f>
        <v/>
      </c>
    </row>
    <row r="41">
      <c r="A41" t="inlineStr">
        <is>
          <t>Agent</t>
        </is>
      </c>
      <c r="B41" t="inlineStr">
        <is>
          <t>P. Adeyemi · Billing A</t>
        </is>
      </c>
      <c r="C41" s="15">
        <f>AVERAGE(E14:E15)</f>
        <v/>
      </c>
      <c r="D41" s="16">
        <f>COUNT(E14:E15)</f>
        <v/>
      </c>
      <c r="E41" s="17">
        <f>C41-C52</f>
        <v/>
      </c>
      <c r="F41" s="17">
        <f>E14-E15</f>
        <v/>
      </c>
    </row>
    <row r="42">
      <c r="A42" t="inlineStr">
        <is>
          <t>Agent</t>
        </is>
      </c>
      <c r="B42" t="inlineStr">
        <is>
          <t>S. Novak · Billing A</t>
        </is>
      </c>
      <c r="C42" s="15">
        <f>AVERAGE(E16:E17)</f>
        <v/>
      </c>
      <c r="D42" s="16">
        <f>COUNT(E16:E17)</f>
        <v/>
      </c>
      <c r="E42" s="17">
        <f>C42-C52</f>
        <v/>
      </c>
      <c r="F42" s="17">
        <f>E16-E17</f>
        <v/>
      </c>
    </row>
    <row r="43">
      <c r="A43" t="inlineStr">
        <is>
          <t>Agent</t>
        </is>
      </c>
      <c r="B43" t="inlineStr">
        <is>
          <t>T. Iqbal · Billing B</t>
        </is>
      </c>
      <c r="C43" s="15">
        <f>AVERAGE(E18:E19)</f>
        <v/>
      </c>
      <c r="D43" s="16">
        <f>COUNT(E18:E19)</f>
        <v/>
      </c>
      <c r="E43" s="17">
        <f>C43-C53</f>
        <v/>
      </c>
      <c r="F43" s="17">
        <f>E18-E19</f>
        <v/>
      </c>
    </row>
    <row r="44">
      <c r="A44" t="inlineStr">
        <is>
          <t>Agent</t>
        </is>
      </c>
      <c r="B44" t="inlineStr">
        <is>
          <t>M. Chen · Billing B</t>
        </is>
      </c>
      <c r="C44" s="15">
        <f>AVERAGE(E20:E21)</f>
        <v/>
      </c>
      <c r="D44" s="16">
        <f>COUNT(E20:E21)</f>
        <v/>
      </c>
      <c r="E44" s="17">
        <f>C44-C53</f>
        <v/>
      </c>
      <c r="F44" s="17">
        <f>E20-E21</f>
        <v/>
      </c>
    </row>
    <row r="45">
      <c r="A45" t="inlineStr">
        <is>
          <t>Agent</t>
        </is>
      </c>
      <c r="B45" t="inlineStr">
        <is>
          <t>L. Haddad · Billing B</t>
        </is>
      </c>
      <c r="C45" s="15">
        <f>AVERAGE(E22:E23)</f>
        <v/>
      </c>
      <c r="D45" s="16">
        <f>COUNT(E22:E23)</f>
        <v/>
      </c>
      <c r="E45" s="17">
        <f>C45-C53</f>
        <v/>
      </c>
      <c r="F45" s="17">
        <f>E22-E23</f>
        <v/>
      </c>
    </row>
    <row r="46">
      <c r="A46" t="inlineStr">
        <is>
          <t>Agent</t>
        </is>
      </c>
      <c r="B46" t="inlineStr">
        <is>
          <t>J. Barros · Billing C</t>
        </is>
      </c>
      <c r="C46" s="15">
        <f>AVERAGE(E24:E25)</f>
        <v/>
      </c>
      <c r="D46" s="16">
        <f>COUNT(E24:E25)</f>
        <v/>
      </c>
      <c r="E46" s="17">
        <f>C46-C54</f>
        <v/>
      </c>
      <c r="F46" s="17">
        <f>E24-E25</f>
        <v/>
      </c>
    </row>
    <row r="47">
      <c r="A47" t="inlineStr">
        <is>
          <t>Agent</t>
        </is>
      </c>
      <c r="B47" t="inlineStr">
        <is>
          <t>D. Wexler · Billing C</t>
        </is>
      </c>
      <c r="C47" s="15">
        <f>AVERAGE(E26:E27)</f>
        <v/>
      </c>
      <c r="D47" s="16">
        <f>COUNT(E26:E27)</f>
        <v/>
      </c>
      <c r="E47" s="17">
        <f>C47-C54</f>
        <v/>
      </c>
      <c r="F47" s="17">
        <f>E26-E27</f>
        <v/>
      </c>
    </row>
    <row r="48">
      <c r="A48" t="inlineStr">
        <is>
          <t>Agent</t>
        </is>
      </c>
      <c r="B48" t="inlineStr">
        <is>
          <t>A. Ferreira · Billing C</t>
        </is>
      </c>
      <c r="C48" s="15">
        <f>AVERAGE(E28:E29)</f>
        <v/>
      </c>
      <c r="D48" s="16">
        <f>COUNT(E28:E29)</f>
        <v/>
      </c>
      <c r="E48" s="17">
        <f>C48-C54</f>
        <v/>
      </c>
      <c r="F48" s="17">
        <f>E28-E29</f>
        <v/>
      </c>
    </row>
    <row r="49">
      <c r="A49" t="inlineStr">
        <is>
          <t>Agent</t>
        </is>
      </c>
      <c r="B49" t="inlineStr">
        <is>
          <t>K. Nowak · Billing D</t>
        </is>
      </c>
      <c r="C49" s="15">
        <f>AVERAGE(E30:E31)</f>
        <v/>
      </c>
      <c r="D49" s="16">
        <f>COUNT(E30:E31)</f>
        <v/>
      </c>
      <c r="E49" s="17">
        <f>C49-C55</f>
        <v/>
      </c>
      <c r="F49" s="17">
        <f>E30-E31</f>
        <v/>
      </c>
    </row>
    <row r="50">
      <c r="A50" t="inlineStr">
        <is>
          <t>Agent</t>
        </is>
      </c>
      <c r="B50" t="inlineStr">
        <is>
          <t>E. Duarte · Billing D</t>
        </is>
      </c>
      <c r="C50" s="15">
        <f>AVERAGE(E32:E33)</f>
        <v/>
      </c>
      <c r="D50" s="16">
        <f>COUNT(E32:E33)</f>
        <v/>
      </c>
      <c r="E50" s="17">
        <f>C50-C55</f>
        <v/>
      </c>
      <c r="F50" s="17">
        <f>E32-E33</f>
        <v/>
      </c>
    </row>
    <row r="51">
      <c r="A51" t="inlineStr">
        <is>
          <t>Agent</t>
        </is>
      </c>
      <c r="B51" t="inlineStr">
        <is>
          <t>N. Osei · Billing D</t>
        </is>
      </c>
      <c r="C51" s="15">
        <f>AVERAGE(E34:E35)</f>
        <v/>
      </c>
      <c r="D51" s="16">
        <f>COUNT(E34:E35)</f>
        <v/>
      </c>
      <c r="E51" s="17">
        <f>C51-C55</f>
        <v/>
      </c>
      <c r="F51" s="17">
        <f>E34-E35</f>
        <v/>
      </c>
    </row>
    <row r="52">
      <c r="A52" t="inlineStr">
        <is>
          <t>Team</t>
        </is>
      </c>
      <c r="B52" t="inlineStr">
        <is>
          <t>Billing A · Manchester</t>
        </is>
      </c>
      <c r="C52" s="15">
        <f>AVERAGE(E12:E17)</f>
        <v/>
      </c>
      <c r="D52" s="16">
        <f>COUNT(E12:E17)</f>
        <v/>
      </c>
      <c r="E52" s="17">
        <f>C52-C56</f>
        <v/>
      </c>
    </row>
    <row r="53">
      <c r="A53" t="inlineStr">
        <is>
          <t>Team</t>
        </is>
      </c>
      <c r="B53" t="inlineStr">
        <is>
          <t>Billing B · Manchester</t>
        </is>
      </c>
      <c r="C53" s="15">
        <f>AVERAGE(E18:E23)</f>
        <v/>
      </c>
      <c r="D53" s="16">
        <f>COUNT(E18:E23)</f>
        <v/>
      </c>
      <c r="E53" s="17">
        <f>C53-C56</f>
        <v/>
      </c>
    </row>
    <row r="54">
      <c r="A54" t="inlineStr">
        <is>
          <t>Team</t>
        </is>
      </c>
      <c r="B54" t="inlineStr">
        <is>
          <t>Billing C · Kraków</t>
        </is>
      </c>
      <c r="C54" s="15">
        <f>AVERAGE(E24:E29)</f>
        <v/>
      </c>
      <c r="D54" s="16">
        <f>COUNT(E24:E29)</f>
        <v/>
      </c>
      <c r="E54" s="17">
        <f>C54-C57</f>
        <v/>
      </c>
    </row>
    <row r="55">
      <c r="A55" t="inlineStr">
        <is>
          <t>Team</t>
        </is>
      </c>
      <c r="B55" t="inlineStr">
        <is>
          <t>Billing D · Kraków</t>
        </is>
      </c>
      <c r="C55" s="15">
        <f>AVERAGE(E30:E35)</f>
        <v/>
      </c>
      <c r="D55" s="16">
        <f>COUNT(E30:E35)</f>
        <v/>
      </c>
      <c r="E55" s="17">
        <f>C55-C57</f>
        <v/>
      </c>
    </row>
    <row r="56">
      <c r="A56" t="inlineStr">
        <is>
          <t>Site</t>
        </is>
      </c>
      <c r="B56" t="inlineStr">
        <is>
          <t>Manchester</t>
        </is>
      </c>
      <c r="C56" s="15">
        <f>AVERAGE(E12:E23)</f>
        <v/>
      </c>
      <c r="D56" s="16">
        <f>COUNT(E12:E23)</f>
        <v/>
      </c>
      <c r="E56" s="17">
        <f>C56-C58</f>
        <v/>
      </c>
    </row>
    <row r="57">
      <c r="A57" t="inlineStr">
        <is>
          <t>Site</t>
        </is>
      </c>
      <c r="B57" t="inlineStr">
        <is>
          <t>Kraków</t>
        </is>
      </c>
      <c r="C57" s="15">
        <f>AVERAGE(E24:E35)</f>
        <v/>
      </c>
      <c r="D57" s="16">
        <f>COUNT(E24:E35)</f>
        <v/>
      </c>
      <c r="E57" s="17">
        <f>C57-C58</f>
        <v/>
      </c>
    </row>
    <row r="58">
      <c r="A58" s="8" t="inlineStr">
        <is>
          <t>All contacts</t>
        </is>
      </c>
      <c r="B58" s="8" t="inlineStr">
        <is>
          <t>Grand mean</t>
        </is>
      </c>
      <c r="C58" s="15">
        <f>AVERAGE(E12:E35)</f>
        <v/>
      </c>
      <c r="D58" s="16">
        <f>COUNT(E12:E35)</f>
        <v/>
      </c>
    </row>
    <row r="59" ht="60" customHeight="1">
      <c r="A59" s="10"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ht="132" customHeight="1">
      <c r="A61" s="18" t="inlineStr">
        <is>
          <t>STEP 2 — which family owns the variation  ·  Key: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Share of total = that family's variance as a percentage of the total variance, which is how a multi-vari study apportions the spread between sites, teams, agents and the noise within one agent. The shares are of VARIANCE, so they add to 100% while the standard deviations they come from do not. A family clamped to zero has not been shown to be identical — only that this sample cannot separate it from the family inside it</t>
        </is>
      </c>
      <c r="B61" s="7" t="n"/>
      <c r="C61" s="7" t="n"/>
      <c r="D61" s="7" t="n"/>
      <c r="E61" s="7" t="n"/>
      <c r="F61" s="7" t="n"/>
      <c r="G61" s="7" t="n"/>
      <c r="H61" s="7" t="n"/>
    </row>
    <row r="62" ht="42" customHeight="1">
      <c r="A62" s="12" t="inlineStr">
        <is>
          <t>Family</t>
        </is>
      </c>
      <c r="B62" s="12" t="inlineStr">
        <is>
          <t>Sum of squares</t>
        </is>
      </c>
      <c r="C62" s="12" t="inlineStr">
        <is>
          <t>Degrees of freedom</t>
        </is>
      </c>
      <c r="D62" s="12" t="inlineStr">
        <is>
          <t>Mean square</t>
        </is>
      </c>
      <c r="E62" s="12" t="inlineStr">
        <is>
          <t>Variance component</t>
        </is>
      </c>
      <c r="F62" s="12" t="inlineStr">
        <is>
          <t>Share of total</t>
        </is>
      </c>
      <c r="G62" s="12" t="inlineStr">
        <is>
          <t>What this family means</t>
        </is>
      </c>
      <c r="H62" s="12" t="inlineStr"/>
    </row>
    <row r="63" ht="30" customHeight="1">
      <c r="A63" s="8" t="inlineStr">
        <is>
          <t>Between sites</t>
        </is>
      </c>
      <c r="B63" s="19">
        <f>12*SUMSQ(E56:E57)</f>
        <v/>
      </c>
      <c r="C63" s="16" t="n">
        <v>1</v>
      </c>
      <c r="D63" s="19">
        <f>B63/C63</f>
        <v/>
      </c>
      <c r="E63" s="19">
        <f>MAX(0,(D63-D64)/12)</f>
        <v/>
      </c>
      <c r="F63" s="20">
        <f>IFERROR(E63/SUM($E$63:$E$66),"")</f>
        <v/>
      </c>
      <c r="G63" s="10" t="inlineStr">
        <is>
          <t>Manchester against Kraków, once the teams and agents inside them are accounted for. A big share here means the two sites are running different processes.</t>
        </is>
      </c>
    </row>
    <row r="64" ht="30" customHeight="1">
      <c r="A64" s="8" t="inlineStr">
        <is>
          <t>Between teams, within a site</t>
        </is>
      </c>
      <c r="B64" s="19">
        <f>6*SUMSQ(E52:E55)</f>
        <v/>
      </c>
      <c r="C64" s="16" t="n">
        <v>2</v>
      </c>
      <c r="D64" s="19">
        <f>B64/C64</f>
        <v/>
      </c>
      <c r="E64" s="19">
        <f>MAX(0,(D64-D65)/6)</f>
        <v/>
      </c>
      <c r="F64" s="20">
        <f>IFERROR(E64/SUM($E$63:$E$66),"")</f>
        <v/>
      </c>
      <c r="G64" s="10" t="inlineStr">
        <is>
          <t>One billing team against another in the same building — different team leader, different coaching, same everything else.</t>
        </is>
      </c>
    </row>
    <row r="65" ht="30" customHeight="1">
      <c r="A65" s="8" t="inlineStr">
        <is>
          <t>Between agents, within a team</t>
        </is>
      </c>
      <c r="B65" s="19">
        <f>2*SUMSQ(E40:E51)</f>
        <v/>
      </c>
      <c r="C65" s="16" t="n">
        <v>8</v>
      </c>
      <c r="D65" s="19">
        <f>B65/C65</f>
        <v/>
      </c>
      <c r="E65" s="19">
        <f>MAX(0,(D65-D66)/2)</f>
        <v/>
      </c>
      <c r="F65" s="20">
        <f>IFERROR(E65/SUM($E$63:$E$66),"")</f>
        <v/>
      </c>
      <c r="G65" s="10" t="inlineStr">
        <is>
          <t>One agent against their own team-mates. A big share here is a training, tooling or method problem, and it is the family a site-level project cannot touch.</t>
        </is>
      </c>
    </row>
    <row r="66" ht="45" customHeight="1">
      <c r="A66" s="8" t="inlineStr">
        <is>
          <t>Within one agent, contact to contact</t>
        </is>
      </c>
      <c r="B66" s="19">
        <f>SUMSQ(F40:F51)/2</f>
        <v/>
      </c>
      <c r="C66" s="16" t="n">
        <v>12</v>
      </c>
      <c r="D66" s="19">
        <f>B66/C66</f>
        <v/>
      </c>
      <c r="E66" s="19">
        <f>D66</f>
        <v/>
      </c>
      <c r="F66" s="20">
        <f>IFERROR(E66/SUM($E$63:$E$66),"")</f>
        <v/>
      </c>
      <c r="G66" s="10" t="inlineStr">
        <is>
          <t>The same agent, two contacts, one week. Whatever is left after everything you can name — contact mix, system waits, luck. It sets the floor on what any of the families above can be measured against.</t>
        </is>
      </c>
    </row>
    <row r="67" ht="30" customHeight="1">
      <c r="A67" s="8" t="inlineStr">
        <is>
          <t>TOTAL</t>
        </is>
      </c>
      <c r="B67" s="19">
        <f>DEVSQ(E12:E35)</f>
        <v/>
      </c>
      <c r="C67" s="16" t="n">
        <v>23</v>
      </c>
      <c r="F67" s="20">
        <f>IFERROR(SUM(F63:F66),"")</f>
        <v/>
      </c>
      <c r="G67" s="10" t="inlineStr">
        <is>
          <t>The four sums of squares add up to this one exactly. If they ever do not, the design has stopped being balanced.</t>
        </is>
      </c>
    </row>
    <row r="68" ht="90" customHeight="1">
      <c r="A68" s="10"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0"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6" t="inlineStr">
        <is>
          <t>STEP 3 — what it tells you to do next</t>
        </is>
      </c>
      <c r="B71" s="7" t="n"/>
      <c r="C71" s="7" t="n"/>
      <c r="D71" s="7" t="n"/>
      <c r="E71" s="7" t="n"/>
      <c r="F71" s="7" t="n"/>
      <c r="G71" s="7" t="n"/>
      <c r="H71" s="7" t="n"/>
    </row>
    <row r="72" ht="30" customHeight="1">
      <c r="A72" s="8" t="inlineStr">
        <is>
          <t>Look here first</t>
        </is>
      </c>
      <c r="B72" s="21">
        <f>IFERROR(INDEX($A$63:$A$66,MATCH(MAX($F$63:$F$66),$F$63:$F$66,0)),"")</f>
        <v/>
      </c>
      <c r="C72" s="10" t="inlineStr">
        <is>
          <t>The family holding the largest share. Scope your project to this family — an improvement aimed anywhere else is competing with variation it cannot reach.</t>
        </is>
      </c>
    </row>
    <row r="73" ht="30" customHeight="1">
      <c r="A73" s="8" t="inlineStr">
        <is>
          <t>Biggest gap between two agents (s)</t>
        </is>
      </c>
      <c r="B73" s="15">
        <f>IFERROR(MAX(C40:C51)-MIN(C40:C51),"")</f>
        <v/>
      </c>
      <c r="C73" s="10" t="inlineStr">
        <is>
          <t>Fastest agent against slowest, in seconds of handle time. This is the number to take to the process owner, because it is one they can picture.</t>
        </is>
      </c>
    </row>
    <row r="74" ht="15" customHeight="1">
      <c r="A74" s="8" t="inlineStr">
        <is>
          <t>Is that gap worth chasing?</t>
        </is>
      </c>
      <c r="B74" s="21">
        <f>IF(B73="","",IF(B73&gt;=$B$8,"YES — larger than the difference you said would matter","NO — smaller than the difference you said would matter"))</f>
        <v/>
      </c>
      <c r="C74" s="10" t="inlineStr">
        <is>
          <t>Measured against the threshold you set at the top, before you saw the data.</t>
        </is>
      </c>
    </row>
    <row r="75" ht="45" customHeight="1">
      <c r="A75" s="8" t="inlineStr">
        <is>
          <t>Contacts per agent needed to halve the noise</t>
        </is>
      </c>
      <c r="B75" s="15">
        <f>IFERROR(ROUNDUP(4*E66/(($B$8/2)^2),0),"")</f>
        <v/>
      </c>
      <c r="C75" s="10" t="inlineStr">
        <is>
          <t>If the answer above is too close to call, this is roughly how many contacts per agent the next study needs to resolve half your threshold. It grows with the square, which is why precision gets expensive quickly.</t>
        </is>
      </c>
    </row>
  </sheetData>
  <mergeCells count="24">
    <mergeCell ref="A59:H59"/>
    <mergeCell ref="C75:H75"/>
    <mergeCell ref="G67:H67"/>
    <mergeCell ref="A36:H36"/>
    <mergeCell ref="A1:H1"/>
    <mergeCell ref="A61:H61"/>
    <mergeCell ref="A69:H69"/>
    <mergeCell ref="C8:H8"/>
    <mergeCell ref="G66:H66"/>
    <mergeCell ref="C7:H7"/>
    <mergeCell ref="C72:H72"/>
    <mergeCell ref="A2:H2"/>
    <mergeCell ref="A71:H71"/>
    <mergeCell ref="G65:H65"/>
    <mergeCell ref="G64:H64"/>
    <mergeCell ref="A4:H4"/>
    <mergeCell ref="C6:H6"/>
    <mergeCell ref="C5:H5"/>
    <mergeCell ref="A38:H38"/>
    <mergeCell ref="G63:H63"/>
    <mergeCell ref="C74:H74"/>
    <mergeCell ref="A10:H10"/>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