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2">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 fontId="5" fillId="7" borderId="1" pivotButton="0" quotePrefix="0" xfId="0"/>
    <xf numFmtId="164" fontId="5" fillId="7" borderId="1" pivotButton="0" quotePrefix="0" xfId="0"/>
    <xf numFmtId="0" fontId="3" fillId="3" borderId="0" applyAlignment="1" pivotButton="0" quotePrefix="0" xfId="0">
      <alignment vertical="center" wrapText="1"/>
    </xf>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row r="23"/>
    <row r="24"/>
    <row r="25"/>
    <row r="26"/>
    <row r="27"/>
    <row r="28"/>
    <row r="29"/>
    <row r="30"/>
    <row r="31"/>
    <row r="32"/>
    <row r="33"/>
    <row r="34"/>
    <row r="35"/>
    <row r="36"/>
    <row r="37"/>
    <row r="38"/>
    <row r="39"/>
    <row r="40"/>
  </sheetData>
  <mergeCells count="3">
    <mergeCell ref="B15"/>
    <mergeCell ref="B9"/>
    <mergeCell ref="B13"/>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s>
  <sheetData>
    <row r="1" ht="26" customHeight="1">
      <c r="A1" s="3" t="inlineStr">
        <is>
          <t>Multi-vari study — which family of variation owns the problem</t>
        </is>
      </c>
      <c r="B1" s="4" t="n"/>
      <c r="C1" s="4" t="n"/>
      <c r="D1" s="4" t="n"/>
      <c r="E1" s="4" t="n"/>
      <c r="F1" s="4" t="n"/>
      <c r="G1" s="4" t="n"/>
      <c r="H1" s="4" t="n"/>
    </row>
    <row r="2">
      <c r="A2" s="5"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6" t="inlineStr">
        <is>
          <t>THE QUESTION — what you are partitioning, and how the contacts were drawn</t>
        </is>
      </c>
      <c r="B4" s="7" t="n"/>
      <c r="C4" s="7" t="n"/>
      <c r="D4" s="7" t="n"/>
      <c r="E4" s="7" t="n"/>
      <c r="F4" s="7" t="n"/>
      <c r="G4" s="7" t="n"/>
      <c r="H4" s="7" t="n"/>
    </row>
    <row r="5" ht="30" customHeight="1">
      <c r="A5" s="8" t="inlineStr">
        <is>
          <t>What you are measuring</t>
        </is>
      </c>
      <c r="B5" s="9" t="inlineStr">
        <is>
          <t>Handle time in seconds, CRM open to CRM close</t>
        </is>
      </c>
      <c r="C5" s="10" t="inlineStr">
        <is>
          <t>One measurement, with its start and stop written down. A multi-vari study on 'productivity' partitions an opinion.</t>
        </is>
      </c>
    </row>
    <row r="6" ht="45" customHeight="1">
      <c r="A6" s="8" t="inlineStr">
        <is>
          <t>The families you sampled, outer to inner</t>
        </is>
      </c>
      <c r="B6" s="9" t="inlineStr">
        <is>
          <t>Site → team → agent → contact</t>
        </is>
      </c>
      <c r="C6" s="10" t="inlineStr">
        <is>
          <t>Each family has to sit INSIDE the one before it. Agents belong to one team, teams to one site. If a family cuts across the others — shift, say, or contact type — it is not nested and this sheet will mis-attribute it.</t>
        </is>
      </c>
    </row>
    <row r="7" ht="30" customHeight="1">
      <c r="A7" s="8" t="inlineStr">
        <is>
          <t>How the contacts were drawn</t>
        </is>
      </c>
      <c r="B7" s="9" t="inlineStr">
        <is>
          <t>Two consecutive contacts per agent, same week</t>
        </is>
      </c>
      <c r="C7" s="10" t="inlineStr">
        <is>
          <t>Consecutive and close together on purpose: the innermost family is meant to capture contact-to-contact variation, not the drift between March and June.</t>
        </is>
      </c>
    </row>
    <row r="8" ht="30" customHeight="1">
      <c r="A8" s="8" t="inlineStr">
        <is>
          <t>Smallest difference worth chasing (seconds)</t>
        </is>
      </c>
      <c r="B8" s="11" t="n">
        <v>30</v>
      </c>
      <c r="C8" s="10" t="inlineStr">
        <is>
          <t>The gap you would actually change something for. Set it before you look at the answer, or you will set it to whatever the answer turned out to be.</t>
        </is>
      </c>
    </row>
    <row r="9"/>
    <row r="10">
      <c r="A10" s="6" t="inlineStr">
        <is>
          <t>THE DATA — one row per contact, nested: site, then team, then agent</t>
        </is>
      </c>
      <c r="B10" s="7" t="n"/>
      <c r="C10" s="7" t="n"/>
      <c r="D10" s="7" t="n"/>
      <c r="E10" s="7" t="n"/>
      <c r="F10" s="7" t="n"/>
      <c r="G10" s="7" t="n"/>
      <c r="H10" s="7" t="n"/>
    </row>
    <row r="11" ht="30" customHeight="1">
      <c r="A11" s="12" t="inlineStr">
        <is>
          <t>Site</t>
        </is>
      </c>
      <c r="B11" s="12" t="inlineStr">
        <is>
          <t>Team</t>
        </is>
      </c>
      <c r="C11" s="12" t="inlineStr">
        <is>
          <t>Agent</t>
        </is>
      </c>
      <c r="D11" s="12" t="inlineStr">
        <is>
          <t>Contact ref</t>
        </is>
      </c>
      <c r="E11" s="12" t="inlineStr">
        <is>
          <t>Handle time (seconds)</t>
        </is>
      </c>
      <c r="F11" s="12" t="inlineStr"/>
      <c r="G11" s="12" t="inlineStr"/>
      <c r="H11" s="12" t="inlineStr"/>
    </row>
    <row r="12">
      <c r="A12" s="13" t="inlineStr">
        <is>
          <t>Manchester</t>
        </is>
      </c>
      <c r="B12" s="13" t="inlineStr">
        <is>
          <t>Billing A</t>
        </is>
      </c>
      <c r="C12" s="13" t="inlineStr">
        <is>
          <t>R. Okonjo</t>
        </is>
      </c>
      <c r="D12" s="13" t="inlineStr">
        <is>
          <t>BA-3001</t>
        </is>
      </c>
      <c r="E12" s="14" t="n">
        <v>312</v>
      </c>
    </row>
    <row r="13">
      <c r="A13" s="13" t="inlineStr">
        <is>
          <t>Manchester</t>
        </is>
      </c>
      <c r="B13" s="13" t="inlineStr">
        <is>
          <t>Billing A</t>
        </is>
      </c>
      <c r="C13" s="13" t="inlineStr">
        <is>
          <t>R. Okonjo</t>
        </is>
      </c>
      <c r="D13" s="13" t="inlineStr">
        <is>
          <t>BA-3002</t>
        </is>
      </c>
      <c r="E13" s="14" t="n">
        <v>377</v>
      </c>
    </row>
    <row r="14">
      <c r="A14" s="13" t="inlineStr">
        <is>
          <t>Manchester</t>
        </is>
      </c>
      <c r="B14" s="13" t="inlineStr">
        <is>
          <t>Billing A</t>
        </is>
      </c>
      <c r="C14" s="13" t="inlineStr">
        <is>
          <t>P. Adeyemi</t>
        </is>
      </c>
      <c r="D14" s="13" t="inlineStr">
        <is>
          <t>BA-3003</t>
        </is>
      </c>
      <c r="E14" s="14" t="n">
        <v>478</v>
      </c>
    </row>
    <row r="15">
      <c r="A15" s="13" t="inlineStr">
        <is>
          <t>Manchester</t>
        </is>
      </c>
      <c r="B15" s="13" t="inlineStr">
        <is>
          <t>Billing A</t>
        </is>
      </c>
      <c r="C15" s="13" t="inlineStr">
        <is>
          <t>P. Adeyemi</t>
        </is>
      </c>
      <c r="D15" s="13" t="inlineStr">
        <is>
          <t>BA-3004</t>
        </is>
      </c>
      <c r="E15" s="14" t="n">
        <v>415</v>
      </c>
    </row>
    <row r="16">
      <c r="A16" s="13" t="inlineStr">
        <is>
          <t>Manchester</t>
        </is>
      </c>
      <c r="B16" s="13" t="inlineStr">
        <is>
          <t>Billing A</t>
        </is>
      </c>
      <c r="C16" s="13" t="inlineStr">
        <is>
          <t>S. Novak</t>
        </is>
      </c>
      <c r="D16" s="13" t="inlineStr">
        <is>
          <t>BA-3005</t>
        </is>
      </c>
      <c r="E16" s="14" t="n">
        <v>356</v>
      </c>
    </row>
    <row r="17">
      <c r="A17" s="13" t="inlineStr">
        <is>
          <t>Manchester</t>
        </is>
      </c>
      <c r="B17" s="13" t="inlineStr">
        <is>
          <t>Billing A</t>
        </is>
      </c>
      <c r="C17" s="13" t="inlineStr">
        <is>
          <t>S. Novak</t>
        </is>
      </c>
      <c r="D17" s="13" t="inlineStr">
        <is>
          <t>BA-3006</t>
        </is>
      </c>
      <c r="E17" s="14" t="n">
        <v>410</v>
      </c>
    </row>
    <row r="18">
      <c r="A18" s="13" t="inlineStr">
        <is>
          <t>Manchester</t>
        </is>
      </c>
      <c r="B18" s="13" t="inlineStr">
        <is>
          <t>Billing B</t>
        </is>
      </c>
      <c r="C18" s="13" t="inlineStr">
        <is>
          <t>T. Iqbal</t>
        </is>
      </c>
      <c r="D18" s="13" t="inlineStr">
        <is>
          <t>BA-3007</t>
        </is>
      </c>
      <c r="E18" s="14" t="n">
        <v>527</v>
      </c>
    </row>
    <row r="19">
      <c r="A19" s="13" t="inlineStr">
        <is>
          <t>Manchester</t>
        </is>
      </c>
      <c r="B19" s="13" t="inlineStr">
        <is>
          <t>Billing B</t>
        </is>
      </c>
      <c r="C19" s="13" t="inlineStr">
        <is>
          <t>T. Iqbal</t>
        </is>
      </c>
      <c r="D19" s="13" t="inlineStr">
        <is>
          <t>BA-3008</t>
        </is>
      </c>
      <c r="E19" s="14" t="n">
        <v>462</v>
      </c>
    </row>
    <row r="20">
      <c r="A20" s="13" t="inlineStr">
        <is>
          <t>Manchester</t>
        </is>
      </c>
      <c r="B20" s="13" t="inlineStr">
        <is>
          <t>Billing B</t>
        </is>
      </c>
      <c r="C20" s="13" t="inlineStr">
        <is>
          <t>M. Chen</t>
        </is>
      </c>
      <c r="D20" s="13" t="inlineStr">
        <is>
          <t>BA-3009</t>
        </is>
      </c>
      <c r="E20" s="14" t="n">
        <v>341</v>
      </c>
    </row>
    <row r="21">
      <c r="A21" s="13" t="inlineStr">
        <is>
          <t>Manchester</t>
        </is>
      </c>
      <c r="B21" s="13" t="inlineStr">
        <is>
          <t>Billing B</t>
        </is>
      </c>
      <c r="C21" s="13" t="inlineStr">
        <is>
          <t>M. Chen</t>
        </is>
      </c>
      <c r="D21" s="13" t="inlineStr">
        <is>
          <t>BA-3010</t>
        </is>
      </c>
      <c r="E21" s="14" t="n">
        <v>398</v>
      </c>
    </row>
    <row r="22">
      <c r="A22" s="13" t="inlineStr">
        <is>
          <t>Manchester</t>
        </is>
      </c>
      <c r="B22" s="13" t="inlineStr">
        <is>
          <t>Billing B</t>
        </is>
      </c>
      <c r="C22" s="13" t="inlineStr">
        <is>
          <t>L. Haddad</t>
        </is>
      </c>
      <c r="D22" s="13" t="inlineStr">
        <is>
          <t>BA-3011</t>
        </is>
      </c>
      <c r="E22" s="14" t="n">
        <v>401</v>
      </c>
    </row>
    <row r="23">
      <c r="A23" s="13" t="inlineStr">
        <is>
          <t>Manchester</t>
        </is>
      </c>
      <c r="B23" s="13" t="inlineStr">
        <is>
          <t>Billing B</t>
        </is>
      </c>
      <c r="C23" s="13" t="inlineStr">
        <is>
          <t>L. Haddad</t>
        </is>
      </c>
      <c r="D23" s="13" t="inlineStr">
        <is>
          <t>BA-3012</t>
        </is>
      </c>
      <c r="E23" s="14" t="n">
        <v>459</v>
      </c>
    </row>
    <row r="24">
      <c r="A24" s="13" t="inlineStr">
        <is>
          <t>Kraków</t>
        </is>
      </c>
      <c r="B24" s="13" t="inlineStr">
        <is>
          <t>Billing C</t>
        </is>
      </c>
      <c r="C24" s="13" t="inlineStr">
        <is>
          <t>J. Barros</t>
        </is>
      </c>
      <c r="D24" s="13" t="inlineStr">
        <is>
          <t>BA-3013</t>
        </is>
      </c>
      <c r="E24" s="14" t="n">
        <v>438</v>
      </c>
    </row>
    <row r="25">
      <c r="A25" s="13" t="inlineStr">
        <is>
          <t>Kraków</t>
        </is>
      </c>
      <c r="B25" s="13" t="inlineStr">
        <is>
          <t>Billing C</t>
        </is>
      </c>
      <c r="C25" s="13" t="inlineStr">
        <is>
          <t>J. Barros</t>
        </is>
      </c>
      <c r="D25" s="13" t="inlineStr">
        <is>
          <t>BA-3014</t>
        </is>
      </c>
      <c r="E25" s="14" t="n">
        <v>375</v>
      </c>
    </row>
    <row r="26">
      <c r="A26" s="13" t="inlineStr">
        <is>
          <t>Kraków</t>
        </is>
      </c>
      <c r="B26" s="13" t="inlineStr">
        <is>
          <t>Billing C</t>
        </is>
      </c>
      <c r="C26" s="13" t="inlineStr">
        <is>
          <t>D. Wexler</t>
        </is>
      </c>
      <c r="D26" s="13" t="inlineStr">
        <is>
          <t>BA-3015</t>
        </is>
      </c>
      <c r="E26" s="14" t="n">
        <v>552</v>
      </c>
    </row>
    <row r="27">
      <c r="A27" s="13" t="inlineStr">
        <is>
          <t>Kraków</t>
        </is>
      </c>
      <c r="B27" s="13" t="inlineStr">
        <is>
          <t>Billing C</t>
        </is>
      </c>
      <c r="C27" s="13" t="inlineStr">
        <is>
          <t>D. Wexler</t>
        </is>
      </c>
      <c r="D27" s="13" t="inlineStr">
        <is>
          <t>BA-3016</t>
        </is>
      </c>
      <c r="E27" s="14" t="n">
        <v>487</v>
      </c>
    </row>
    <row r="28">
      <c r="A28" s="13" t="inlineStr">
        <is>
          <t>Kraków</t>
        </is>
      </c>
      <c r="B28" s="13" t="inlineStr">
        <is>
          <t>Billing C</t>
        </is>
      </c>
      <c r="C28" s="13" t="inlineStr">
        <is>
          <t>A. Ferreira</t>
        </is>
      </c>
      <c r="D28" s="13" t="inlineStr">
        <is>
          <t>BA-3017</t>
        </is>
      </c>
      <c r="E28" s="14" t="n">
        <v>329</v>
      </c>
    </row>
    <row r="29">
      <c r="A29" s="13" t="inlineStr">
        <is>
          <t>Kraków</t>
        </is>
      </c>
      <c r="B29" s="13" t="inlineStr">
        <is>
          <t>Billing C</t>
        </is>
      </c>
      <c r="C29" s="13" t="inlineStr">
        <is>
          <t>A. Ferreira</t>
        </is>
      </c>
      <c r="D29" s="13" t="inlineStr">
        <is>
          <t>BA-3018</t>
        </is>
      </c>
      <c r="E29" s="14" t="n">
        <v>388</v>
      </c>
    </row>
    <row r="30">
      <c r="A30" s="13" t="inlineStr">
        <is>
          <t>Kraków</t>
        </is>
      </c>
      <c r="B30" s="13" t="inlineStr">
        <is>
          <t>Billing D</t>
        </is>
      </c>
      <c r="C30" s="13" t="inlineStr">
        <is>
          <t>K. Nowak</t>
        </is>
      </c>
      <c r="D30" s="13" t="inlineStr">
        <is>
          <t>BA-3019</t>
        </is>
      </c>
      <c r="E30" s="14" t="n">
        <v>495</v>
      </c>
    </row>
    <row r="31">
      <c r="A31" s="13" t="inlineStr">
        <is>
          <t>Kraków</t>
        </is>
      </c>
      <c r="B31" s="13" t="inlineStr">
        <is>
          <t>Billing D</t>
        </is>
      </c>
      <c r="C31" s="13" t="inlineStr">
        <is>
          <t>K. Nowak</t>
        </is>
      </c>
      <c r="D31" s="13" t="inlineStr">
        <is>
          <t>BA-3020</t>
        </is>
      </c>
      <c r="E31" s="14" t="n">
        <v>433</v>
      </c>
    </row>
    <row r="32">
      <c r="A32" s="13" t="inlineStr">
        <is>
          <t>Kraków</t>
        </is>
      </c>
      <c r="B32" s="13" t="inlineStr">
        <is>
          <t>Billing D</t>
        </is>
      </c>
      <c r="C32" s="13" t="inlineStr">
        <is>
          <t>E. Duarte</t>
        </is>
      </c>
      <c r="D32" s="13" t="inlineStr">
        <is>
          <t>BA-3021</t>
        </is>
      </c>
      <c r="E32" s="14" t="n">
        <v>368</v>
      </c>
    </row>
    <row r="33">
      <c r="A33" s="13" t="inlineStr">
        <is>
          <t>Kraków</t>
        </is>
      </c>
      <c r="B33" s="13" t="inlineStr">
        <is>
          <t>Billing D</t>
        </is>
      </c>
      <c r="C33" s="13" t="inlineStr">
        <is>
          <t>E. Duarte</t>
        </is>
      </c>
      <c r="D33" s="13" t="inlineStr">
        <is>
          <t>BA-3022</t>
        </is>
      </c>
      <c r="E33" s="14" t="n">
        <v>424</v>
      </c>
    </row>
    <row r="34">
      <c r="A34" s="13" t="inlineStr">
        <is>
          <t>Kraków</t>
        </is>
      </c>
      <c r="B34" s="13" t="inlineStr">
        <is>
          <t>Billing D</t>
        </is>
      </c>
      <c r="C34" s="13" t="inlineStr">
        <is>
          <t>N. Osei</t>
        </is>
      </c>
      <c r="D34" s="13" t="inlineStr">
        <is>
          <t>BA-3023</t>
        </is>
      </c>
      <c r="E34" s="14" t="n">
        <v>571</v>
      </c>
    </row>
    <row r="35">
      <c r="A35" s="13" t="inlineStr">
        <is>
          <t>Kraków</t>
        </is>
      </c>
      <c r="B35" s="13" t="inlineStr">
        <is>
          <t>Billing D</t>
        </is>
      </c>
      <c r="C35" s="13" t="inlineStr">
        <is>
          <t>N. Osei</t>
        </is>
      </c>
      <c r="D35" s="13" t="inlineStr">
        <is>
          <t>BA-3024</t>
        </is>
      </c>
      <c r="E35" s="14" t="n">
        <v>505</v>
      </c>
    </row>
    <row r="36" ht="60" customHeight="1">
      <c r="A36" s="10"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row r="38">
      <c r="A38" s="6" t="inlineStr">
        <is>
          <t>STEP 1 — the averages, from the bottom up</t>
        </is>
      </c>
      <c r="B38" s="7" t="n"/>
      <c r="C38" s="7" t="n"/>
      <c r="D38" s="7" t="n"/>
      <c r="E38" s="7" t="n"/>
      <c r="F38" s="7" t="n"/>
      <c r="G38" s="7" t="n"/>
      <c r="H38" s="7" t="n"/>
    </row>
    <row r="39" ht="30" customHeight="1">
      <c r="A39" s="12" t="inlineStr">
        <is>
          <t>Level</t>
        </is>
      </c>
      <c r="B39" s="12" t="inlineStr">
        <is>
          <t>Name</t>
        </is>
      </c>
      <c r="C39" s="12" t="inlineStr">
        <is>
          <t>Mean handle time (s)</t>
        </is>
      </c>
      <c r="D39" s="12" t="inlineStr">
        <is>
          <t>Contacts behind it</t>
        </is>
      </c>
      <c r="E39" s="12" t="inlineStr">
        <is>
          <t>Gap to its parent (s)</t>
        </is>
      </c>
      <c r="F39" s="12" t="inlineStr">
        <is>
          <t>Spread inside (s)</t>
        </is>
      </c>
      <c r="G39" s="12" t="inlineStr"/>
      <c r="H39" s="12" t="inlineStr"/>
    </row>
    <row r="40">
      <c r="A40" t="inlineStr">
        <is>
          <t>Agent</t>
        </is>
      </c>
      <c r="B40" t="inlineStr">
        <is>
          <t>R. Okonjo · Billing A</t>
        </is>
      </c>
      <c r="C40" s="15">
        <f>AVERAGE(E12:E13)</f>
        <v/>
      </c>
      <c r="D40" s="16">
        <f>COUNT(E12:E13)</f>
        <v/>
      </c>
      <c r="E40" s="17">
        <f>C40-C52</f>
        <v/>
      </c>
      <c r="F40" s="17">
        <f>E12-E13</f>
        <v/>
      </c>
    </row>
    <row r="41">
      <c r="A41" t="inlineStr">
        <is>
          <t>Agent</t>
        </is>
      </c>
      <c r="B41" t="inlineStr">
        <is>
          <t>P. Adeyemi · Billing A</t>
        </is>
      </c>
      <c r="C41" s="15">
        <f>AVERAGE(E14:E15)</f>
        <v/>
      </c>
      <c r="D41" s="16">
        <f>COUNT(E14:E15)</f>
        <v/>
      </c>
      <c r="E41" s="17">
        <f>C41-C52</f>
        <v/>
      </c>
      <c r="F41" s="17">
        <f>E14-E15</f>
        <v/>
      </c>
    </row>
    <row r="42">
      <c r="A42" t="inlineStr">
        <is>
          <t>Agent</t>
        </is>
      </c>
      <c r="B42" t="inlineStr">
        <is>
          <t>S. Novak · Billing A</t>
        </is>
      </c>
      <c r="C42" s="15">
        <f>AVERAGE(E16:E17)</f>
        <v/>
      </c>
      <c r="D42" s="16">
        <f>COUNT(E16:E17)</f>
        <v/>
      </c>
      <c r="E42" s="17">
        <f>C42-C52</f>
        <v/>
      </c>
      <c r="F42" s="17">
        <f>E16-E17</f>
        <v/>
      </c>
    </row>
    <row r="43">
      <c r="A43" t="inlineStr">
        <is>
          <t>Agent</t>
        </is>
      </c>
      <c r="B43" t="inlineStr">
        <is>
          <t>T. Iqbal · Billing B</t>
        </is>
      </c>
      <c r="C43" s="15">
        <f>AVERAGE(E18:E19)</f>
        <v/>
      </c>
      <c r="D43" s="16">
        <f>COUNT(E18:E19)</f>
        <v/>
      </c>
      <c r="E43" s="17">
        <f>C43-C53</f>
        <v/>
      </c>
      <c r="F43" s="17">
        <f>E18-E19</f>
        <v/>
      </c>
    </row>
    <row r="44">
      <c r="A44" t="inlineStr">
        <is>
          <t>Agent</t>
        </is>
      </c>
      <c r="B44" t="inlineStr">
        <is>
          <t>M. Chen · Billing B</t>
        </is>
      </c>
      <c r="C44" s="15">
        <f>AVERAGE(E20:E21)</f>
        <v/>
      </c>
      <c r="D44" s="16">
        <f>COUNT(E20:E21)</f>
        <v/>
      </c>
      <c r="E44" s="17">
        <f>C44-C53</f>
        <v/>
      </c>
      <c r="F44" s="17">
        <f>E20-E21</f>
        <v/>
      </c>
    </row>
    <row r="45">
      <c r="A45" t="inlineStr">
        <is>
          <t>Agent</t>
        </is>
      </c>
      <c r="B45" t="inlineStr">
        <is>
          <t>L. Haddad · Billing B</t>
        </is>
      </c>
      <c r="C45" s="15">
        <f>AVERAGE(E22:E23)</f>
        <v/>
      </c>
      <c r="D45" s="16">
        <f>COUNT(E22:E23)</f>
        <v/>
      </c>
      <c r="E45" s="17">
        <f>C45-C53</f>
        <v/>
      </c>
      <c r="F45" s="17">
        <f>E22-E23</f>
        <v/>
      </c>
    </row>
    <row r="46">
      <c r="A46" t="inlineStr">
        <is>
          <t>Agent</t>
        </is>
      </c>
      <c r="B46" t="inlineStr">
        <is>
          <t>J. Barros · Billing C</t>
        </is>
      </c>
      <c r="C46" s="15">
        <f>AVERAGE(E24:E25)</f>
        <v/>
      </c>
      <c r="D46" s="16">
        <f>COUNT(E24:E25)</f>
        <v/>
      </c>
      <c r="E46" s="17">
        <f>C46-C54</f>
        <v/>
      </c>
      <c r="F46" s="17">
        <f>E24-E25</f>
        <v/>
      </c>
    </row>
    <row r="47">
      <c r="A47" t="inlineStr">
        <is>
          <t>Agent</t>
        </is>
      </c>
      <c r="B47" t="inlineStr">
        <is>
          <t>D. Wexler · Billing C</t>
        </is>
      </c>
      <c r="C47" s="15">
        <f>AVERAGE(E26:E27)</f>
        <v/>
      </c>
      <c r="D47" s="16">
        <f>COUNT(E26:E27)</f>
        <v/>
      </c>
      <c r="E47" s="17">
        <f>C47-C54</f>
        <v/>
      </c>
      <c r="F47" s="17">
        <f>E26-E27</f>
        <v/>
      </c>
    </row>
    <row r="48">
      <c r="A48" t="inlineStr">
        <is>
          <t>Agent</t>
        </is>
      </c>
      <c r="B48" t="inlineStr">
        <is>
          <t>A. Ferreira · Billing C</t>
        </is>
      </c>
      <c r="C48" s="15">
        <f>AVERAGE(E28:E29)</f>
        <v/>
      </c>
      <c r="D48" s="16">
        <f>COUNT(E28:E29)</f>
        <v/>
      </c>
      <c r="E48" s="17">
        <f>C48-C54</f>
        <v/>
      </c>
      <c r="F48" s="17">
        <f>E28-E29</f>
        <v/>
      </c>
    </row>
    <row r="49">
      <c r="A49" t="inlineStr">
        <is>
          <t>Agent</t>
        </is>
      </c>
      <c r="B49" t="inlineStr">
        <is>
          <t>K. Nowak · Billing D</t>
        </is>
      </c>
      <c r="C49" s="15">
        <f>AVERAGE(E30:E31)</f>
        <v/>
      </c>
      <c r="D49" s="16">
        <f>COUNT(E30:E31)</f>
        <v/>
      </c>
      <c r="E49" s="17">
        <f>C49-C55</f>
        <v/>
      </c>
      <c r="F49" s="17">
        <f>E30-E31</f>
        <v/>
      </c>
    </row>
    <row r="50">
      <c r="A50" t="inlineStr">
        <is>
          <t>Agent</t>
        </is>
      </c>
      <c r="B50" t="inlineStr">
        <is>
          <t>E. Duarte · Billing D</t>
        </is>
      </c>
      <c r="C50" s="15">
        <f>AVERAGE(E32:E33)</f>
        <v/>
      </c>
      <c r="D50" s="16">
        <f>COUNT(E32:E33)</f>
        <v/>
      </c>
      <c r="E50" s="17">
        <f>C50-C55</f>
        <v/>
      </c>
      <c r="F50" s="17">
        <f>E32-E33</f>
        <v/>
      </c>
    </row>
    <row r="51">
      <c r="A51" t="inlineStr">
        <is>
          <t>Agent</t>
        </is>
      </c>
      <c r="B51" t="inlineStr">
        <is>
          <t>N. Osei · Billing D</t>
        </is>
      </c>
      <c r="C51" s="15">
        <f>AVERAGE(E34:E35)</f>
        <v/>
      </c>
      <c r="D51" s="16">
        <f>COUNT(E34:E35)</f>
        <v/>
      </c>
      <c r="E51" s="17">
        <f>C51-C55</f>
        <v/>
      </c>
      <c r="F51" s="17">
        <f>E34-E35</f>
        <v/>
      </c>
    </row>
    <row r="52">
      <c r="A52" t="inlineStr">
        <is>
          <t>Team</t>
        </is>
      </c>
      <c r="B52" t="inlineStr">
        <is>
          <t>Billing A · Manchester</t>
        </is>
      </c>
      <c r="C52" s="15">
        <f>AVERAGE(E12:E17)</f>
        <v/>
      </c>
      <c r="D52" s="16">
        <f>COUNT(E12:E17)</f>
        <v/>
      </c>
      <c r="E52" s="17">
        <f>C52-C56</f>
        <v/>
      </c>
    </row>
    <row r="53">
      <c r="A53" t="inlineStr">
        <is>
          <t>Team</t>
        </is>
      </c>
      <c r="B53" t="inlineStr">
        <is>
          <t>Billing B · Manchester</t>
        </is>
      </c>
      <c r="C53" s="15">
        <f>AVERAGE(E18:E23)</f>
        <v/>
      </c>
      <c r="D53" s="16">
        <f>COUNT(E18:E23)</f>
        <v/>
      </c>
      <c r="E53" s="17">
        <f>C53-C56</f>
        <v/>
      </c>
    </row>
    <row r="54">
      <c r="A54" t="inlineStr">
        <is>
          <t>Team</t>
        </is>
      </c>
      <c r="B54" t="inlineStr">
        <is>
          <t>Billing C · Kraków</t>
        </is>
      </c>
      <c r="C54" s="15">
        <f>AVERAGE(E24:E29)</f>
        <v/>
      </c>
      <c r="D54" s="16">
        <f>COUNT(E24:E29)</f>
        <v/>
      </c>
      <c r="E54" s="17">
        <f>C54-C57</f>
        <v/>
      </c>
    </row>
    <row r="55">
      <c r="A55" t="inlineStr">
        <is>
          <t>Team</t>
        </is>
      </c>
      <c r="B55" t="inlineStr">
        <is>
          <t>Billing D · Kraków</t>
        </is>
      </c>
      <c r="C55" s="15">
        <f>AVERAGE(E30:E35)</f>
        <v/>
      </c>
      <c r="D55" s="16">
        <f>COUNT(E30:E35)</f>
        <v/>
      </c>
      <c r="E55" s="17">
        <f>C55-C57</f>
        <v/>
      </c>
    </row>
    <row r="56">
      <c r="A56" t="inlineStr">
        <is>
          <t>Site</t>
        </is>
      </c>
      <c r="B56" t="inlineStr">
        <is>
          <t>Manchester</t>
        </is>
      </c>
      <c r="C56" s="15">
        <f>AVERAGE(E12:E23)</f>
        <v/>
      </c>
      <c r="D56" s="16">
        <f>COUNT(E12:E23)</f>
        <v/>
      </c>
      <c r="E56" s="17">
        <f>C56-C58</f>
        <v/>
      </c>
    </row>
    <row r="57">
      <c r="A57" t="inlineStr">
        <is>
          <t>Site</t>
        </is>
      </c>
      <c r="B57" t="inlineStr">
        <is>
          <t>Kraków</t>
        </is>
      </c>
      <c r="C57" s="15">
        <f>AVERAGE(E24:E35)</f>
        <v/>
      </c>
      <c r="D57" s="16">
        <f>COUNT(E24:E35)</f>
        <v/>
      </c>
      <c r="E57" s="17">
        <f>C57-C58</f>
        <v/>
      </c>
    </row>
    <row r="58">
      <c r="A58" s="8" t="inlineStr">
        <is>
          <t>All contacts</t>
        </is>
      </c>
      <c r="B58" s="8" t="inlineStr">
        <is>
          <t>Grand mean</t>
        </is>
      </c>
      <c r="C58" s="15">
        <f>AVERAGE(E12:E35)</f>
        <v/>
      </c>
      <c r="D58" s="16">
        <f>COUNT(E12:E35)</f>
        <v/>
      </c>
    </row>
    <row r="59" ht="60" customHeight="1">
      <c r="A59" s="10"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ht="168" customHeight="1">
      <c r="A61" s="18" t="inlineStr">
        <is>
          <t>STEP 2 — which family owns the variation  ·  Key: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Degrees of freedom = the number of independent comparisons that family supports: 1 between two sites, 2 between the three teams inside them (C63, C64). It is what a sum of squares is divided by to get a mean square, and it is why a family measured across two levels can never be pinned down as tightly as one measured across ten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Share of total = that family's variance as a percentage of the total variance, which is how a multi-vari study apportions the spread between sites, teams, agents and the noise within one agent. The shares are of VARIANCE, so they add to 100% while the standard deviations they come from do not. A family clamped to zero has not been shown to be identical — only that this sample cannot separate it from the family inside it</t>
        </is>
      </c>
      <c r="B61" s="7" t="n"/>
      <c r="C61" s="7" t="n"/>
      <c r="D61" s="7" t="n"/>
      <c r="E61" s="7" t="n"/>
      <c r="F61" s="7" t="n"/>
      <c r="G61" s="7" t="n"/>
      <c r="H61" s="7" t="n"/>
    </row>
    <row r="62" ht="42" customHeight="1">
      <c r="A62" s="12" t="inlineStr">
        <is>
          <t>Family</t>
        </is>
      </c>
      <c r="B62" s="12" t="inlineStr">
        <is>
          <t>Sum of squares</t>
        </is>
      </c>
      <c r="C62" s="12" t="inlineStr">
        <is>
          <t>Degrees of freedom</t>
        </is>
      </c>
      <c r="D62" s="12" t="inlineStr">
        <is>
          <t>Mean square</t>
        </is>
      </c>
      <c r="E62" s="12" t="inlineStr">
        <is>
          <t>Variance component</t>
        </is>
      </c>
      <c r="F62" s="12" t="inlineStr">
        <is>
          <t>Share of total</t>
        </is>
      </c>
      <c r="G62" s="12" t="inlineStr">
        <is>
          <t>What this family means</t>
        </is>
      </c>
      <c r="H62" s="12" t="inlineStr"/>
    </row>
    <row r="63" ht="30" customHeight="1">
      <c r="A63" s="8" t="inlineStr">
        <is>
          <t>Between sites</t>
        </is>
      </c>
      <c r="B63" s="19">
        <f>12*SUMSQ(E56:E57)</f>
        <v/>
      </c>
      <c r="C63" s="16" t="n">
        <v>1</v>
      </c>
      <c r="D63" s="19">
        <f>B63/C63</f>
        <v/>
      </c>
      <c r="E63" s="19">
        <f>MAX(0,(D63-D64)/12)</f>
        <v/>
      </c>
      <c r="F63" s="20">
        <f>IFERROR(E63/SUM($E$63:$E$66),"")</f>
        <v/>
      </c>
      <c r="G63" s="10" t="inlineStr">
        <is>
          <t>Manchester against Kraków, once the teams and agents inside them are accounted for. A big share here means the two sites are running different processes.</t>
        </is>
      </c>
    </row>
    <row r="64" ht="30" customHeight="1">
      <c r="A64" s="8" t="inlineStr">
        <is>
          <t>Between teams, within a site</t>
        </is>
      </c>
      <c r="B64" s="19">
        <f>6*SUMSQ(E52:E55)</f>
        <v/>
      </c>
      <c r="C64" s="16" t="n">
        <v>2</v>
      </c>
      <c r="D64" s="19">
        <f>B64/C64</f>
        <v/>
      </c>
      <c r="E64" s="19">
        <f>MAX(0,(D64-D65)/6)</f>
        <v/>
      </c>
      <c r="F64" s="20">
        <f>IFERROR(E64/SUM($E$63:$E$66),"")</f>
        <v/>
      </c>
      <c r="G64" s="10" t="inlineStr">
        <is>
          <t>One billing team against another in the same building — different team leader, different coaching, same everything else.</t>
        </is>
      </c>
    </row>
    <row r="65" ht="30" customHeight="1">
      <c r="A65" s="8" t="inlineStr">
        <is>
          <t>Between agents, within a team</t>
        </is>
      </c>
      <c r="B65" s="19">
        <f>2*SUMSQ(E40:E51)</f>
        <v/>
      </c>
      <c r="C65" s="16" t="n">
        <v>8</v>
      </c>
      <c r="D65" s="19">
        <f>B65/C65</f>
        <v/>
      </c>
      <c r="E65" s="19">
        <f>MAX(0,(D65-D66)/2)</f>
        <v/>
      </c>
      <c r="F65" s="20">
        <f>IFERROR(E65/SUM($E$63:$E$66),"")</f>
        <v/>
      </c>
      <c r="G65" s="10" t="inlineStr">
        <is>
          <t>One agent against their own team-mates. A big share here is a training, tooling or method problem, and it is the family a site-level project cannot touch.</t>
        </is>
      </c>
    </row>
    <row r="66" ht="45" customHeight="1">
      <c r="A66" s="8" t="inlineStr">
        <is>
          <t>Within one agent, contact to contact</t>
        </is>
      </c>
      <c r="B66" s="19">
        <f>SUMSQ(F40:F51)/2</f>
        <v/>
      </c>
      <c r="C66" s="16" t="n">
        <v>12</v>
      </c>
      <c r="D66" s="19">
        <f>B66/C66</f>
        <v/>
      </c>
      <c r="E66" s="19">
        <f>D66</f>
        <v/>
      </c>
      <c r="F66" s="20">
        <f>IFERROR(E66/SUM($E$63:$E$66),"")</f>
        <v/>
      </c>
      <c r="G66" s="10" t="inlineStr">
        <is>
          <t>The same agent, two contacts, one week. Whatever is left after everything you can name — contact mix, system waits, luck. It sets the floor on what any of the families above can be measured against.</t>
        </is>
      </c>
    </row>
    <row r="67" ht="30" customHeight="1">
      <c r="A67" s="8" t="inlineStr">
        <is>
          <t>TOTAL</t>
        </is>
      </c>
      <c r="B67" s="19">
        <f>DEVSQ(E12:E35)</f>
        <v/>
      </c>
      <c r="C67" s="16" t="n">
        <v>23</v>
      </c>
      <c r="F67" s="20">
        <f>IFERROR(SUM(F63:F66),"")</f>
        <v/>
      </c>
      <c r="G67" s="10" t="inlineStr">
        <is>
          <t>The four sums of squares add up to this one exactly. If they ever do not, the design has stopped being balanced.</t>
        </is>
      </c>
    </row>
    <row r="68" ht="90" customHeight="1">
      <c r="A68" s="10"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0"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6" t="inlineStr">
        <is>
          <t>STEP 3 — what it tells you to do next</t>
        </is>
      </c>
      <c r="B71" s="7" t="n"/>
      <c r="C71" s="7" t="n"/>
      <c r="D71" s="7" t="n"/>
      <c r="E71" s="7" t="n"/>
      <c r="F71" s="7" t="n"/>
      <c r="G71" s="7" t="n"/>
      <c r="H71" s="7" t="n"/>
    </row>
    <row r="72" ht="30" customHeight="1">
      <c r="A72" s="8" t="inlineStr">
        <is>
          <t>Look here first</t>
        </is>
      </c>
      <c r="B72" s="21">
        <f>IFERROR(INDEX($A$63:$A$66,MATCH(MAX($F$63:$F$66),$F$63:$F$66,0)),"")</f>
        <v/>
      </c>
      <c r="C72" s="10" t="inlineStr">
        <is>
          <t>The family holding the largest share. Scope your project to this family — an improvement aimed anywhere else is competing with variation it cannot reach.</t>
        </is>
      </c>
    </row>
    <row r="73" ht="30" customHeight="1">
      <c r="A73" s="8" t="inlineStr">
        <is>
          <t>Biggest gap between two agents (s)</t>
        </is>
      </c>
      <c r="B73" s="15">
        <f>IFERROR(MAX(C40:C51)-MIN(C40:C51),"")</f>
        <v/>
      </c>
      <c r="C73" s="10" t="inlineStr">
        <is>
          <t>Fastest agent against slowest, in seconds of handle time. This is the number to take to the process owner, because it is one they can picture.</t>
        </is>
      </c>
    </row>
    <row r="74" ht="15" customHeight="1">
      <c r="A74" s="8" t="inlineStr">
        <is>
          <t>Is that gap worth chasing?</t>
        </is>
      </c>
      <c r="B74" s="21">
        <f>IF(B73="","",IF(B73&gt;=$B$8,"YES — larger than the difference you said would matter","NO — smaller than the difference you said would matter"))</f>
        <v/>
      </c>
      <c r="C74" s="10" t="inlineStr">
        <is>
          <t>Measured against the threshold you set at the top, before you saw the data.</t>
        </is>
      </c>
    </row>
    <row r="75" ht="45" customHeight="1">
      <c r="A75" s="8" t="inlineStr">
        <is>
          <t>Contacts per agent needed to halve the noise</t>
        </is>
      </c>
      <c r="B75" s="15">
        <f>IFERROR(ROUNDUP(4*E66/(($B$8/2)^2),0),"")</f>
        <v/>
      </c>
      <c r="C75" s="10" t="inlineStr">
        <is>
          <t>If the answer above is too close to call, this is roughly how many contacts per agent the next study needs to resolve half your threshold. It grows with the square, which is why precision gets expensive quickly.</t>
        </is>
      </c>
    </row>
  </sheetData>
  <mergeCells count="24">
    <mergeCell ref="A59:H59"/>
    <mergeCell ref="C75:H75"/>
    <mergeCell ref="G67:H67"/>
    <mergeCell ref="A36:H36"/>
    <mergeCell ref="A1:H1"/>
    <mergeCell ref="A61:H61"/>
    <mergeCell ref="A69:H69"/>
    <mergeCell ref="C8:H8"/>
    <mergeCell ref="G66:H66"/>
    <mergeCell ref="C7:H7"/>
    <mergeCell ref="C72:H72"/>
    <mergeCell ref="A2:H2"/>
    <mergeCell ref="A71:H71"/>
    <mergeCell ref="G65:H65"/>
    <mergeCell ref="G64:H64"/>
    <mergeCell ref="A4:H4"/>
    <mergeCell ref="C6:H6"/>
    <mergeCell ref="C5:H5"/>
    <mergeCell ref="A38:H38"/>
    <mergeCell ref="G63:H63"/>
    <mergeCell ref="C74:H74"/>
    <mergeCell ref="A10:H10"/>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