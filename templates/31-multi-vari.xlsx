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use this" sheetId="1" state="visible" r:id="rId1"/>
    <sheet name="Multi-vari study" sheetId="2" state="visible" r:id="rId2"/>
  </sheets>
  <definedNames/>
  <calcPr calcId="124519" fullCalcOnLoad="1"/>
</workbook>
</file>

<file path=xl/styles.xml><?xml version="1.0" encoding="utf-8"?>
<styleSheet xmlns="http://schemas.openxmlformats.org/spreadsheetml/2006/main">
  <numFmts count="3">
    <numFmt numFmtId="164" formatCode="+#,##0;−#,##0;0"/>
    <numFmt numFmtId="165" formatCode="#,##0.0"/>
    <numFmt numFmtId="166" formatCode="0.0%"/>
  </numFmts>
  <fonts count="7">
    <font>
      <name val="Calibri"/>
      <family val="2"/>
      <color theme="1"/>
      <sz val="11"/>
      <scheme val="minor"/>
    </font>
    <font>
      <b val="1"/>
      <color rgb="FFFFFFFF"/>
      <sz val="15"/>
    </font>
    <font>
      <i val="1"/>
      <color rgb="FF6B7280"/>
      <sz val="9"/>
    </font>
    <font>
      <b val="1"/>
      <sz val="11"/>
    </font>
    <font>
      <b val="1"/>
      <color rgb="FFFFFFFF"/>
      <sz val="10"/>
    </font>
    <font>
      <color rgb="FF1D4ED8"/>
      <sz val="11"/>
    </font>
    <font>
      <sz val="11"/>
    </font>
  </fonts>
  <fills count="8">
    <fill>
      <patternFill/>
    </fill>
    <fill>
      <patternFill patternType="gray125"/>
    </fill>
    <fill>
      <patternFill patternType="solid">
        <fgColor rgb="FF151B24"/>
      </patternFill>
    </fill>
    <fill>
      <patternFill patternType="solid">
        <fgColor rgb="FFEEF1F6"/>
      </patternFill>
    </fill>
    <fill>
      <patternFill patternType="solid">
        <fgColor rgb="FFFFF9E3"/>
      </patternFill>
    </fill>
    <fill>
      <patternFill patternType="solid">
        <fgColor rgb="FF333C49"/>
      </patternFill>
    </fill>
    <fill>
      <patternFill patternType="solid">
        <fgColor rgb="FFECFAEF"/>
      </patternFill>
    </fill>
    <fill>
      <patternFill patternType="solid">
        <fgColor rgb="FFF2F7FF"/>
      </patternFill>
    </fill>
  </fills>
  <borders count="2">
    <border>
      <left/>
      <right/>
      <top/>
      <bottom/>
      <diagonal/>
    </border>
    <border>
      <bottom style="thin">
        <color rgb="FFD8DEE7"/>
      </bottom>
    </border>
  </borders>
  <cellStyleXfs count="1">
    <xf numFmtId="0" fontId="0" fillId="0" borderId="0"/>
  </cellStyleXfs>
  <cellXfs count="22">
    <xf numFmtId="0" fontId="0" fillId="0" borderId="0" pivotButton="0" quotePrefix="0" xfId="0"/>
    <xf numFmtId="0" fontId="3" fillId="0" borderId="0" applyAlignment="1" pivotButton="0" quotePrefix="0" xfId="0">
      <alignment vertical="top" wrapText="1"/>
    </xf>
    <xf numFmtId="0" fontId="6" fillId="0" borderId="0" applyAlignment="1" pivotButton="0" quotePrefix="0" xfId="0">
      <alignment vertical="top" wrapText="1"/>
    </xf>
    <xf numFmtId="0" fontId="1" fillId="2" borderId="0" pivotButton="0" quotePrefix="0" xfId="0"/>
    <xf numFmtId="0" fontId="0" fillId="2" borderId="0" pivotButton="0" quotePrefix="0" xfId="0"/>
    <xf numFmtId="0" fontId="2" fillId="0" borderId="0" pivotButton="0" quotePrefix="0" xfId="0"/>
    <xf numFmtId="0" fontId="3" fillId="3" borderId="0" pivotButton="0" quotePrefix="0" xfId="0"/>
    <xf numFmtId="0" fontId="0" fillId="3" borderId="0" pivotButton="0" quotePrefix="0" xfId="0"/>
    <xf numFmtId="0" fontId="3" fillId="0" borderId="0" pivotButton="0" quotePrefix="0" xfId="0"/>
    <xf numFmtId="0" fontId="0" fillId="4" borderId="1" pivotButton="0" quotePrefix="0" xfId="0"/>
    <xf numFmtId="0" fontId="2" fillId="0" borderId="0" applyAlignment="1" pivotButton="0" quotePrefix="0" xfId="0">
      <alignment vertical="center" wrapText="1"/>
    </xf>
    <xf numFmtId="3" fontId="0" fillId="4" borderId="1" pivotButton="0" quotePrefix="0" xfId="0"/>
    <xf numFmtId="0" fontId="4" fillId="5" borderId="0" applyAlignment="1" pivotButton="0" quotePrefix="0" xfId="0">
      <alignment vertical="center" wrapText="1"/>
    </xf>
    <xf numFmtId="0" fontId="0" fillId="6" borderId="1" pivotButton="0" quotePrefix="0" xfId="0"/>
    <xf numFmtId="3" fontId="0" fillId="6" borderId="1" pivotButton="0" quotePrefix="0" xfId="0"/>
    <xf numFmtId="3" fontId="5" fillId="7" borderId="1" pivotButton="0" quotePrefix="0" xfId="0"/>
    <xf numFmtId="1" fontId="5" fillId="7" borderId="1" pivotButton="0" quotePrefix="0" xfId="0"/>
    <xf numFmtId="164" fontId="5" fillId="7" borderId="1" pivotButton="0" quotePrefix="0" xfId="0"/>
    <xf numFmtId="0" fontId="3" fillId="3" borderId="0" applyAlignment="1" pivotButton="0" quotePrefix="0" xfId="0">
      <alignment vertical="center" wrapText="1"/>
    </xf>
    <xf numFmtId="165" fontId="5" fillId="7" borderId="1" pivotButton="0" quotePrefix="0" xfId="0"/>
    <xf numFmtId="166" fontId="5" fillId="7" borderId="1" pivotButton="0" quotePrefix="0" xfId="0"/>
    <xf numFmtId="0" fontId="5" fillId="7"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roundedCorners val="0"/>
  <style val="10"/>
  <chart>
    <title>
      <tx>
        <rich>
          <a:bodyPr/>
          <a:p>
            <a:pPr>
              <a:defRPr/>
            </a:pPr>
            <a:r>
              <a:t>Where the variation lives — share of the total</a:t>
            </a:r>
          </a:p>
        </rich>
      </tx>
    </title>
    <plotArea>
      <barChart>
        <barDir val="bar"/>
        <grouping val="clustered"/>
        <ser>
          <idx val="0"/>
          <order val="0"/>
          <tx>
            <v>Share of total variation</v>
          </tx>
          <spPr>
            <a:ln>
              <a:prstDash val="solid"/>
            </a:ln>
          </spPr>
          <invertIfNegative val="0"/>
          <dPt>
            <idx val="0"/>
            <spPr>
              <a:solidFill>
                <a:srgbClr val="6B4FA0"/>
              </a:solidFill>
              <a:ln>
                <a:prstDash val="solid"/>
              </a:ln>
            </spPr>
          </dPt>
          <dPt>
            <idx val="1"/>
            <spPr>
              <a:solidFill>
                <a:srgbClr val="3F8F5A"/>
              </a:solidFill>
              <a:ln>
                <a:prstDash val="solid"/>
              </a:ln>
            </spPr>
          </dPt>
          <dPt>
            <idx val="2"/>
            <spPr>
              <a:solidFill>
                <a:srgbClr val="C0392B"/>
              </a:solidFill>
              <a:ln>
                <a:prstDash val="solid"/>
              </a:ln>
            </spPr>
          </dPt>
          <dPt>
            <idx val="3"/>
            <spPr>
              <a:solidFill>
                <a:srgbClr val="B45309"/>
              </a:solidFill>
              <a:ln>
                <a:prstDash val="solid"/>
              </a:ln>
            </spPr>
          </dPt>
          <cat>
            <numRef>
              <f>'Multi-vari study'!$A$63:$A$66</f>
            </numRef>
          </cat>
          <val>
            <numRef>
              <f>'Multi-vari study'!$F$63:$F$66</f>
            </numRef>
          </val>
        </ser>
        <gapWidth val="60"/>
        <axId val="10"/>
        <axId val="100"/>
      </barChart>
      <catAx>
        <axId val="10"/>
        <scaling>
          <orientation val="minMax"/>
        </scaling>
        <delete val="0"/>
        <axPos val="l"/>
        <majorTickMark val="none"/>
        <minorTickMark val="none"/>
        <tickLblPos val="low"/>
        <crossAx val="100"/>
        <lblOffset val="100"/>
        <tickLblSkip val="1"/>
        <tickMarkSkip val="1"/>
      </catAx>
      <valAx>
        <axId val="100"/>
        <scaling>
          <orientation val="minMax"/>
        </scaling>
        <delete val="0"/>
        <axPos val="l"/>
        <numFmt formatCode="0%" sourceLinked="0"/>
        <majorTickMark val="none"/>
        <minorTickMark val="none"/>
        <tickLblPos val="nextTo"/>
        <crossAx val="10"/>
      </valAx>
    </plotArea>
    <plotVisOnly val="1"/>
    <dispBlanksAs val="gap"/>
  </chart>
</chartSpace>
</file>

<file path=xl/charts/chart2.xml><?xml version="1.0" encoding="utf-8"?>
<chartSpace xmlns:a="http://schemas.openxmlformats.org/drawingml/2006/main" xmlns="http://schemas.openxmlformats.org/drawingml/2006/chart">
  <roundedCorners val="0"/>
  <style val="10"/>
  <chart>
    <title>
      <tx>
        <rich>
          <a:bodyPr/>
          <a:p>
            <a:pPr>
              <a:defRPr/>
            </a:pPr>
            <a:r>
              <a:t>Mean handle time by agent — the multi-vari picture</a:t>
            </a:r>
          </a:p>
        </rich>
      </tx>
    </title>
    <plotArea>
      <barChart>
        <barDir val="col"/>
        <grouping val="clustered"/>
        <ser>
          <idx val="0"/>
          <order val="0"/>
          <tx>
            <v>Mean handle time (s)</v>
          </tx>
          <spPr>
            <a:solidFill>
              <a:srgbClr val="1F4E79"/>
            </a:solidFill>
            <a:ln>
              <a:solidFill>
                <a:srgbClr val="1F4E79"/>
              </a:solidFill>
              <a:prstDash val="solid"/>
            </a:ln>
          </spPr>
          <invertIfNegative val="0"/>
          <cat>
            <numRef>
              <f>'Multi-vari study'!$B$40:$B$51</f>
            </numRef>
          </cat>
          <val>
            <numRef>
              <f>'Multi-vari study'!$C$40:$C$51</f>
            </numRef>
          </val>
        </ser>
        <gapWidth val="60"/>
        <axId val="10"/>
        <axId val="100"/>
      </barChart>
      <catAx>
        <axId val="10"/>
        <scaling>
          <orientation val="minMax"/>
        </scaling>
        <delete val="0"/>
        <axPos val="l"/>
        <majorTickMark val="none"/>
        <minorTickMark val="none"/>
        <tickLblPos val="low"/>
        <crossAx val="100"/>
        <lblOffset val="100"/>
        <tickLblSkip val="1"/>
        <tickMarkSkip val="1"/>
      </catAx>
      <valAx>
        <axId val="100"/>
        <scaling>
          <orientation val="minMax"/>
          <min val="0"/>
        </scaling>
        <delete val="0"/>
        <axPos val="l"/>
        <majorGridlines/>
        <majorTickMark val="none"/>
        <minorTickMark val="none"/>
        <tickLblPos val="nextTo"/>
        <crossAx val="10"/>
      </valAx>
    </plotArea>
    <plotVisOnly val="1"/>
    <dispBlanksAs val="gap"/>
  </chart>
</chartSpace>
</file>

<file path=xl/comments/comment1.xml><?xml version="1.0" encoding="utf-8"?>
<comments xmlns="http://schemas.openxmlformats.org/spreadsheetml/2006/main">
  <authors>
    <author>Template</author>
  </authors>
  <commentList>
    <comment ref="B5" authorId="0" shapeId="0">
      <text>
        <t>One measurement, with its start and stop written down. A multi-vari study on 'productivity' partitions an opinion.</t>
      </text>
    </comment>
    <comment ref="B6" authorId="0" shapeId="0">
      <text>
        <t>Each family has to sit INSIDE the one before it. Agents belong to one team, teams to one site. If a family cuts across the others — shift, say, or contact type — it is not nested and this sheet will mis-attribute it.</t>
      </text>
    </comment>
    <comment ref="B7" authorId="0" shapeId="0">
      <text>
        <t>Consecutive and close together on purpose: the innermost family is meant to capture contact-to-contact variation, not the drift between March and June.</t>
      </text>
    </comment>
    <comment ref="B8" authorId="0" shapeId="0">
      <text>
        <t>The gap you would actually change something for. Set it before you look at the answer, or you will set it to whatever the answer turned out to be.</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2</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oneCellAnchor>
    <from>
      <col>8</col>
      <colOff>0</colOff>
      <row>20</row>
      <rowOff>0</rowOff>
    </from>
    <ext cx="5400000" cy="270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B40"/>
  <sheetViews>
    <sheetView showGridLines="0" workbookViewId="0">
      <selection activeCell="A1" sqref="A1"/>
    </sheetView>
  </sheetViews>
  <sheetFormatPr baseColWidth="8" defaultRowHeight="15"/>
  <cols>
    <col width="2" customWidth="1" min="1" max="1"/>
    <col width="108" customWidth="1" min="2" max="2"/>
  </cols>
  <sheetData>
    <row r="1"/>
    <row r="2">
      <c r="B2" s="1" t="inlineStr">
        <is>
          <t>Yellow cells</t>
        </is>
      </c>
    </row>
    <row r="3" ht="15" customHeight="1">
      <c r="B3" s="2" t="inlineStr">
        <is>
          <t>You fill these in.</t>
        </is>
      </c>
    </row>
    <row r="4">
      <c r="B4" s="1" t="inlineStr">
        <is>
          <t>Blue cells</t>
        </is>
      </c>
    </row>
    <row r="5" ht="15" customHeight="1">
      <c r="B5" s="2" t="inlineStr">
        <is>
          <t>Calculated for you. Do not type over them — they contain formulas.</t>
        </is>
      </c>
    </row>
    <row r="6">
      <c r="B6" s="1" t="inlineStr">
        <is>
          <t>Green cells</t>
        </is>
      </c>
    </row>
    <row r="7" ht="30" customHeight="1">
      <c r="B7" s="2" t="inlineStr">
        <is>
          <t>A worked example, so you can see the expected format and the charts say something the moment you open the file. Replace it with your own data when you start.</t>
        </is>
      </c>
    </row>
    <row r="8">
      <c r="B8" s="1" t="inlineStr">
        <is>
          <t>What this workbook is for</t>
        </is>
      </c>
    </row>
    <row r="9" ht="75" customHeight="1">
      <c r="B9" s="2" t="inlineStr">
        <is>
          <t>A multi-vari study is the cheapest thing you can run in Measure, and the tool library had nowhere to record one. It answers a single question before you spend anything: of all the variation in your metric, how much sits between sites, how much between teams, how much between agents, and how much inside one agent from one contact to the next. You cannot improve a family you have not found, and every hour spent improving the wrong one is gone.</t>
        </is>
      </c>
    </row>
    <row r="10">
      <c r="B10" s="1" t="inlineStr">
        <is>
          <t>Why the design has to be balanced</t>
        </is>
      </c>
    </row>
    <row r="11" ht="60" customHeight="1">
      <c r="B11" s="2" t="inlineStr">
        <is>
          <t>Two sites, two teams in each, three agents on each team, two contacts from each agent. The same number everywhere. The partition works by comparing mean squares, and a mean square carries the variance components it is supposed to only when the cells are equal in size. An unbalanced extract still produces numbers; they are just not the numbers on the label.</t>
        </is>
      </c>
    </row>
    <row r="12">
      <c r="B12" s="1" t="inlineStr">
        <is>
          <t>Nested, not crossed</t>
        </is>
      </c>
    </row>
    <row r="13" ht="75" customHeight="1">
      <c r="B13" s="2" t="inlineStr">
        <is>
          <t>Each family must sit inside the one before it. Agent R. Okonjo belongs to Billing A and Billing A belongs to Manchester, so 'agent' is nested in 'team' and 'team' in 'site'. Shift and contact type are NOT nested — every shift happens at every site — and putting one of them in this sheet would hand its variation to whichever column you happened to type it in. For a crossed factor, use 24-doe-design-matrix.xlsx or stratify and run 13-hypothesis-test-log.xlsx.</t>
        </is>
      </c>
    </row>
    <row r="14">
      <c r="B14" s="1" t="inlineStr">
        <is>
          <t>What the worked example found</t>
        </is>
      </c>
    </row>
    <row r="15" ht="75" customHeight="1">
      <c r="B15" s="2" t="inlineStr">
        <is>
          <t>Sixty-three per cent of the variation is between agents on the same team, and another thirty-two is inside one agent from one contact to the next. Sites hold four and a half per cent, teams none that this sample can see. Read that as an instruction: the fastest agent averages 344 seconds and the slowest 538, on the same queue, at the same site, under the same team leader. Whatever the difference between those two people is, it is worth more than any site-level programme in the plan.</t>
        </is>
      </c>
    </row>
    <row r="16">
      <c r="B16" s="1" t="inlineStr">
        <is>
          <t>The trap</t>
        </is>
      </c>
    </row>
    <row r="17" ht="60" customHeight="1">
      <c r="B17" s="2" t="inlineStr">
        <is>
          <t>A family with a large share is where the variation IS, not where the CAUSE is. 'Between agents' does not mean the agents are the problem — in the worked case it turned out to be which of them had been shown the deferred-close rule. The study tells you which door to open. What is behind it is still a root cause investigation.</t>
        </is>
      </c>
    </row>
    <row r="18">
      <c r="B18" s="1" t="inlineStr">
        <is>
          <t>Where the numbers go next</t>
        </is>
      </c>
    </row>
    <row r="19" ht="60" customHeight="1">
      <c r="B19" s="2" t="inlineStr">
        <is>
          <t>The family shares and the agent-to-agent gap belong in 14-root-cause-evidence-pack.md as the evidence for where you scoped. If the answer was 'within one agent', the next step is usually 29-msa-gage-rr.xlsx — measurement error lands in exactly that family and looks identical to it. If it was 'between agents', 30-regression.xlsx will tell you which of their measurable differences tracks the gap.</t>
        </is>
      </c>
    </row>
    <row r="20"/>
    <row r="21"/>
    <row r="22"/>
    <row r="23"/>
    <row r="24"/>
    <row r="25"/>
    <row r="26"/>
    <row r="27"/>
    <row r="28"/>
    <row r="29"/>
    <row r="30"/>
    <row r="31"/>
    <row r="32"/>
    <row r="33"/>
    <row r="34"/>
    <row r="35"/>
    <row r="36"/>
    <row r="37"/>
    <row r="38"/>
    <row r="39"/>
    <row r="40"/>
  </sheetData>
  <mergeCells count="3">
    <mergeCell ref="B15"/>
    <mergeCell ref="B9"/>
    <mergeCell ref="B13"/>
  </mergeCells>
  <printOptions horizontalCentered="1"/>
  <pageMargins left="0.4" right="0.4" top="0.5" bottom="0.5"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H75"/>
  <sheetViews>
    <sheetView showGridLines="0" workbookViewId="0">
      <pane ySplit="11" topLeftCell="A12" activePane="bottomLeft" state="frozen"/>
      <selection pane="bottomLeft" activeCell="A1" sqref="A1"/>
    </sheetView>
  </sheetViews>
  <sheetFormatPr baseColWidth="8" defaultRowHeight="15"/>
  <cols>
    <col width="34" customWidth="1" min="1" max="1"/>
    <col width="20" customWidth="1" min="2" max="2"/>
    <col width="18" customWidth="1" min="3" max="3"/>
    <col width="15" customWidth="1" min="4" max="4"/>
    <col width="17" customWidth="1" min="5" max="5"/>
    <col width="14" customWidth="1" min="6" max="6"/>
    <col width="50" customWidth="1" min="7" max="7"/>
    <col width="12" customWidth="1" min="8" max="8"/>
  </cols>
  <sheetData>
    <row r="1" ht="26" customHeight="1">
      <c r="A1" s="3" t="inlineStr">
        <is>
          <t>Multi-vari study — which family of variation owns the problem</t>
        </is>
      </c>
      <c r="B1" s="4" t="n"/>
      <c r="C1" s="4" t="n"/>
      <c r="D1" s="4" t="n"/>
      <c r="E1" s="4" t="n"/>
      <c r="F1" s="4" t="n"/>
      <c r="G1" s="4" t="n"/>
      <c r="H1" s="4" t="n"/>
    </row>
    <row r="2">
      <c r="A2" s="5" t="inlineStr">
        <is>
          <t>Before you improve anything, find out where the variation lives: between sites, between teams, between agents, or inside one agent from one contact to the next. Improving the wrong family is the most expensive mistake in the Measure phase. The green block is a worked example — replace it with your own extract.</t>
        </is>
      </c>
    </row>
    <row r="3"/>
    <row r="4">
      <c r="A4" s="6" t="inlineStr">
        <is>
          <t>THE QUESTION — what you are partitioning, and how the contacts were drawn</t>
        </is>
      </c>
      <c r="B4" s="7" t="n"/>
      <c r="C4" s="7" t="n"/>
      <c r="D4" s="7" t="n"/>
      <c r="E4" s="7" t="n"/>
      <c r="F4" s="7" t="n"/>
      <c r="G4" s="7" t="n"/>
      <c r="H4" s="7" t="n"/>
    </row>
    <row r="5" ht="30" customHeight="1">
      <c r="A5" s="8" t="inlineStr">
        <is>
          <t>What you are measuring</t>
        </is>
      </c>
      <c r="B5" s="9" t="inlineStr">
        <is>
          <t>Handle time in seconds, CRM open to CRM close</t>
        </is>
      </c>
      <c r="C5" s="10" t="inlineStr">
        <is>
          <t>One measurement, with its start and stop written down. A multi-vari study on 'productivity' partitions an opinion.</t>
        </is>
      </c>
    </row>
    <row r="6" ht="45" customHeight="1">
      <c r="A6" s="8" t="inlineStr">
        <is>
          <t>The families you sampled, outer to inner</t>
        </is>
      </c>
      <c r="B6" s="9" t="inlineStr">
        <is>
          <t>Site → team → agent → contact</t>
        </is>
      </c>
      <c r="C6" s="10" t="inlineStr">
        <is>
          <t>Each family has to sit INSIDE the one before it. Agents belong to one team, teams to one site. If a family cuts across the others — shift, say, or contact type — it is not nested and this sheet will mis-attribute it.</t>
        </is>
      </c>
    </row>
    <row r="7" ht="30" customHeight="1">
      <c r="A7" s="8" t="inlineStr">
        <is>
          <t>How the contacts were drawn</t>
        </is>
      </c>
      <c r="B7" s="9" t="inlineStr">
        <is>
          <t>Two consecutive contacts per agent, same week</t>
        </is>
      </c>
      <c r="C7" s="10" t="inlineStr">
        <is>
          <t>Consecutive and close together on purpose: the innermost family is meant to capture contact-to-contact variation, not the drift between March and June.</t>
        </is>
      </c>
    </row>
    <row r="8" ht="30" customHeight="1">
      <c r="A8" s="8" t="inlineStr">
        <is>
          <t>Smallest difference worth chasing (seconds)</t>
        </is>
      </c>
      <c r="B8" s="11" t="n">
        <v>30</v>
      </c>
      <c r="C8" s="10" t="inlineStr">
        <is>
          <t>The gap you would actually change something for. Set it before you look at the answer, or you will set it to whatever the answer turned out to be.</t>
        </is>
      </c>
    </row>
    <row r="9"/>
    <row r="10">
      <c r="A10" s="6" t="inlineStr">
        <is>
          <t>THE DATA — one row per contact, nested: site, then team, then agent</t>
        </is>
      </c>
      <c r="B10" s="7" t="n"/>
      <c r="C10" s="7" t="n"/>
      <c r="D10" s="7" t="n"/>
      <c r="E10" s="7" t="n"/>
      <c r="F10" s="7" t="n"/>
      <c r="G10" s="7" t="n"/>
      <c r="H10" s="7" t="n"/>
    </row>
    <row r="11" ht="30" customHeight="1">
      <c r="A11" s="12" t="inlineStr">
        <is>
          <t>Site</t>
        </is>
      </c>
      <c r="B11" s="12" t="inlineStr">
        <is>
          <t>Team</t>
        </is>
      </c>
      <c r="C11" s="12" t="inlineStr">
        <is>
          <t>Agent</t>
        </is>
      </c>
      <c r="D11" s="12" t="inlineStr">
        <is>
          <t>Contact ref</t>
        </is>
      </c>
      <c r="E11" s="12" t="inlineStr">
        <is>
          <t>Handle time (seconds)</t>
        </is>
      </c>
      <c r="F11" s="12" t="inlineStr"/>
      <c r="G11" s="12" t="inlineStr"/>
      <c r="H11" s="12" t="inlineStr"/>
    </row>
    <row r="12">
      <c r="A12" s="13" t="inlineStr">
        <is>
          <t>Manchester</t>
        </is>
      </c>
      <c r="B12" s="13" t="inlineStr">
        <is>
          <t>Billing A</t>
        </is>
      </c>
      <c r="C12" s="13" t="inlineStr">
        <is>
          <t>R. Okonjo</t>
        </is>
      </c>
      <c r="D12" s="13" t="inlineStr">
        <is>
          <t>BA-3001</t>
        </is>
      </c>
      <c r="E12" s="14" t="n">
        <v>312</v>
      </c>
    </row>
    <row r="13">
      <c r="A13" s="13" t="inlineStr">
        <is>
          <t>Manchester</t>
        </is>
      </c>
      <c r="B13" s="13" t="inlineStr">
        <is>
          <t>Billing A</t>
        </is>
      </c>
      <c r="C13" s="13" t="inlineStr">
        <is>
          <t>R. Okonjo</t>
        </is>
      </c>
      <c r="D13" s="13" t="inlineStr">
        <is>
          <t>BA-3002</t>
        </is>
      </c>
      <c r="E13" s="14" t="n">
        <v>377</v>
      </c>
    </row>
    <row r="14">
      <c r="A14" s="13" t="inlineStr">
        <is>
          <t>Manchester</t>
        </is>
      </c>
      <c r="B14" s="13" t="inlineStr">
        <is>
          <t>Billing A</t>
        </is>
      </c>
      <c r="C14" s="13" t="inlineStr">
        <is>
          <t>P. Adeyemi</t>
        </is>
      </c>
      <c r="D14" s="13" t="inlineStr">
        <is>
          <t>BA-3003</t>
        </is>
      </c>
      <c r="E14" s="14" t="n">
        <v>478</v>
      </c>
    </row>
    <row r="15">
      <c r="A15" s="13" t="inlineStr">
        <is>
          <t>Manchester</t>
        </is>
      </c>
      <c r="B15" s="13" t="inlineStr">
        <is>
          <t>Billing A</t>
        </is>
      </c>
      <c r="C15" s="13" t="inlineStr">
        <is>
          <t>P. Adeyemi</t>
        </is>
      </c>
      <c r="D15" s="13" t="inlineStr">
        <is>
          <t>BA-3004</t>
        </is>
      </c>
      <c r="E15" s="14" t="n">
        <v>415</v>
      </c>
    </row>
    <row r="16">
      <c r="A16" s="13" t="inlineStr">
        <is>
          <t>Manchester</t>
        </is>
      </c>
      <c r="B16" s="13" t="inlineStr">
        <is>
          <t>Billing A</t>
        </is>
      </c>
      <c r="C16" s="13" t="inlineStr">
        <is>
          <t>S. Novak</t>
        </is>
      </c>
      <c r="D16" s="13" t="inlineStr">
        <is>
          <t>BA-3005</t>
        </is>
      </c>
      <c r="E16" s="14" t="n">
        <v>356</v>
      </c>
    </row>
    <row r="17">
      <c r="A17" s="13" t="inlineStr">
        <is>
          <t>Manchester</t>
        </is>
      </c>
      <c r="B17" s="13" t="inlineStr">
        <is>
          <t>Billing A</t>
        </is>
      </c>
      <c r="C17" s="13" t="inlineStr">
        <is>
          <t>S. Novak</t>
        </is>
      </c>
      <c r="D17" s="13" t="inlineStr">
        <is>
          <t>BA-3006</t>
        </is>
      </c>
      <c r="E17" s="14" t="n">
        <v>410</v>
      </c>
    </row>
    <row r="18">
      <c r="A18" s="13" t="inlineStr">
        <is>
          <t>Manchester</t>
        </is>
      </c>
      <c r="B18" s="13" t="inlineStr">
        <is>
          <t>Billing B</t>
        </is>
      </c>
      <c r="C18" s="13" t="inlineStr">
        <is>
          <t>T. Iqbal</t>
        </is>
      </c>
      <c r="D18" s="13" t="inlineStr">
        <is>
          <t>BA-3007</t>
        </is>
      </c>
      <c r="E18" s="14" t="n">
        <v>527</v>
      </c>
    </row>
    <row r="19">
      <c r="A19" s="13" t="inlineStr">
        <is>
          <t>Manchester</t>
        </is>
      </c>
      <c r="B19" s="13" t="inlineStr">
        <is>
          <t>Billing B</t>
        </is>
      </c>
      <c r="C19" s="13" t="inlineStr">
        <is>
          <t>T. Iqbal</t>
        </is>
      </c>
      <c r="D19" s="13" t="inlineStr">
        <is>
          <t>BA-3008</t>
        </is>
      </c>
      <c r="E19" s="14" t="n">
        <v>462</v>
      </c>
    </row>
    <row r="20">
      <c r="A20" s="13" t="inlineStr">
        <is>
          <t>Manchester</t>
        </is>
      </c>
      <c r="B20" s="13" t="inlineStr">
        <is>
          <t>Billing B</t>
        </is>
      </c>
      <c r="C20" s="13" t="inlineStr">
        <is>
          <t>M. Chen</t>
        </is>
      </c>
      <c r="D20" s="13" t="inlineStr">
        <is>
          <t>BA-3009</t>
        </is>
      </c>
      <c r="E20" s="14" t="n">
        <v>341</v>
      </c>
    </row>
    <row r="21">
      <c r="A21" s="13" t="inlineStr">
        <is>
          <t>Manchester</t>
        </is>
      </c>
      <c r="B21" s="13" t="inlineStr">
        <is>
          <t>Billing B</t>
        </is>
      </c>
      <c r="C21" s="13" t="inlineStr">
        <is>
          <t>M. Chen</t>
        </is>
      </c>
      <c r="D21" s="13" t="inlineStr">
        <is>
          <t>BA-3010</t>
        </is>
      </c>
      <c r="E21" s="14" t="n">
        <v>398</v>
      </c>
    </row>
    <row r="22">
      <c r="A22" s="13" t="inlineStr">
        <is>
          <t>Manchester</t>
        </is>
      </c>
      <c r="B22" s="13" t="inlineStr">
        <is>
          <t>Billing B</t>
        </is>
      </c>
      <c r="C22" s="13" t="inlineStr">
        <is>
          <t>L. Haddad</t>
        </is>
      </c>
      <c r="D22" s="13" t="inlineStr">
        <is>
          <t>BA-3011</t>
        </is>
      </c>
      <c r="E22" s="14" t="n">
        <v>401</v>
      </c>
    </row>
    <row r="23">
      <c r="A23" s="13" t="inlineStr">
        <is>
          <t>Manchester</t>
        </is>
      </c>
      <c r="B23" s="13" t="inlineStr">
        <is>
          <t>Billing B</t>
        </is>
      </c>
      <c r="C23" s="13" t="inlineStr">
        <is>
          <t>L. Haddad</t>
        </is>
      </c>
      <c r="D23" s="13" t="inlineStr">
        <is>
          <t>BA-3012</t>
        </is>
      </c>
      <c r="E23" s="14" t="n">
        <v>459</v>
      </c>
    </row>
    <row r="24">
      <c r="A24" s="13" t="inlineStr">
        <is>
          <t>Kraków</t>
        </is>
      </c>
      <c r="B24" s="13" t="inlineStr">
        <is>
          <t>Billing C</t>
        </is>
      </c>
      <c r="C24" s="13" t="inlineStr">
        <is>
          <t>J. Barros</t>
        </is>
      </c>
      <c r="D24" s="13" t="inlineStr">
        <is>
          <t>BA-3013</t>
        </is>
      </c>
      <c r="E24" s="14" t="n">
        <v>438</v>
      </c>
    </row>
    <row r="25">
      <c r="A25" s="13" t="inlineStr">
        <is>
          <t>Kraków</t>
        </is>
      </c>
      <c r="B25" s="13" t="inlineStr">
        <is>
          <t>Billing C</t>
        </is>
      </c>
      <c r="C25" s="13" t="inlineStr">
        <is>
          <t>J. Barros</t>
        </is>
      </c>
      <c r="D25" s="13" t="inlineStr">
        <is>
          <t>BA-3014</t>
        </is>
      </c>
      <c r="E25" s="14" t="n">
        <v>375</v>
      </c>
    </row>
    <row r="26">
      <c r="A26" s="13" t="inlineStr">
        <is>
          <t>Kraków</t>
        </is>
      </c>
      <c r="B26" s="13" t="inlineStr">
        <is>
          <t>Billing C</t>
        </is>
      </c>
      <c r="C26" s="13" t="inlineStr">
        <is>
          <t>D. Wexler</t>
        </is>
      </c>
      <c r="D26" s="13" t="inlineStr">
        <is>
          <t>BA-3015</t>
        </is>
      </c>
      <c r="E26" s="14" t="n">
        <v>552</v>
      </c>
    </row>
    <row r="27">
      <c r="A27" s="13" t="inlineStr">
        <is>
          <t>Kraków</t>
        </is>
      </c>
      <c r="B27" s="13" t="inlineStr">
        <is>
          <t>Billing C</t>
        </is>
      </c>
      <c r="C27" s="13" t="inlineStr">
        <is>
          <t>D. Wexler</t>
        </is>
      </c>
      <c r="D27" s="13" t="inlineStr">
        <is>
          <t>BA-3016</t>
        </is>
      </c>
      <c r="E27" s="14" t="n">
        <v>487</v>
      </c>
    </row>
    <row r="28">
      <c r="A28" s="13" t="inlineStr">
        <is>
          <t>Kraków</t>
        </is>
      </c>
      <c r="B28" s="13" t="inlineStr">
        <is>
          <t>Billing C</t>
        </is>
      </c>
      <c r="C28" s="13" t="inlineStr">
        <is>
          <t>A. Ferreira</t>
        </is>
      </c>
      <c r="D28" s="13" t="inlineStr">
        <is>
          <t>BA-3017</t>
        </is>
      </c>
      <c r="E28" s="14" t="n">
        <v>329</v>
      </c>
    </row>
    <row r="29">
      <c r="A29" s="13" t="inlineStr">
        <is>
          <t>Kraków</t>
        </is>
      </c>
      <c r="B29" s="13" t="inlineStr">
        <is>
          <t>Billing C</t>
        </is>
      </c>
      <c r="C29" s="13" t="inlineStr">
        <is>
          <t>A. Ferreira</t>
        </is>
      </c>
      <c r="D29" s="13" t="inlineStr">
        <is>
          <t>BA-3018</t>
        </is>
      </c>
      <c r="E29" s="14" t="n">
        <v>388</v>
      </c>
    </row>
    <row r="30">
      <c r="A30" s="13" t="inlineStr">
        <is>
          <t>Kraków</t>
        </is>
      </c>
      <c r="B30" s="13" t="inlineStr">
        <is>
          <t>Billing D</t>
        </is>
      </c>
      <c r="C30" s="13" t="inlineStr">
        <is>
          <t>K. Nowak</t>
        </is>
      </c>
      <c r="D30" s="13" t="inlineStr">
        <is>
          <t>BA-3019</t>
        </is>
      </c>
      <c r="E30" s="14" t="n">
        <v>495</v>
      </c>
    </row>
    <row r="31">
      <c r="A31" s="13" t="inlineStr">
        <is>
          <t>Kraków</t>
        </is>
      </c>
      <c r="B31" s="13" t="inlineStr">
        <is>
          <t>Billing D</t>
        </is>
      </c>
      <c r="C31" s="13" t="inlineStr">
        <is>
          <t>K. Nowak</t>
        </is>
      </c>
      <c r="D31" s="13" t="inlineStr">
        <is>
          <t>BA-3020</t>
        </is>
      </c>
      <c r="E31" s="14" t="n">
        <v>433</v>
      </c>
    </row>
    <row r="32">
      <c r="A32" s="13" t="inlineStr">
        <is>
          <t>Kraków</t>
        </is>
      </c>
      <c r="B32" s="13" t="inlineStr">
        <is>
          <t>Billing D</t>
        </is>
      </c>
      <c r="C32" s="13" t="inlineStr">
        <is>
          <t>E. Duarte</t>
        </is>
      </c>
      <c r="D32" s="13" t="inlineStr">
        <is>
          <t>BA-3021</t>
        </is>
      </c>
      <c r="E32" s="14" t="n">
        <v>368</v>
      </c>
    </row>
    <row r="33">
      <c r="A33" s="13" t="inlineStr">
        <is>
          <t>Kraków</t>
        </is>
      </c>
      <c r="B33" s="13" t="inlineStr">
        <is>
          <t>Billing D</t>
        </is>
      </c>
      <c r="C33" s="13" t="inlineStr">
        <is>
          <t>E. Duarte</t>
        </is>
      </c>
      <c r="D33" s="13" t="inlineStr">
        <is>
          <t>BA-3022</t>
        </is>
      </c>
      <c r="E33" s="14" t="n">
        <v>424</v>
      </c>
    </row>
    <row r="34">
      <c r="A34" s="13" t="inlineStr">
        <is>
          <t>Kraków</t>
        </is>
      </c>
      <c r="B34" s="13" t="inlineStr">
        <is>
          <t>Billing D</t>
        </is>
      </c>
      <c r="C34" s="13" t="inlineStr">
        <is>
          <t>N. Osei</t>
        </is>
      </c>
      <c r="D34" s="13" t="inlineStr">
        <is>
          <t>BA-3023</t>
        </is>
      </c>
      <c r="E34" s="14" t="n">
        <v>571</v>
      </c>
    </row>
    <row r="35">
      <c r="A35" s="13" t="inlineStr">
        <is>
          <t>Kraków</t>
        </is>
      </c>
      <c r="B35" s="13" t="inlineStr">
        <is>
          <t>Billing D</t>
        </is>
      </c>
      <c r="C35" s="13" t="inlineStr">
        <is>
          <t>N. Osei</t>
        </is>
      </c>
      <c r="D35" s="13" t="inlineStr">
        <is>
          <t>BA-3024</t>
        </is>
      </c>
      <c r="E35" s="14" t="n">
        <v>505</v>
      </c>
    </row>
    <row r="36" ht="60" customHeight="1">
      <c r="A36" s="10" t="inlineStr">
        <is>
          <t>Twenty-four contacts: 2 sites × 2 teams × 3 agents × 2 contacts each. Keep it balanced. The arithmetic below splits the variation using the mean square of each family, and a mean square only means what it is supposed to when every cell holds the same number of contacts. Add an agent and you add two rows, not one; drop a contact and the partition below is no longer a partition.</t>
        </is>
      </c>
    </row>
    <row r="37"/>
    <row r="38">
      <c r="A38" s="6" t="inlineStr">
        <is>
          <t>STEP 1 — the averages, from the bottom up</t>
        </is>
      </c>
      <c r="B38" s="7" t="n"/>
      <c r="C38" s="7" t="n"/>
      <c r="D38" s="7" t="n"/>
      <c r="E38" s="7" t="n"/>
      <c r="F38" s="7" t="n"/>
      <c r="G38" s="7" t="n"/>
      <c r="H38" s="7" t="n"/>
    </row>
    <row r="39" ht="30" customHeight="1">
      <c r="A39" s="12" t="inlineStr">
        <is>
          <t>Level</t>
        </is>
      </c>
      <c r="B39" s="12" t="inlineStr">
        <is>
          <t>Name</t>
        </is>
      </c>
      <c r="C39" s="12" t="inlineStr">
        <is>
          <t>Mean handle time (s)</t>
        </is>
      </c>
      <c r="D39" s="12" t="inlineStr">
        <is>
          <t>Contacts behind it</t>
        </is>
      </c>
      <c r="E39" s="12" t="inlineStr">
        <is>
          <t>Gap to its parent (s)</t>
        </is>
      </c>
      <c r="F39" s="12" t="inlineStr">
        <is>
          <t>Spread inside (s)</t>
        </is>
      </c>
      <c r="G39" s="12" t="inlineStr"/>
      <c r="H39" s="12" t="inlineStr"/>
    </row>
    <row r="40">
      <c r="A40" t="inlineStr">
        <is>
          <t>Agent</t>
        </is>
      </c>
      <c r="B40" t="inlineStr">
        <is>
          <t>R. Okonjo · Billing A</t>
        </is>
      </c>
      <c r="C40" s="15">
        <f>AVERAGE(E12:E13)</f>
        <v/>
      </c>
      <c r="D40" s="16">
        <f>COUNT(E12:E13)</f>
        <v/>
      </c>
      <c r="E40" s="17">
        <f>C40-C52</f>
        <v/>
      </c>
      <c r="F40" s="17">
        <f>E12-E13</f>
        <v/>
      </c>
    </row>
    <row r="41">
      <c r="A41" t="inlineStr">
        <is>
          <t>Agent</t>
        </is>
      </c>
      <c r="B41" t="inlineStr">
        <is>
          <t>P. Adeyemi · Billing A</t>
        </is>
      </c>
      <c r="C41" s="15">
        <f>AVERAGE(E14:E15)</f>
        <v/>
      </c>
      <c r="D41" s="16">
        <f>COUNT(E14:E15)</f>
        <v/>
      </c>
      <c r="E41" s="17">
        <f>C41-C52</f>
        <v/>
      </c>
      <c r="F41" s="17">
        <f>E14-E15</f>
        <v/>
      </c>
    </row>
    <row r="42">
      <c r="A42" t="inlineStr">
        <is>
          <t>Agent</t>
        </is>
      </c>
      <c r="B42" t="inlineStr">
        <is>
          <t>S. Novak · Billing A</t>
        </is>
      </c>
      <c r="C42" s="15">
        <f>AVERAGE(E16:E17)</f>
        <v/>
      </c>
      <c r="D42" s="16">
        <f>COUNT(E16:E17)</f>
        <v/>
      </c>
      <c r="E42" s="17">
        <f>C42-C52</f>
        <v/>
      </c>
      <c r="F42" s="17">
        <f>E16-E17</f>
        <v/>
      </c>
    </row>
    <row r="43">
      <c r="A43" t="inlineStr">
        <is>
          <t>Agent</t>
        </is>
      </c>
      <c r="B43" t="inlineStr">
        <is>
          <t>T. Iqbal · Billing B</t>
        </is>
      </c>
      <c r="C43" s="15">
        <f>AVERAGE(E18:E19)</f>
        <v/>
      </c>
      <c r="D43" s="16">
        <f>COUNT(E18:E19)</f>
        <v/>
      </c>
      <c r="E43" s="17">
        <f>C43-C53</f>
        <v/>
      </c>
      <c r="F43" s="17">
        <f>E18-E19</f>
        <v/>
      </c>
    </row>
    <row r="44">
      <c r="A44" t="inlineStr">
        <is>
          <t>Agent</t>
        </is>
      </c>
      <c r="B44" t="inlineStr">
        <is>
          <t>M. Chen · Billing B</t>
        </is>
      </c>
      <c r="C44" s="15">
        <f>AVERAGE(E20:E21)</f>
        <v/>
      </c>
      <c r="D44" s="16">
        <f>COUNT(E20:E21)</f>
        <v/>
      </c>
      <c r="E44" s="17">
        <f>C44-C53</f>
        <v/>
      </c>
      <c r="F44" s="17">
        <f>E20-E21</f>
        <v/>
      </c>
    </row>
    <row r="45">
      <c r="A45" t="inlineStr">
        <is>
          <t>Agent</t>
        </is>
      </c>
      <c r="B45" t="inlineStr">
        <is>
          <t>L. Haddad · Billing B</t>
        </is>
      </c>
      <c r="C45" s="15">
        <f>AVERAGE(E22:E23)</f>
        <v/>
      </c>
      <c r="D45" s="16">
        <f>COUNT(E22:E23)</f>
        <v/>
      </c>
      <c r="E45" s="17">
        <f>C45-C53</f>
        <v/>
      </c>
      <c r="F45" s="17">
        <f>E22-E23</f>
        <v/>
      </c>
    </row>
    <row r="46">
      <c r="A46" t="inlineStr">
        <is>
          <t>Agent</t>
        </is>
      </c>
      <c r="B46" t="inlineStr">
        <is>
          <t>J. Barros · Billing C</t>
        </is>
      </c>
      <c r="C46" s="15">
        <f>AVERAGE(E24:E25)</f>
        <v/>
      </c>
      <c r="D46" s="16">
        <f>COUNT(E24:E25)</f>
        <v/>
      </c>
      <c r="E46" s="17">
        <f>C46-C54</f>
        <v/>
      </c>
      <c r="F46" s="17">
        <f>E24-E25</f>
        <v/>
      </c>
    </row>
    <row r="47">
      <c r="A47" t="inlineStr">
        <is>
          <t>Agent</t>
        </is>
      </c>
      <c r="B47" t="inlineStr">
        <is>
          <t>D. Wexler · Billing C</t>
        </is>
      </c>
      <c r="C47" s="15">
        <f>AVERAGE(E26:E27)</f>
        <v/>
      </c>
      <c r="D47" s="16">
        <f>COUNT(E26:E27)</f>
        <v/>
      </c>
      <c r="E47" s="17">
        <f>C47-C54</f>
        <v/>
      </c>
      <c r="F47" s="17">
        <f>E26-E27</f>
        <v/>
      </c>
    </row>
    <row r="48">
      <c r="A48" t="inlineStr">
        <is>
          <t>Agent</t>
        </is>
      </c>
      <c r="B48" t="inlineStr">
        <is>
          <t>A. Ferreira · Billing C</t>
        </is>
      </c>
      <c r="C48" s="15">
        <f>AVERAGE(E28:E29)</f>
        <v/>
      </c>
      <c r="D48" s="16">
        <f>COUNT(E28:E29)</f>
        <v/>
      </c>
      <c r="E48" s="17">
        <f>C48-C54</f>
        <v/>
      </c>
      <c r="F48" s="17">
        <f>E28-E29</f>
        <v/>
      </c>
    </row>
    <row r="49">
      <c r="A49" t="inlineStr">
        <is>
          <t>Agent</t>
        </is>
      </c>
      <c r="B49" t="inlineStr">
        <is>
          <t>K. Nowak · Billing D</t>
        </is>
      </c>
      <c r="C49" s="15">
        <f>AVERAGE(E30:E31)</f>
        <v/>
      </c>
      <c r="D49" s="16">
        <f>COUNT(E30:E31)</f>
        <v/>
      </c>
      <c r="E49" s="17">
        <f>C49-C55</f>
        <v/>
      </c>
      <c r="F49" s="17">
        <f>E30-E31</f>
        <v/>
      </c>
    </row>
    <row r="50">
      <c r="A50" t="inlineStr">
        <is>
          <t>Agent</t>
        </is>
      </c>
      <c r="B50" t="inlineStr">
        <is>
          <t>E. Duarte · Billing D</t>
        </is>
      </c>
      <c r="C50" s="15">
        <f>AVERAGE(E32:E33)</f>
        <v/>
      </c>
      <c r="D50" s="16">
        <f>COUNT(E32:E33)</f>
        <v/>
      </c>
      <c r="E50" s="17">
        <f>C50-C55</f>
        <v/>
      </c>
      <c r="F50" s="17">
        <f>E32-E33</f>
        <v/>
      </c>
    </row>
    <row r="51">
      <c r="A51" t="inlineStr">
        <is>
          <t>Agent</t>
        </is>
      </c>
      <c r="B51" t="inlineStr">
        <is>
          <t>N. Osei · Billing D</t>
        </is>
      </c>
      <c r="C51" s="15">
        <f>AVERAGE(E34:E35)</f>
        <v/>
      </c>
      <c r="D51" s="16">
        <f>COUNT(E34:E35)</f>
        <v/>
      </c>
      <c r="E51" s="17">
        <f>C51-C55</f>
        <v/>
      </c>
      <c r="F51" s="17">
        <f>E34-E35</f>
        <v/>
      </c>
    </row>
    <row r="52">
      <c r="A52" t="inlineStr">
        <is>
          <t>Team</t>
        </is>
      </c>
      <c r="B52" t="inlineStr">
        <is>
          <t>Billing A · Manchester</t>
        </is>
      </c>
      <c r="C52" s="15">
        <f>AVERAGE(E12:E17)</f>
        <v/>
      </c>
      <c r="D52" s="16">
        <f>COUNT(E12:E17)</f>
        <v/>
      </c>
      <c r="E52" s="17">
        <f>C52-C56</f>
        <v/>
      </c>
    </row>
    <row r="53">
      <c r="A53" t="inlineStr">
        <is>
          <t>Team</t>
        </is>
      </c>
      <c r="B53" t="inlineStr">
        <is>
          <t>Billing B · Manchester</t>
        </is>
      </c>
      <c r="C53" s="15">
        <f>AVERAGE(E18:E23)</f>
        <v/>
      </c>
      <c r="D53" s="16">
        <f>COUNT(E18:E23)</f>
        <v/>
      </c>
      <c r="E53" s="17">
        <f>C53-C56</f>
        <v/>
      </c>
    </row>
    <row r="54">
      <c r="A54" t="inlineStr">
        <is>
          <t>Team</t>
        </is>
      </c>
      <c r="B54" t="inlineStr">
        <is>
          <t>Billing C · Kraków</t>
        </is>
      </c>
      <c r="C54" s="15">
        <f>AVERAGE(E24:E29)</f>
        <v/>
      </c>
      <c r="D54" s="16">
        <f>COUNT(E24:E29)</f>
        <v/>
      </c>
      <c r="E54" s="17">
        <f>C54-C57</f>
        <v/>
      </c>
    </row>
    <row r="55">
      <c r="A55" t="inlineStr">
        <is>
          <t>Team</t>
        </is>
      </c>
      <c r="B55" t="inlineStr">
        <is>
          <t>Billing D · Kraków</t>
        </is>
      </c>
      <c r="C55" s="15">
        <f>AVERAGE(E30:E35)</f>
        <v/>
      </c>
      <c r="D55" s="16">
        <f>COUNT(E30:E35)</f>
        <v/>
      </c>
      <c r="E55" s="17">
        <f>C55-C57</f>
        <v/>
      </c>
    </row>
    <row r="56">
      <c r="A56" t="inlineStr">
        <is>
          <t>Site</t>
        </is>
      </c>
      <c r="B56" t="inlineStr">
        <is>
          <t>Manchester</t>
        </is>
      </c>
      <c r="C56" s="15">
        <f>AVERAGE(E12:E23)</f>
        <v/>
      </c>
      <c r="D56" s="16">
        <f>COUNT(E12:E23)</f>
        <v/>
      </c>
      <c r="E56" s="17">
        <f>C56-C58</f>
        <v/>
      </c>
    </row>
    <row r="57">
      <c r="A57" t="inlineStr">
        <is>
          <t>Site</t>
        </is>
      </c>
      <c r="B57" t="inlineStr">
        <is>
          <t>Kraków</t>
        </is>
      </c>
      <c r="C57" s="15">
        <f>AVERAGE(E24:E35)</f>
        <v/>
      </c>
      <c r="D57" s="16">
        <f>COUNT(E24:E35)</f>
        <v/>
      </c>
      <c r="E57" s="17">
        <f>C57-C58</f>
        <v/>
      </c>
    </row>
    <row r="58">
      <c r="A58" s="8" t="inlineStr">
        <is>
          <t>All contacts</t>
        </is>
      </c>
      <c r="B58" s="8" t="inlineStr">
        <is>
          <t>Grand mean</t>
        </is>
      </c>
      <c r="C58" s="15">
        <f>AVERAGE(E12:E35)</f>
        <v/>
      </c>
      <c r="D58" s="16">
        <f>COUNT(E12:E35)</f>
        <v/>
      </c>
    </row>
    <row r="59" ht="60" customHeight="1">
      <c r="A59" s="10" t="inlineStr">
        <is>
          <t>Read the GAP column, not the means. Every gap is measured against the level that contains it — an agent against their own team, a team against its own site — so the four families never claim the same second twice. SPREAD INSIDE is the difference between one agent's two contacts, and it is the only column here that owes nothing to who or where they are.</t>
        </is>
      </c>
    </row>
    <row r="60"/>
    <row r="61" ht="84" customHeight="1">
      <c r="A61" s="18" t="inlineStr">
        <is>
          <t>STEP 2 — which family owns the variation  ·  Key: Sum of squares = total squared distance from the mean, before it is divided by anything. Two of them can never be compared directly, because each carries a different number of degrees of freedom: parts contribute 644.15 over 9 df and the repeat readings 6.53 over 60 (B47, B50). Divide each by its own df and you get the mean squares, 71.57 against 0.109, which may be compared · Variance component = that source's share of the variation as a VARIANCE, in minutes squared, not minutes. Repeatability is 0.109 and reproducibility 0.589 (B56, B57) — a ratio of 5.4 on the squared scale, which is 2.3 once you take square roots and get back to minutes, 0.33 against 0.77. Quote the minutes to anyone who has to act on it</t>
        </is>
      </c>
      <c r="B61" s="7" t="n"/>
      <c r="C61" s="7" t="n"/>
      <c r="D61" s="7" t="n"/>
      <c r="E61" s="7" t="n"/>
      <c r="F61" s="7" t="n"/>
      <c r="G61" s="7" t="n"/>
      <c r="H61" s="7" t="n"/>
    </row>
    <row r="62" ht="42" customHeight="1">
      <c r="A62" s="12" t="inlineStr">
        <is>
          <t>Family</t>
        </is>
      </c>
      <c r="B62" s="12" t="inlineStr">
        <is>
          <t>Sum of squares</t>
        </is>
      </c>
      <c r="C62" s="12" t="inlineStr">
        <is>
          <t>Degrees of freedom</t>
        </is>
      </c>
      <c r="D62" s="12" t="inlineStr">
        <is>
          <t>Mean square</t>
        </is>
      </c>
      <c r="E62" s="12" t="inlineStr">
        <is>
          <t>Variance component</t>
        </is>
      </c>
      <c r="F62" s="12" t="inlineStr">
        <is>
          <t>Share of total</t>
        </is>
      </c>
      <c r="G62" s="12" t="inlineStr">
        <is>
          <t>What this family means</t>
        </is>
      </c>
      <c r="H62" s="12" t="inlineStr"/>
    </row>
    <row r="63" ht="30" customHeight="1">
      <c r="A63" s="8" t="inlineStr">
        <is>
          <t>Between sites</t>
        </is>
      </c>
      <c r="B63" s="19">
        <f>12*SUMSQ(E56:E57)</f>
        <v/>
      </c>
      <c r="C63" s="16" t="n">
        <v>1</v>
      </c>
      <c r="D63" s="19">
        <f>B63/C63</f>
        <v/>
      </c>
      <c r="E63" s="19">
        <f>MAX(0,(D63-D64)/12)</f>
        <v/>
      </c>
      <c r="F63" s="20">
        <f>IFERROR(E63/SUM($E$63:$E$66),"")</f>
        <v/>
      </c>
      <c r="G63" s="10" t="inlineStr">
        <is>
          <t>Manchester against Kraków, once the teams and agents inside them are accounted for. A big share here means the two sites are running different processes.</t>
        </is>
      </c>
    </row>
    <row r="64" ht="30" customHeight="1">
      <c r="A64" s="8" t="inlineStr">
        <is>
          <t>Between teams, within a site</t>
        </is>
      </c>
      <c r="B64" s="19">
        <f>6*SUMSQ(E52:E55)</f>
        <v/>
      </c>
      <c r="C64" s="16" t="n">
        <v>2</v>
      </c>
      <c r="D64" s="19">
        <f>B64/C64</f>
        <v/>
      </c>
      <c r="E64" s="19">
        <f>MAX(0,(D64-D65)/6)</f>
        <v/>
      </c>
      <c r="F64" s="20">
        <f>IFERROR(E64/SUM($E$63:$E$66),"")</f>
        <v/>
      </c>
      <c r="G64" s="10" t="inlineStr">
        <is>
          <t>One billing team against another in the same building — different team leader, different coaching, same everything else.</t>
        </is>
      </c>
    </row>
    <row r="65" ht="30" customHeight="1">
      <c r="A65" s="8" t="inlineStr">
        <is>
          <t>Between agents, within a team</t>
        </is>
      </c>
      <c r="B65" s="19">
        <f>2*SUMSQ(E40:E51)</f>
        <v/>
      </c>
      <c r="C65" s="16" t="n">
        <v>8</v>
      </c>
      <c r="D65" s="19">
        <f>B65/C65</f>
        <v/>
      </c>
      <c r="E65" s="19">
        <f>MAX(0,(D65-D66)/2)</f>
        <v/>
      </c>
      <c r="F65" s="20">
        <f>IFERROR(E65/SUM($E$63:$E$66),"")</f>
        <v/>
      </c>
      <c r="G65" s="10" t="inlineStr">
        <is>
          <t>One agent against their own team-mates. A big share here is a training, tooling or method problem, and it is the family a site-level project cannot touch.</t>
        </is>
      </c>
    </row>
    <row r="66" ht="45" customHeight="1">
      <c r="A66" s="8" t="inlineStr">
        <is>
          <t>Within one agent, contact to contact</t>
        </is>
      </c>
      <c r="B66" s="19">
        <f>SUMSQ(F40:F51)/2</f>
        <v/>
      </c>
      <c r="C66" s="16" t="n">
        <v>12</v>
      </c>
      <c r="D66" s="19">
        <f>B66/C66</f>
        <v/>
      </c>
      <c r="E66" s="19">
        <f>D66</f>
        <v/>
      </c>
      <c r="F66" s="20">
        <f>IFERROR(E66/SUM($E$63:$E$66),"")</f>
        <v/>
      </c>
      <c r="G66" s="10" t="inlineStr">
        <is>
          <t>The same agent, two contacts, one week. Whatever is left after everything you can name — contact mix, system waits, luck. It sets the floor on what any of the families above can be measured against.</t>
        </is>
      </c>
    </row>
    <row r="67" ht="30" customHeight="1">
      <c r="A67" s="8" t="inlineStr">
        <is>
          <t>TOTAL</t>
        </is>
      </c>
      <c r="B67" s="19">
        <f>DEVSQ(E12:E35)</f>
        <v/>
      </c>
      <c r="C67" s="16" t="n">
        <v>23</v>
      </c>
      <c r="F67" s="20">
        <f>IFERROR(SUM(F63:F66),"")</f>
        <v/>
      </c>
      <c r="G67" s="10" t="inlineStr">
        <is>
          <t>The four sums of squares add up to this one exactly. If they ever do not, the design has stopped being balanced.</t>
        </is>
      </c>
    </row>
    <row r="68" ht="90" customHeight="1">
      <c r="A68" s="10" t="inlineStr">
        <is>
          <t>A VARIANCE COMPONENT can come out negative, and one has here: the teams component is showing zero because the arithmetic produced a number below zero and there is no such thing as negative variance. It does not mean the teams are identical. It means this sample cannot tell teams apart from the agents sitting inside them — the agent-to-agent spread is wide enough to swallow any team effect. Report it as zero, say why, and if the team question matters, go back with more agents per team rather than more contacts per agent.</t>
        </is>
      </c>
    </row>
    <row r="69" ht="60" customHeight="1">
      <c r="A69" s="10" t="inlineStr">
        <is>
          <t>SUM OF SQUARES says how much of the raw spread each family accounts for; the VARIANCE COMPONENT is what is left after removing the variation the families underneath already explain, and it is the one to quote. They rank differently on purpose. Share of total is computed on the components.</t>
        </is>
      </c>
    </row>
    <row r="70"/>
    <row r="71">
      <c r="A71" s="6" t="inlineStr">
        <is>
          <t>STEP 3 — what it tells you to do next</t>
        </is>
      </c>
      <c r="B71" s="7" t="n"/>
      <c r="C71" s="7" t="n"/>
      <c r="D71" s="7" t="n"/>
      <c r="E71" s="7" t="n"/>
      <c r="F71" s="7" t="n"/>
      <c r="G71" s="7" t="n"/>
      <c r="H71" s="7" t="n"/>
    </row>
    <row r="72" ht="30" customHeight="1">
      <c r="A72" s="8" t="inlineStr">
        <is>
          <t>Look here first</t>
        </is>
      </c>
      <c r="B72" s="21">
        <f>IFERROR(INDEX($A$63:$A$66,MATCH(MAX($F$63:$F$66),$F$63:$F$66,0)),"")</f>
        <v/>
      </c>
      <c r="C72" s="10" t="inlineStr">
        <is>
          <t>The family holding the largest share. Scope your project to this family — an improvement aimed anywhere else is competing with variation it cannot reach.</t>
        </is>
      </c>
    </row>
    <row r="73" ht="30" customHeight="1">
      <c r="A73" s="8" t="inlineStr">
        <is>
          <t>Biggest gap between two agents (s)</t>
        </is>
      </c>
      <c r="B73" s="15">
        <f>IFERROR(MAX(C40:C51)-MIN(C40:C51),"")</f>
        <v/>
      </c>
      <c r="C73" s="10" t="inlineStr">
        <is>
          <t>Fastest agent against slowest, in seconds of handle time. This is the number to take to the process owner, because it is one they can picture.</t>
        </is>
      </c>
    </row>
    <row r="74" ht="15" customHeight="1">
      <c r="A74" s="8" t="inlineStr">
        <is>
          <t>Is that gap worth chasing?</t>
        </is>
      </c>
      <c r="B74" s="21">
        <f>IF(B73="","",IF(B73&gt;=$B$8,"YES — larger than the difference you said would matter","NO — smaller than the difference you said would matter"))</f>
        <v/>
      </c>
      <c r="C74" s="10" t="inlineStr">
        <is>
          <t>Measured against the threshold you set at the top, before you saw the data.</t>
        </is>
      </c>
    </row>
    <row r="75" ht="45" customHeight="1">
      <c r="A75" s="8" t="inlineStr">
        <is>
          <t>Contacts per agent needed to halve the noise</t>
        </is>
      </c>
      <c r="B75" s="15">
        <f>IFERROR(ROUNDUP(4*E66/(($B$8/2)^2),0),"")</f>
        <v/>
      </c>
      <c r="C75" s="10" t="inlineStr">
        <is>
          <t>If the answer above is too close to call, this is roughly how many contacts per agent the next study needs to resolve half your threshold. It grows with the square, which is why precision gets expensive quickly.</t>
        </is>
      </c>
    </row>
  </sheetData>
  <mergeCells count="24">
    <mergeCell ref="A59:H59"/>
    <mergeCell ref="C75:H75"/>
    <mergeCell ref="G67:H67"/>
    <mergeCell ref="A36:H36"/>
    <mergeCell ref="A1:H1"/>
    <mergeCell ref="A61:H61"/>
    <mergeCell ref="A69:H69"/>
    <mergeCell ref="C8:H8"/>
    <mergeCell ref="G66:H66"/>
    <mergeCell ref="C7:H7"/>
    <mergeCell ref="C72:H72"/>
    <mergeCell ref="A2:H2"/>
    <mergeCell ref="A71:H71"/>
    <mergeCell ref="G65:H65"/>
    <mergeCell ref="G64:H64"/>
    <mergeCell ref="A4:H4"/>
    <mergeCell ref="C6:H6"/>
    <mergeCell ref="C5:H5"/>
    <mergeCell ref="A38:H38"/>
    <mergeCell ref="G63:H63"/>
    <mergeCell ref="C74:H74"/>
    <mergeCell ref="A10:H10"/>
    <mergeCell ref="A68:H68"/>
    <mergeCell ref="C73:H73"/>
  </mergeCells>
  <dataValidations count="1">
    <dataValidation sqref="B8 E12:E35" showDropDown="0" showInputMessage="0" showErrorMessage="0" allowBlank="1" type="whole" operator="greaterThan">
      <formula1>0</formula1>
    </dataValidation>
  </dataValidations>
  <printOptions horizontalCentered="1"/>
  <pageMargins left="0.4" right="0.4" top="0.5" bottom="0.5" header="0.5" footer="0.5"/>
  <pageSetup orientation="landscape" fitToHeight="0" fitToWidth="1"/>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six-sigma-blackbelt-support-ops</dc:creator>
  <dcterms:created xsi:type="dcterms:W3CDTF">2026-01-01T00:00:00Z</dcterms:created>
  <dcterms:modified xsi:type="dcterms:W3CDTF">2026-01-01T00:00:00Z</dcterms:modified>
  <cp:lastModifiedBy>six-sigma-blackbelt-support-ops</cp:lastModifiedBy>
</cp:coreProperties>
</file>