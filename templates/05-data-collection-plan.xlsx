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5">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
      <i val="1"/>
      <color rgb="FF4B5563"/>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xf numFmtId="0" fontId="14" fillId="10" borderId="1" applyAlignment="1" pivotButton="0" quotePrefix="0" xfId="0">
      <alignment vertical="top" wrapText="1"/>
    </xf>
    <xf numFmtId="0" fontId="13" fillId="11" borderId="1" applyAlignment="1" pivotButton="0" quotePrefix="0" xfId="0">
      <alignment horizontal="general" vertical="top" wrapText="1"/>
    </xf>
    <xf numFmtId="0" fontId="14" fillId="11" borderId="1" applyAlignment="1" pivotButton="0" quotePrefix="0" xfId="0">
      <alignment vertical="top" wrapText="1"/>
    </xf>
    <xf numFmtId="0" fontId="13" fillId="10" borderId="1" applyAlignment="1" pivotButton="0" quotePrefix="0" xfId="0">
      <alignment horizontal="general" vertical="top" wrapText="1"/>
    </xf>
    <xf numFmtId="0" fontId="23" fillId="0" borderId="0" applyAlignment="1" pivotButton="0" quotePrefix="0" xfId="0">
      <alignment vertical="top" wrapText="1"/>
    </xf>
    <xf numFmtId="0" fontId="23" fillId="0" borderId="0" applyAlignment="1" pivotButton="0" quotePrefix="0" xfId="0">
      <alignment vertical="center" wrapText="1"/>
    </xf>
    <xf numFmtId="0" fontId="24"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 — and where your study sits</a:t>
            </a:r>
          </a:p>
        </rich>
      </tx>
    </title>
    <plotArea>
      <lineChart>
        <grouping val="standard"/>
        <ser>
          <idx val="0"/>
          <order val="0"/>
          <tx>
            <v>Sample needed at your alpha and baseline</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change you asked to detect</v>
          </tx>
          <spPr>
            <a:ln w="28000">
              <a:solidFill>
                <a:srgbClr val="C0392B"/>
              </a:solidFill>
              <a:prstDash val="solid"/>
            </a:ln>
          </spPr>
          <marker>
            <symbol val="circle"/>
            <size val="6"/>
            <spPr>
              <a:solidFill>
                <a:srgbClr val="C0392B"/>
              </a:solidFill>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Green cells</t>
        </is>
      </c>
      <c r="B7" s="40" t="inlineStr">
        <is>
          <t>A realistic worked example, so you can see the expected format and the sheet is not blank when you open it. Replace it with your own.</t>
        </is>
      </c>
    </row>
    <row r="8" ht="48" customHeight="1" s="30">
      <c r="A8" s="69" t="inlineStr">
        <is>
          <t xml:space="preserve">  ·  Key:
• Unit of analysis = the thing one row of your data IS — a contact, an issue, a customer, an agent-day. Getting it wrong is the most expensive mistake on this sheet: a rate counted per contact and a rate counted per issue are different numbers with the same name, which is how one measurement ends up meaning two things</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67" t="inlineStr">
        <is>
          <t>7-day reopen rate</t>
        </is>
      </c>
      <c r="B10" s="67" t="inlineStr">
        <is>
          <t>Proportion</t>
        </is>
      </c>
      <c r="C10" s="67" t="inlineStr">
        <is>
          <t>Zendesk</t>
        </is>
      </c>
      <c r="D10" s="67" t="inlineStr">
        <is>
          <t>Warehouse query, saved as reopen_v2.sql</t>
        </is>
      </c>
      <c r="E10" s="67" t="inlineStr">
        <is>
          <t>Issue</t>
        </is>
      </c>
      <c r="F10" s="67" t="inlineStr">
        <is>
          <t>All billing tickets first resolved in the window</t>
        </is>
      </c>
      <c r="G10" s="67" t="inlineStr">
        <is>
          <t>2026-01-01 to 2026-03-31</t>
        </is>
      </c>
      <c r="H10" s="67" t="n">
        <v>61400</v>
      </c>
      <c r="I10" s="67" t="inlineStr">
        <is>
          <t>Full population, no sampling needed</t>
        </is>
      </c>
      <c r="J10" s="67" t="inlineStr">
        <is>
          <t>Census</t>
        </is>
      </c>
      <c r="K10" s="67" t="inlineStr">
        <is>
          <t>Contact reason, tenure band, channel, site</t>
        </is>
      </c>
      <c r="L10" s="67" t="inlineStr">
        <is>
          <t>Analytics</t>
        </is>
      </c>
      <c r="M10" s="67" t="inlineStr">
        <is>
          <t>Weekly Monday</t>
        </is>
      </c>
      <c r="N10" s="67" t="inlineStr">
        <is>
          <t>warehouse + immutable snapshot</t>
        </is>
      </c>
      <c r="O10" s="67" t="inlineStr">
        <is>
          <t>Reconcile total to the ops dashboard</t>
        </is>
      </c>
      <c r="P10" s="67"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5"/>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9">
    <mergeCell ref="B7:F7"/>
    <mergeCell ref="B6:F6"/>
    <mergeCell ref="A1:P1"/>
    <mergeCell ref="A27:P27"/>
    <mergeCell ref="A8:P8"/>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 width="13" customWidth="1" style="30" min="5"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3"/>
    <row r="4" ht="31.5" customHeight="1" s="30">
      <c r="A4" s="43" t="inlineStr">
        <is>
          <t>Trap</t>
        </is>
      </c>
      <c r="B4" s="43" t="inlineStr">
        <is>
          <t>What goes wrong</t>
        </is>
      </c>
      <c r="C4" s="43" t="inlineStr">
        <is>
          <t>How to check it</t>
        </is>
      </c>
      <c r="D4" s="43" t="inlineStr">
        <is>
          <t>What you found</t>
        </is>
      </c>
      <c r="E4" s="43" t="inlineStr">
        <is>
          <t>Action taken</t>
        </is>
      </c>
    </row>
    <row r="5" ht="58"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64" t="inlineStr">
        <is>
          <t>17% responded. Responders skew heavily to resolved-first-contact (78% of them, against 61% of all contacts), so CSAT 4.4 is the satisfied minority's score and not the population's.</t>
        </is>
      </c>
      <c r="E5" s="64" t="inlineStr">
        <is>
          <t>Stopped quoting CSAT as a population figure in the charter. Added a 200-contact outbound sample of non-responders each month, and used that as the baseline instead.</t>
        </is>
      </c>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row r="11"/>
    <row r="12" ht="39" customHeight="1" s="30">
      <c r="A12" s="68" t="inlineStr">
        <is>
          <t>How to fill the last two columns. Run the check in column C against your own extract before you write anything — every entry here should be a number you produced, not an impression. WHAT YOU FOUND is the measurement and what it implies for your baseline; ACTION TAKEN is what you changed as a result, because a trap you found and did not act on still contaminates the project. Row 5 is a worked example: delete it and write your own.</t>
        </is>
      </c>
    </row>
  </sheetData>
  <mergeCells count="4">
    <mergeCell ref="A2:E2"/>
    <mergeCell ref="A1:E1"/>
    <mergeCell ref="A12:E12"/>
    <mergeCell ref="E5"/>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M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 width="13" customWidth="1" style="30" min="5" max="5"/>
    <col width="13" customWidth="1" style="30" min="6" max="6"/>
    <col width="13" customWidth="1" style="30" min="7" max="7"/>
    <col width="13" customWidth="1" style="30" min="8" max="8"/>
    <col width="13" customWidth="1" style="30" min="9" max="9"/>
    <col width="13" customWidth="1" style="30" min="10" max="10"/>
    <col width="13" customWidth="1" style="30" min="11" max="11"/>
    <col width="13" customWidth="1" style="30" min="12" max="12"/>
    <col width="13" customWidth="1" style="30" min="13" max="13"/>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ht="26" customHeight="1" s="30">
      <c r="A35" s="68" t="inlineStr">
        <is>
          <t>Your alpha and your baseline rate, from the yellow cells above. Halving the margin of error costs you four times the sample, which is why the last point of precision is the expensive one. Nothing in this block is for you to fill in, and YOU ARE HERE is blank on every row but the margin of error you asked for — that one point is the marker sitting on the curve.</t>
        </is>
      </c>
    </row>
    <row r="36">
      <c r="A36" s="61" t="inlineStr">
        <is>
          <t>Margin of error</t>
        </is>
      </c>
      <c r="B36" s="61" t="inlineStr">
        <is>
          <t>Sample needed</t>
        </is>
      </c>
      <c r="C36" s="61" t="inlineStr">
        <is>
          <t>You are here</t>
        </is>
      </c>
    </row>
    <row r="37">
      <c r="A37" s="62" t="n">
        <v>0.1</v>
      </c>
      <c r="B37" s="63">
        <f>CEILING(IFERROR(NORMSINV(1-$C$7/2),1.96)^2*IF(AND($C$5&gt;0,$C$5&lt;1),$C$5*(1-$C$5),0.25)/A37^2,1)</f>
        <v/>
      </c>
      <c r="C37" s="63">
        <f>IF(ABS(A37-$C$6)&lt;=0.0051,CEILING(IFERROR(NORMSINV(1-$C$7/2),1.96)^2*IF(AND($C$5&gt;0,$C$5&lt;1),$C$5*(1-$C$5),0.25)/A37^2,1),NA())</f>
        <v/>
      </c>
    </row>
    <row r="38">
      <c r="A38" s="62" t="n">
        <v>0.075</v>
      </c>
      <c r="B38" s="63">
        <f>CEILING(IFERROR(NORMSINV(1-$C$7/2),1.96)^2*IF(AND($C$5&gt;0,$C$5&lt;1),$C$5*(1-$C$5),0.25)/A38^2,1)</f>
        <v/>
      </c>
      <c r="C38" s="63">
        <f>IF(ABS(A38-$C$6)&lt;=0.0051,CEILING(IFERROR(NORMSINV(1-$C$7/2),1.96)^2*IF(AND($C$5&gt;0,$C$5&lt;1),$C$5*(1-$C$5),0.25)/A38^2,1),NA())</f>
        <v/>
      </c>
    </row>
    <row r="39">
      <c r="A39" s="62" t="n">
        <v>0.05</v>
      </c>
      <c r="B39" s="63">
        <f>CEILING(IFERROR(NORMSINV(1-$C$7/2),1.96)^2*IF(AND($C$5&gt;0,$C$5&lt;1),$C$5*(1-$C$5),0.25)/A39^2,1)</f>
        <v/>
      </c>
      <c r="C39" s="63">
        <f>IF(ABS(A39-$C$6)&lt;=0.0051,CEILING(IFERROR(NORMSINV(1-$C$7/2),1.96)^2*IF(AND($C$5&gt;0,$C$5&lt;1),$C$5*(1-$C$5),0.25)/A39^2,1),NA())</f>
        <v/>
      </c>
    </row>
    <row r="40">
      <c r="A40" s="62" t="n">
        <v>0.04</v>
      </c>
      <c r="B40" s="63">
        <f>CEILING(IFERROR(NORMSINV(1-$C$7/2),1.96)^2*IF(AND($C$5&gt;0,$C$5&lt;1),$C$5*(1-$C$5),0.25)/A40^2,1)</f>
        <v/>
      </c>
      <c r="C40" s="63">
        <f>IF(ABS(A40-$C$6)&lt;=0.0051,CEILING(IFERROR(NORMSINV(1-$C$7/2),1.96)^2*IF(AND($C$5&gt;0,$C$5&lt;1),$C$5*(1-$C$5),0.25)/A40^2,1),NA())</f>
        <v/>
      </c>
    </row>
    <row r="41">
      <c r="A41" s="62" t="n">
        <v>0.03</v>
      </c>
      <c r="B41" s="63">
        <f>CEILING(IFERROR(NORMSINV(1-$C$7/2),1.96)^2*IF(AND($C$5&gt;0,$C$5&lt;1),$C$5*(1-$C$5),0.25)/A41^2,1)</f>
        <v/>
      </c>
      <c r="C41" s="63">
        <f>IF(ABS(A41-$C$6)&lt;=0.0051,CEILING(IFERROR(NORMSINV(1-$C$7/2),1.96)^2*IF(AND($C$5&gt;0,$C$5&lt;1),$C$5*(1-$C$5),0.25)/A41^2,1),NA())</f>
        <v/>
      </c>
    </row>
    <row r="42">
      <c r="A42" s="62" t="n">
        <v>0.025</v>
      </c>
      <c r="B42" s="63">
        <f>CEILING(IFERROR(NORMSINV(1-$C$7/2),1.96)^2*IF(AND($C$5&gt;0,$C$5&lt;1),$C$5*(1-$C$5),0.25)/A42^2,1)</f>
        <v/>
      </c>
      <c r="C42" s="63">
        <f>IF(ABS(A42-$C$6)&lt;=0.0051,CEILING(IFERROR(NORMSINV(1-$C$7/2),1.96)^2*IF(AND($C$5&gt;0,$C$5&lt;1),$C$5*(1-$C$5),0.25)/A42^2,1),NA())</f>
        <v/>
      </c>
    </row>
    <row r="43">
      <c r="A43" s="62" t="n">
        <v>0.02</v>
      </c>
      <c r="B43" s="63">
        <f>CEILING(IFERROR(NORMSINV(1-$C$7/2),1.96)^2*IF(AND($C$5&gt;0,$C$5&lt;1),$C$5*(1-$C$5),0.25)/A43^2,1)</f>
        <v/>
      </c>
      <c r="C43" s="63">
        <f>IF(ABS(A43-$C$6)&lt;=0.0051,CEILING(IFERROR(NORMSINV(1-$C$7/2),1.96)^2*IF(AND($C$5&gt;0,$C$5&lt;1),$C$5*(1-$C$5),0.25)/A43^2,1),NA())</f>
        <v/>
      </c>
    </row>
    <row r="44">
      <c r="A44" s="62" t="n">
        <v>0.015</v>
      </c>
      <c r="B44" s="63">
        <f>CEILING(IFERROR(NORMSINV(1-$C$7/2),1.96)^2*IF(AND($C$5&gt;0,$C$5&lt;1),$C$5*(1-$C$5),0.25)/A44^2,1)</f>
        <v/>
      </c>
      <c r="C44" s="63">
        <f>IF(ABS(A44-$C$6)&lt;=0.0051,CEILING(IFERROR(NORMSINV(1-$C$7/2),1.96)^2*IF(AND($C$5&gt;0,$C$5&lt;1),$C$5*(1-$C$5),0.25)/A44^2,1),NA())</f>
        <v/>
      </c>
    </row>
    <row r="45">
      <c r="A45" s="62" t="n">
        <v>0.01</v>
      </c>
      <c r="B45" s="63">
        <f>CEILING(IFERROR(NORMSINV(1-$C$7/2),1.96)^2*IF(AND($C$5&gt;0,$C$5&lt;1),$C$5*(1-$C$5),0.25)/A45^2,1)</f>
        <v/>
      </c>
      <c r="C45" s="63">
        <f>IF(ABS(A45-$C$6)&lt;=0.0051,CEILING(IFERROR(NORMSINV(1-$C$7/2),1.96)^2*IF(AND($C$5&gt;0,$C$5&lt;1),$C$5*(1-$C$5),0.25)/A45^2,1),NA())</f>
        <v/>
      </c>
    </row>
    <row r="46"/>
    <row r="47"/>
    <row r="48"/>
    <row r="49"/>
    <row r="50"/>
    <row r="51"/>
    <row r="52" ht="77" customHeight="1" s="30">
      <c r="E52" s="70" t="inlineStr">
        <is>
          <t>HOW TO READ IT.  Read down, not across: halving the margin of error roughly quadruples the sample. The marked point is your own study. If it sits on the steep left-hand part of the curve, a small change in the precision you ask for costs you a lot of tickets — decide the margin you actually need before you commit to a duration.
SO:  Fix the margin of error first, then read the sample off the curve and let it set the duration. Sizing the other way round — picking a duration and accepting whatever precision falls out — is how a pilot ends up unable to answer its own question.</t>
        </is>
      </c>
    </row>
  </sheetData>
  <mergeCells count="15">
    <mergeCell ref="A1:D1"/>
    <mergeCell ref="A7:B7"/>
    <mergeCell ref="A35:D35"/>
    <mergeCell ref="A4:D4"/>
    <mergeCell ref="A11:B11"/>
    <mergeCell ref="A10:B10"/>
    <mergeCell ref="A5:B5"/>
    <mergeCell ref="E52:M52"/>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be8dc8995ebd</vt:lpwstr>
  </property>
</Properties>
</file>