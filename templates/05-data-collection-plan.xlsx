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How to use this" sheetId="1" state="visible" r:id="rId1"/>
    <sheet name="Collection plan" sheetId="2" state="visible" r:id="rId2"/>
    <sheet name="Six-trap data audit" sheetId="3" state="visible" r:id="rId3"/>
    <sheet name="Sample size calculator"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0%"/>
    <numFmt numFmtId="165" formatCode="0.000"/>
  </numFmts>
  <fonts count="24">
    <font>
      <name val="Calibri"/>
      <charset val="1"/>
      <family val="2"/>
      <color theme="1"/>
      <sz val="11"/>
    </font>
    <font>
      <name val="Arial"/>
      <family val="0"/>
      <sz val="10"/>
    </font>
    <font>
      <name val="Arial"/>
      <family val="0"/>
      <sz val="10"/>
    </font>
    <font>
      <name val="Arial"/>
      <family val="0"/>
      <sz val="10"/>
    </font>
    <font>
      <name val="Arial"/>
      <charset val="1"/>
      <family val="0"/>
      <b val="1"/>
      <color rgb="FF1F2937"/>
      <sz val="18"/>
    </font>
    <font>
      <name val="Arial"/>
      <charset val="1"/>
      <family val="0"/>
      <color rgb="FF1F2937"/>
      <sz val="10"/>
    </font>
    <font>
      <name val="Arial"/>
      <charset val="1"/>
      <family val="0"/>
      <b val="1"/>
      <color rgb="FFB45309"/>
      <sz val="12"/>
    </font>
    <font>
      <name val="Arial"/>
      <charset val="1"/>
      <family val="0"/>
      <b val="1"/>
      <color rgb="FFB91C1C"/>
      <sz val="10"/>
    </font>
    <font>
      <name val="Arial"/>
      <charset val="1"/>
      <family val="0"/>
      <b val="1"/>
      <color rgb="FFFFFFFF"/>
      <sz val="14"/>
    </font>
    <font>
      <name val="Arial"/>
      <charset val="1"/>
      <family val="0"/>
      <i val="1"/>
      <color rgb="FF657085"/>
      <sz val="9"/>
    </font>
    <font>
      <name val="Arial"/>
      <charset val="1"/>
      <family val="0"/>
      <b val="1"/>
      <color rgb="FFB45309"/>
      <sz val="9"/>
    </font>
    <font>
      <name val="Arial"/>
      <charset val="1"/>
      <family val="0"/>
      <color rgb="FF1F2937"/>
      <sz val="9"/>
    </font>
    <font>
      <name val="Arial"/>
      <charset val="1"/>
      <family val="0"/>
      <b val="1"/>
      <color rgb="FFFFFFFF"/>
      <sz val="9"/>
    </font>
    <font>
      <name val="Arial"/>
      <charset val="1"/>
      <family val="0"/>
      <color rgb="FF006100"/>
      <sz val="10"/>
    </font>
    <font>
      <name val="Arial"/>
      <charset val="1"/>
      <family val="0"/>
      <color rgb="FF0000FF"/>
      <sz val="10"/>
    </font>
    <font>
      <name val="Arial"/>
      <charset val="1"/>
      <family val="0"/>
      <b val="1"/>
      <color rgb="FFB45309"/>
      <sz val="10"/>
    </font>
    <font>
      <name val="Arial"/>
      <charset val="1"/>
      <family val="0"/>
      <b val="1"/>
      <color rgb="FF1F2937"/>
      <sz val="10"/>
    </font>
    <font>
      <name val="Arial"/>
      <charset val="1"/>
      <family val="0"/>
      <b val="1"/>
      <color rgb="FF0000FF"/>
      <sz val="11"/>
    </font>
    <font>
      <name val="Arial"/>
      <charset val="1"/>
      <family val="0"/>
      <b val="1"/>
      <color rgb="FF1F2937"/>
      <sz val="11"/>
    </font>
    <font>
      <name val="Arial"/>
      <charset val="1"/>
      <family val="0"/>
      <b val="1"/>
      <color rgb="FFB45309"/>
      <sz val="11"/>
    </font>
    <font>
      <name val="Arial"/>
      <charset val="1"/>
      <family val="0"/>
      <b val="1"/>
      <color rgb="FFB45309"/>
      <sz val="14"/>
    </font>
    <font>
      <name val="Arial"/>
      <family val="2"/>
      <sz val="10"/>
    </font>
    <font>
      <b val="1"/>
      <sz val="10"/>
    </font>
    <font>
      <i val="1"/>
      <color rgb="FF6B7280"/>
      <sz val="9"/>
    </font>
  </fonts>
  <fills count="10">
    <fill>
      <patternFill/>
    </fill>
    <fill>
      <patternFill patternType="gray125"/>
    </fill>
    <fill>
      <patternFill patternType="solid">
        <fgColor rgb="FFFDEEEE"/>
        <bgColor rgb="FFEEF1F6"/>
      </patternFill>
    </fill>
    <fill>
      <patternFill patternType="solid">
        <fgColor rgb="FF151B24"/>
        <bgColor rgb="FF1F2937"/>
      </patternFill>
    </fill>
    <fill>
      <patternFill patternType="solid">
        <fgColor rgb="FFEEF1F6"/>
        <bgColor rgb="FFF2F7FF"/>
      </patternFill>
    </fill>
    <fill>
      <patternFill patternType="solid">
        <fgColor rgb="FFFFF9E3"/>
        <bgColor rgb="FFFDEEEE"/>
      </patternFill>
    </fill>
    <fill>
      <patternFill patternType="solid">
        <fgColor rgb="FFF2F7FF"/>
        <bgColor rgb="FFEEF1F6"/>
      </patternFill>
    </fill>
    <fill>
      <patternFill patternType="solid">
        <fgColor rgb="FFECFAEF"/>
        <bgColor rgb="FFF2F7FF"/>
      </patternFill>
    </fill>
    <fill>
      <patternFill patternType="solid">
        <fgColor rgb="FF333C49"/>
        <bgColor rgb="FF1F2937"/>
      </patternFill>
    </fill>
    <fill>
      <patternFill patternType="solid">
        <fgColor rgb="FFF2F7FF"/>
      </patternFill>
    </fill>
  </fills>
  <borders count="2">
    <border>
      <left/>
      <right/>
      <top/>
      <bottom/>
      <diagonal/>
    </border>
    <border>
      <left style="thin">
        <color rgb="FFD8DEE8"/>
      </left>
      <right style="thin">
        <color rgb="FFD8DEE8"/>
      </right>
      <top style="thin">
        <color rgb="FFD8DEE8"/>
      </top>
      <bottom style="thin">
        <color rgb="FFD8DEE8"/>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4">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5" fillId="0" borderId="0" applyAlignment="1" pivotButton="0" quotePrefix="0" xfId="0">
      <alignment horizontal="general" vertical="top" wrapText="1" indent="1"/>
    </xf>
    <xf numFmtId="0" fontId="7" fillId="2" borderId="1" applyAlignment="1" pivotButton="0" quotePrefix="0" xfId="0">
      <alignment horizontal="general" vertical="top" wrapText="1" indent="1"/>
    </xf>
    <xf numFmtId="0" fontId="8" fillId="3" borderId="0" applyAlignment="1" pivotButton="0" quotePrefix="0" xfId="0">
      <alignment horizontal="general" vertical="center" indent="1"/>
    </xf>
    <xf numFmtId="0" fontId="9" fillId="0" borderId="0" applyAlignment="1" pivotButton="0" quotePrefix="0" xfId="0">
      <alignment horizontal="general" vertical="center" wrapText="1" indent="1"/>
    </xf>
    <xf numFmtId="0" fontId="10" fillId="4" borderId="0" applyAlignment="1" pivotButton="0" quotePrefix="0" xfId="0">
      <alignment horizontal="general" vertical="center" indent="1"/>
    </xf>
    <xf numFmtId="0" fontId="0" fillId="5" borderId="1" applyAlignment="1" pivotButton="0" quotePrefix="0" xfId="0">
      <alignment horizontal="general" vertical="bottom"/>
    </xf>
    <xf numFmtId="0" fontId="11" fillId="0" borderId="0" applyAlignment="1" pivotButton="0" quotePrefix="0" xfId="0">
      <alignment horizontal="general" vertical="bottom"/>
    </xf>
    <xf numFmtId="0" fontId="0" fillId="6" borderId="1" applyAlignment="1" pivotButton="0" quotePrefix="0" xfId="0">
      <alignment horizontal="general" vertical="bottom"/>
    </xf>
    <xf numFmtId="0" fontId="0" fillId="7" borderId="1" applyAlignment="1" pivotButton="0" quotePrefix="0" xfId="0">
      <alignment horizontal="general" vertical="bottom"/>
    </xf>
    <xf numFmtId="0" fontId="12" fillId="8" borderId="1" applyAlignment="1" pivotButton="0" quotePrefix="0" xfId="0">
      <alignment horizontal="general" vertical="bottom" wrapText="1"/>
    </xf>
    <xf numFmtId="0" fontId="13" fillId="7" borderId="1" applyAlignment="1" pivotButton="0" quotePrefix="0" xfId="0">
      <alignment horizontal="general" vertical="top" wrapText="1"/>
    </xf>
    <xf numFmtId="0" fontId="14" fillId="5" borderId="1" applyAlignment="1" pivotButton="0" quotePrefix="0" xfId="0">
      <alignment horizontal="general" vertical="top" wrapText="1"/>
    </xf>
    <xf numFmtId="0" fontId="9" fillId="0" borderId="0" applyAlignment="1" pivotButton="0" quotePrefix="0" xfId="0">
      <alignment horizontal="general" vertical="top" wrapText="1" indent="1"/>
    </xf>
    <xf numFmtId="0" fontId="15" fillId="0" borderId="1" applyAlignment="1" pivotButton="0" quotePrefix="0" xfId="0">
      <alignment horizontal="general" vertical="top" wrapText="1"/>
    </xf>
    <xf numFmtId="0" fontId="5" fillId="0" borderId="1" applyAlignment="1" pivotButton="0" quotePrefix="0" xfId="0">
      <alignment horizontal="general" vertical="top" wrapText="1"/>
    </xf>
    <xf numFmtId="0" fontId="16" fillId="0" borderId="0" applyAlignment="1" pivotButton="0" quotePrefix="0" xfId="0">
      <alignment horizontal="general" vertical="bottom"/>
    </xf>
    <xf numFmtId="164" fontId="17" fillId="5" borderId="1" applyAlignment="1" pivotButton="0" quotePrefix="0" xfId="0">
      <alignment horizontal="general" vertical="bottom"/>
    </xf>
    <xf numFmtId="0" fontId="9" fillId="0" borderId="0" applyAlignment="1" pivotButton="0" quotePrefix="0" xfId="0">
      <alignment horizontal="general" vertical="center" wrapText="1"/>
    </xf>
    <xf numFmtId="2" fontId="17" fillId="5" borderId="1" applyAlignment="1" pivotButton="0" quotePrefix="0" xfId="0">
      <alignment horizontal="general" vertical="bottom"/>
    </xf>
    <xf numFmtId="164" fontId="18" fillId="6" borderId="1" applyAlignment="1" pivotButton="0" quotePrefix="0" xfId="0">
      <alignment horizontal="general" vertical="bottom"/>
    </xf>
    <xf numFmtId="165" fontId="18" fillId="6" borderId="1" applyAlignment="1" pivotButton="0" quotePrefix="0" xfId="0">
      <alignment horizontal="general" vertical="bottom"/>
    </xf>
    <xf numFmtId="0" fontId="19" fillId="0" borderId="0" applyAlignment="1" pivotButton="0" quotePrefix="0" xfId="0">
      <alignment horizontal="general" vertical="bottom"/>
    </xf>
    <xf numFmtId="3" fontId="20" fillId="6" borderId="1" applyAlignment="1" pivotButton="0" quotePrefix="0" xfId="0">
      <alignment horizontal="general" vertical="bottom"/>
    </xf>
    <xf numFmtId="3" fontId="18" fillId="6" borderId="1" applyAlignment="1" pivotButton="0" quotePrefix="0" xfId="0">
      <alignment horizontal="general" vertical="bottom"/>
    </xf>
    <xf numFmtId="0" fontId="9"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5" fillId="0" borderId="0" applyAlignment="1" pivotButton="0" quotePrefix="0" xfId="0">
      <alignment horizontal="general" vertical="top" wrapText="1" indent="1"/>
    </xf>
    <xf numFmtId="0" fontId="7" fillId="2" borderId="1" applyAlignment="1" pivotButton="0" quotePrefix="0" xfId="0">
      <alignment horizontal="general" vertical="top" wrapText="1" indent="1"/>
    </xf>
    <xf numFmtId="0" fontId="8" fillId="3" borderId="0" applyAlignment="1" pivotButton="0" quotePrefix="0" xfId="0">
      <alignment horizontal="general" vertical="center" indent="1"/>
    </xf>
    <xf numFmtId="0" fontId="9" fillId="0" borderId="0" applyAlignment="1" pivotButton="0" quotePrefix="0" xfId="0">
      <alignment horizontal="general" vertical="center" wrapText="1" indent="1"/>
    </xf>
    <xf numFmtId="0" fontId="10" fillId="4" borderId="0" applyAlignment="1" pivotButton="0" quotePrefix="0" xfId="0">
      <alignment horizontal="general" vertical="center" indent="1"/>
    </xf>
    <xf numFmtId="0" fontId="0" fillId="5" borderId="1" applyAlignment="1" pivotButton="0" quotePrefix="0" xfId="0">
      <alignment horizontal="general" vertical="bottom"/>
    </xf>
    <xf numFmtId="0" fontId="11" fillId="0" borderId="0" applyAlignment="1" pivotButton="0" quotePrefix="0" xfId="0">
      <alignment horizontal="general" vertical="bottom"/>
    </xf>
    <xf numFmtId="0" fontId="0" fillId="6" borderId="1" applyAlignment="1" pivotButton="0" quotePrefix="0" xfId="0">
      <alignment horizontal="general" vertical="bottom"/>
    </xf>
    <xf numFmtId="0" fontId="0" fillId="7" borderId="1" applyAlignment="1" pivotButton="0" quotePrefix="0" xfId="0">
      <alignment horizontal="general" vertical="bottom"/>
    </xf>
    <xf numFmtId="0" fontId="12" fillId="8" borderId="1" applyAlignment="1" pivotButton="0" quotePrefix="0" xfId="0">
      <alignment horizontal="general" vertical="bottom" wrapText="1"/>
    </xf>
    <xf numFmtId="0" fontId="13" fillId="7" borderId="1" applyAlignment="1" pivotButton="0" quotePrefix="0" xfId="0">
      <alignment horizontal="general" vertical="top" wrapText="1"/>
    </xf>
    <xf numFmtId="0" fontId="14" fillId="5" borderId="1" applyAlignment="1" pivotButton="0" quotePrefix="0" xfId="0">
      <alignment horizontal="general" vertical="top" wrapText="1"/>
    </xf>
    <xf numFmtId="0" fontId="9" fillId="0" borderId="0" applyAlignment="1" pivotButton="0" quotePrefix="0" xfId="0">
      <alignment horizontal="general" vertical="top" wrapText="1" indent="1"/>
    </xf>
    <xf numFmtId="0" fontId="15" fillId="0" borderId="1" applyAlignment="1" pivotButton="0" quotePrefix="0" xfId="0">
      <alignment horizontal="general" vertical="top" wrapText="1"/>
    </xf>
    <xf numFmtId="0" fontId="5" fillId="0" borderId="1" applyAlignment="1" pivotButton="0" quotePrefix="0" xfId="0">
      <alignment horizontal="general" vertical="top" wrapText="1"/>
    </xf>
    <xf numFmtId="0" fontId="16" fillId="0" borderId="0" applyAlignment="1" pivotButton="0" quotePrefix="0" xfId="0">
      <alignment horizontal="general" vertical="bottom"/>
    </xf>
    <xf numFmtId="164" fontId="17" fillId="5" borderId="1" applyAlignment="1" pivotButton="0" quotePrefix="0" xfId="0">
      <alignment horizontal="general" vertical="bottom"/>
    </xf>
    <xf numFmtId="0" fontId="9" fillId="0" borderId="0" applyAlignment="1" pivotButton="0" quotePrefix="0" xfId="0">
      <alignment horizontal="general" vertical="center" wrapText="1"/>
    </xf>
    <xf numFmtId="2" fontId="17" fillId="5" borderId="1" applyAlignment="1" pivotButton="0" quotePrefix="0" xfId="0">
      <alignment horizontal="general" vertical="bottom"/>
    </xf>
    <xf numFmtId="164" fontId="18" fillId="6" borderId="1" applyAlignment="1" pivotButton="0" quotePrefix="0" xfId="0">
      <alignment horizontal="general" vertical="bottom"/>
    </xf>
    <xf numFmtId="165" fontId="18" fillId="6" borderId="1" applyAlignment="1" pivotButton="0" quotePrefix="0" xfId="0">
      <alignment horizontal="general" vertical="bottom"/>
    </xf>
    <xf numFmtId="0" fontId="19" fillId="0" borderId="0" applyAlignment="1" pivotButton="0" quotePrefix="0" xfId="0">
      <alignment horizontal="general" vertical="bottom"/>
    </xf>
    <xf numFmtId="3" fontId="20" fillId="6" borderId="1" applyAlignment="1" pivotButton="0" quotePrefix="0" xfId="0">
      <alignment horizontal="general" vertical="bottom"/>
    </xf>
    <xf numFmtId="3" fontId="18" fillId="6" borderId="1" applyAlignment="1" pivotButton="0" quotePrefix="0" xfId="0">
      <alignment horizontal="general" vertical="bottom"/>
    </xf>
    <xf numFmtId="0" fontId="9" fillId="0" borderId="0" applyAlignment="1" pivotButton="0" quotePrefix="0" xfId="0">
      <alignment horizontal="general" vertical="top" wrapText="1"/>
    </xf>
    <xf numFmtId="0" fontId="22" fillId="0" borderId="0" applyAlignment="1" pivotButton="0" quotePrefix="0" xfId="0">
      <alignment vertical="center" wrapText="1"/>
    </xf>
    <xf numFmtId="0" fontId="23" fillId="0" borderId="0" pivotButton="0" quotePrefix="0" xfId="0"/>
    <xf numFmtId="0" fontId="22" fillId="0" borderId="0" pivotButton="0" quotePrefix="0" xfId="0"/>
    <xf numFmtId="164" fontId="0" fillId="0" borderId="0" pivotButton="0" quotePrefix="0" xfId="0"/>
    <xf numFmtId="3" fontId="0" fillId="9"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B45309"/>
      <rgbColor rgb="FFFFF9E3"/>
      <rgbColor rgb="FFECFAEF"/>
      <rgbColor rgb="FF660066"/>
      <rgbColor rgb="FFFF8080"/>
      <rgbColor rgb="FF0066CC"/>
      <rgbColor rgb="FFD8DEE8"/>
      <rgbColor rgb="FF000080"/>
      <rgbColor rgb="FFFF00FF"/>
      <rgbColor rgb="FFFFFF00"/>
      <rgbColor rgb="FF00FFFF"/>
      <rgbColor rgb="FF800080"/>
      <rgbColor rgb="FF800000"/>
      <rgbColor rgb="FF008080"/>
      <rgbColor rgb="FF0000FF"/>
      <rgbColor rgb="FF00CCFF"/>
      <rgbColor rgb="FFF2F7FF"/>
      <rgbColor rgb="FFEEF1F6"/>
      <rgbColor rgb="FFFDEEEE"/>
      <rgbColor rgb="FF99CCFF"/>
      <rgbColor rgb="FFFF99CC"/>
      <rgbColor rgb="FFCC99FF"/>
      <rgbColor rgb="FFFFCC99"/>
      <rgbColor rgb="FF3366FF"/>
      <rgbColor rgb="FF33CCCC"/>
      <rgbColor rgb="FF99CC00"/>
      <rgbColor rgb="FFFFCC00"/>
      <rgbColor rgb="FFFF9900"/>
      <rgbColor rgb="FFFF6600"/>
      <rgbColor rgb="FF657085"/>
      <rgbColor rgb="FF969696"/>
      <rgbColor rgb="FF003366"/>
      <rgbColor rgb="FF339966"/>
      <rgbColor rgb="FF151B24"/>
      <rgbColor rgb="FF1F2937"/>
      <rgbColor rgb="FFB91C1C"/>
      <rgbColor rgb="FF993366"/>
      <rgbColor rgb="FF333399"/>
      <rgbColor rgb="FF333C49"/>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roundedCorners val="0"/>
  <style val="2"/>
  <chart>
    <title>
      <tx>
        <rich>
          <a:bodyPr/>
          <a:p>
            <a:pPr>
              <a:defRPr/>
            </a:pPr>
            <a:r>
              <a:t>Sample size against margin of error</a:t>
            </a:r>
          </a:p>
        </rich>
      </tx>
    </title>
    <plotArea>
      <lineChart>
        <grouping val="standard"/>
        <ser>
          <idx val="0"/>
          <order val="0"/>
          <tx>
            <v>Sample needed</v>
          </tx>
          <spPr>
            <a:ln w="28000">
              <a:solidFill>
                <a:srgbClr val="1F4E79"/>
              </a:solidFill>
              <a:prstDash val="solid"/>
            </a:ln>
          </spPr>
          <marker>
            <symbol val="circle"/>
            <size val="6"/>
            <spPr>
              <a:solidFill>
                <a:srgbClr val="1F4E79"/>
              </a:solidFill>
              <a:ln>
                <a:prstDash val="solid"/>
              </a:ln>
            </spPr>
          </marker>
          <cat>
            <numRef>
              <f>'Sample size calculator'!$A$37:$A$45</f>
            </numRef>
          </cat>
          <val>
            <numRef>
              <f>'Sample size calculator'!$B$37:$B$45</f>
            </numRef>
          </val>
          <smooth val="0"/>
        </ser>
        <ser>
          <idx val="1"/>
          <order val="1"/>
          <tx>
            <v>The usual choice: 5% margin</v>
          </tx>
          <spPr>
            <a:ln w="16000">
              <a:solidFill>
                <a:srgbClr val="C0392B"/>
              </a:solidFill>
              <a:prstDash val="dash"/>
            </a:ln>
          </spPr>
          <marker>
            <symbol val="none"/>
            <spPr>
              <a:ln>
                <a:prstDash val="solid"/>
              </a:ln>
            </spPr>
          </marker>
          <cat>
            <numRef>
              <f>'Sample size calculator'!$A$37:$A$45</f>
            </numRef>
          </cat>
          <val>
            <numRef>
              <f>'Sample size calculator'!$C$37:$C$45</f>
            </numRef>
          </val>
          <smooth val="0"/>
        </ser>
        <axId val="10"/>
        <axId val="100"/>
      </lineChart>
      <catAx>
        <axId val="10"/>
        <scaling>
          <orientation val="minMax"/>
        </scaling>
        <delete val="0"/>
        <axPos val="l"/>
        <majorTickMark val="none"/>
        <minorTickMark val="none"/>
        <tickLblPos val="low"/>
        <crossAx val="100"/>
        <lblOffset val="100"/>
        <tickLblSkip val="1"/>
        <tickMarkSkip val="1"/>
      </catAx>
      <valAx>
        <axId val="100"/>
        <scaling>
          <orientation val="minMax"/>
        </scaling>
        <delete val="0"/>
        <axPos val="l"/>
        <majorGridlines/>
        <title>
          <tx>
            <rich>
              <a:bodyPr/>
              <a:p>
                <a:pPr>
                  <a:defRPr/>
                </a:pPr>
                <a:r>
                  <a:t>Contacts to sample</a:t>
                </a:r>
              </a:p>
            </rich>
          </tx>
        </title>
        <numFmt formatCode="#,##0" sourceLinked="0"/>
        <majorTickMark val="none"/>
        <minorTickMark val="none"/>
        <tickLblPos val="nextTo"/>
        <crossAx val="10"/>
      </valAx>
    </plotArea>
    <legend>
      <legendPos val="r"/>
    </legend>
    <plotVisOnly val="1"/>
    <dispBlanksAs val="gap"/>
  </chart>
</chartSpace>
</file>

<file path=xl/comments/comment1.xml><?xml version="1.0" encoding="utf-8"?>
<comments xmlns="http://schemas.openxmlformats.org/spreadsheetml/2006/main">
  <authors>
    <author>Unknown Author</author>
  </authors>
  <commentList>
    <comment ref="C5" authorId="0" shapeId="0">
      <text>
        <t>Your baseline over at least 13 weeks. From your reporting.</t>
      </text>
    </comment>
    <comment ref="C6" authorId="0" shapeId="0">
      <text>
        <t>In percentage points. Work it backwards from your benefit target — what improvement delivers the money the charter promised?</t>
      </text>
    </comment>
    <comment ref="C7" authorId="0" shapeId="0">
      <text>
        <t>0.05 is standard. Use 0.01 when acting on the result is expensive.</t>
      </text>
    </comment>
    <comment ref="C8" authorId="0" shapeId="0">
      <text>
        <t>0.80 minimum, 0.90 for anything you will spend real money on.</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33</row>
      <rowOff>0</rowOff>
    </from>
    <ext cx="61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1"/>
  </sheetPr>
  <dimension ref="A1:B40"/>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9" min="1" max="1"/>
    <col width="108" customWidth="1" style="29" min="2" max="2"/>
  </cols>
  <sheetData>
    <row r="1"/>
    <row r="2" ht="30" customHeight="1" s="30">
      <c r="B2" s="31" t="inlineStr">
        <is>
          <t>Data Collection Plan</t>
        </is>
      </c>
    </row>
    <row r="3" ht="39" customHeight="1" s="30">
      <c r="B3" s="32" t="inlineStr">
        <is>
          <t>Write this before you touch a query. It takes twenty minutes and it prevents the most common failure in support analysis: discovering after four weeks of work that the difference you found was a change in what customers were contacting about.</t>
        </is>
      </c>
    </row>
    <row r="4"/>
    <row r="5" ht="24" customHeight="1" s="30">
      <c r="B5" s="33" t="inlineStr">
        <is>
          <t>The three tabs</t>
        </is>
      </c>
    </row>
    <row r="6" ht="15" customHeight="1" s="30">
      <c r="B6" s="34" t="inlineStr">
        <is>
          <t>COLLECTION PLAN — what you are collecting, from where, how much, and split by what.</t>
        </is>
      </c>
    </row>
    <row r="7" ht="25.5" customHeight="1" s="30">
      <c r="B7" s="34" t="inlineStr">
        <is>
          <t>SIX-TRAP DATA AUDIT — run these six checks before you trust anything. Every cohort finds at least two problems.</t>
        </is>
      </c>
    </row>
    <row r="8" ht="25.5" customHeight="1" s="30">
      <c r="B8" s="34" t="inlineStr">
        <is>
          <t>SAMPLE SIZE CALCULATOR — how many observations you need. Set the detectable effect to your practical threshold, not to what you hope to find.</t>
        </is>
      </c>
    </row>
    <row r="9"/>
    <row r="10" ht="24" customHeight="1" s="30">
      <c r="B10" s="33" t="inlineStr">
        <is>
          <t>The single most important column</t>
        </is>
      </c>
    </row>
    <row r="11" ht="39" customHeight="1" s="30">
      <c r="B11" s="32" t="inlineStr">
        <is>
          <t>STRATIFY BY. List your stratification factors before you query, not after the first surprising result. In support that usually means contact reason, channel, customer segment, agent tenure band, site and day-part.</t>
        </is>
      </c>
    </row>
    <row r="12"/>
    <row r="13" ht="39" customHeight="1" s="30">
      <c r="B13" s="35" t="inlineStr">
        <is>
          <t>Snapshot your extract somewhere immutable and never analyse an extract you cannot reproduce. Support records get edited after the fact, so the same query can return a different answer next month — and your Finance-signed baseline needs to still be there in six months.</t>
        </is>
      </c>
    </row>
    <row r="14"/>
    <row r="15"/>
    <row r="16"/>
    <row r="17"/>
    <row r="18"/>
    <row r="19"/>
    <row r="20"/>
    <row r="21"/>
    <row r="22"/>
    <row r="23"/>
    <row r="24"/>
    <row r="25"/>
    <row r="26"/>
    <row r="27"/>
    <row r="28"/>
    <row r="29"/>
    <row r="30"/>
    <row r="31"/>
    <row r="32"/>
    <row r="33"/>
    <row r="34"/>
    <row r="35"/>
    <row r="36"/>
    <row r="37"/>
    <row r="38"/>
    <row r="39"/>
    <row r="40"/>
  </sheetData>
  <printOptions horizontalCentered="1"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P27"/>
  <sheetViews>
    <sheetView showFormulas="0" showGridLines="1" showRowColHeaders="1" showZeros="1" rightToLeft="0" tabSelected="0" showOutlineSymbols="1" defaultGridColor="1"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1" activeCellId="0" sqref="A1"/>
    </sheetView>
  </sheetViews>
  <sheetFormatPr baseColWidth="8" defaultColWidth="8.6796875" defaultRowHeight="15" zeroHeight="0" outlineLevelRow="0"/>
  <cols>
    <col width="24" customWidth="1" style="29" min="1" max="1"/>
    <col width="14" customWidth="1" style="29" min="2" max="2"/>
    <col width="20" customWidth="1" style="29" min="3" max="3"/>
    <col width="30" customWidth="1" style="29" min="4" max="4"/>
    <col width="18" customWidth="1" style="29" min="5" max="5"/>
    <col width="22" customWidth="1" style="29" min="6" max="6"/>
    <col width="16" customWidth="1" style="29" min="7" max="7"/>
    <col width="12" customWidth="1" style="29" min="8" max="8"/>
    <col width="32" customWidth="1" style="29" min="9" max="9"/>
    <col width="20" customWidth="1" style="29" min="10" max="10"/>
    <col width="32" customWidth="1" style="29" min="11" max="11"/>
    <col width="16" customWidth="1" style="29" min="12" max="12"/>
    <col width="14" customWidth="1" style="29" min="13" max="13"/>
    <col width="24" customWidth="1" style="29" min="14" max="14"/>
    <col width="28" customWidth="1" style="29" min="15" max="15"/>
    <col width="14" customWidth="1" style="29" min="16" max="16"/>
  </cols>
  <sheetData>
    <row r="1" ht="25.5" customHeight="1" s="30">
      <c r="A1" s="36" t="inlineStr">
        <is>
          <t>Data Collection Plan</t>
        </is>
      </c>
    </row>
    <row r="2" ht="27.75" customHeight="1" s="30">
      <c r="A2" s="37" t="inlineStr">
        <is>
          <t>Decide all of this before you write a single query. The audit tab catches the six traps that ruin support data.</t>
        </is>
      </c>
    </row>
    <row r="4" ht="19.5" customHeight="1" s="30">
      <c r="A4" s="38" t="inlineStr">
        <is>
          <t>HOW TO USE THIS SHEET</t>
        </is>
      </c>
    </row>
    <row r="5" ht="15" customHeight="1" s="30">
      <c r="A5" s="39" t="inlineStr">
        <is>
          <t>Yellow cells</t>
        </is>
      </c>
      <c r="B5" s="40" t="inlineStr">
        <is>
          <t>You fill these in. Blue text = a number you typed.</t>
        </is>
      </c>
    </row>
    <row r="6" ht="15" customHeight="1" s="30">
      <c r="A6" s="41" t="inlineStr">
        <is>
          <t>Blue cells</t>
        </is>
      </c>
      <c r="B6" s="40" t="inlineStr">
        <is>
          <t>Calculated for you. Do not type over these — they contain formulas.</t>
        </is>
      </c>
    </row>
    <row r="7" ht="15" customHeight="1" s="30">
      <c r="A7" s="42" t="inlineStr">
        <is>
          <t>Row 1 example</t>
        </is>
      </c>
      <c r="B7" s="40" t="inlineStr">
        <is>
          <t>A realistic worked example, so you can see the expected format. Delete or overwrite it.</t>
        </is>
      </c>
    </row>
    <row r="9" ht="31.5" customHeight="1" s="30">
      <c r="A9" s="43" t="inlineStr">
        <is>
          <t>Metric</t>
        </is>
      </c>
      <c r="B9" s="43" t="inlineStr">
        <is>
          <t>Data type</t>
        </is>
      </c>
      <c r="C9" s="43" t="inlineStr">
        <is>
          <t>Source system</t>
        </is>
      </c>
      <c r="D9" s="43" t="inlineStr">
        <is>
          <t>How you will extract it</t>
        </is>
      </c>
      <c r="E9" s="43" t="inlineStr">
        <is>
          <t>Unit of analysis</t>
        </is>
      </c>
      <c r="F9" s="43" t="inlineStr">
        <is>
          <t>Population</t>
        </is>
      </c>
      <c r="G9" s="43" t="inlineStr">
        <is>
          <t>Time window</t>
        </is>
      </c>
      <c r="H9" s="43" t="inlineStr">
        <is>
          <t>Sample size</t>
        </is>
      </c>
      <c r="I9" s="43" t="inlineStr">
        <is>
          <t>How that sample size was derived</t>
        </is>
      </c>
      <c r="J9" s="43" t="inlineStr">
        <is>
          <t>Sampling method</t>
        </is>
      </c>
      <c r="K9" s="43" t="inlineStr">
        <is>
          <t>Stratify by</t>
        </is>
      </c>
      <c r="L9" s="43" t="inlineStr">
        <is>
          <t>Who collects</t>
        </is>
      </c>
      <c r="M9" s="43" t="inlineStr">
        <is>
          <t>When</t>
        </is>
      </c>
      <c r="N9" s="43" t="inlineStr">
        <is>
          <t>Where stored</t>
        </is>
      </c>
      <c r="O9" s="43" t="inlineStr">
        <is>
          <t>Validation check</t>
        </is>
      </c>
      <c r="P9" s="43" t="inlineStr">
        <is>
          <t>Owner</t>
        </is>
      </c>
    </row>
    <row r="10" ht="23.85" customHeight="1" s="30">
      <c r="A10" s="44" t="inlineStr">
        <is>
          <t>7-day reopen rate</t>
        </is>
      </c>
      <c r="B10" s="44" t="inlineStr">
        <is>
          <t>Proportion</t>
        </is>
      </c>
      <c r="C10" s="44" t="inlineStr">
        <is>
          <t>Zendesk</t>
        </is>
      </c>
      <c r="D10" s="44" t="inlineStr">
        <is>
          <t>Warehouse query, saved as reopen_v2.sql</t>
        </is>
      </c>
      <c r="E10" s="44" t="inlineStr">
        <is>
          <t>Issue</t>
        </is>
      </c>
      <c r="F10" s="44" t="inlineStr">
        <is>
          <t>All billing tickets first resolved in the window</t>
        </is>
      </c>
      <c r="G10" s="44" t="inlineStr">
        <is>
          <t>2026-01-01 to 2026-03-31</t>
        </is>
      </c>
      <c r="H10" s="44" t="n">
        <v>61400</v>
      </c>
      <c r="I10" s="44" t="inlineStr">
        <is>
          <t>Full population, no sampling needed</t>
        </is>
      </c>
      <c r="J10" s="44" t="inlineStr">
        <is>
          <t>Census</t>
        </is>
      </c>
      <c r="K10" s="44" t="inlineStr">
        <is>
          <t>Contact reason, tenure band, channel, site</t>
        </is>
      </c>
      <c r="L10" s="44" t="inlineStr">
        <is>
          <t>Analytics</t>
        </is>
      </c>
      <c r="M10" s="44" t="inlineStr">
        <is>
          <t>Weekly Monday</t>
        </is>
      </c>
      <c r="N10" s="44" t="inlineStr">
        <is>
          <t>warehouse + immutable snapshot</t>
        </is>
      </c>
      <c r="O10" s="44" t="inlineStr">
        <is>
          <t>Reconcile total to the ops dashboard</t>
        </is>
      </c>
      <c r="P10" s="44" t="inlineStr">
        <is>
          <t>M. Berenji</t>
        </is>
      </c>
    </row>
    <row r="11" ht="30" customHeight="1" s="30">
      <c r="A11" s="45" t="n"/>
      <c r="B11" s="45" t="n"/>
      <c r="C11" s="45" t="n"/>
      <c r="D11" s="45" t="n"/>
      <c r="E11" s="45" t="n"/>
      <c r="F11" s="45" t="n"/>
      <c r="G11" s="45" t="n"/>
      <c r="H11" s="45" t="n"/>
      <c r="I11" s="45" t="n"/>
      <c r="J11" s="45" t="n"/>
      <c r="K11" s="45" t="n"/>
      <c r="L11" s="45" t="n"/>
      <c r="M11" s="45" t="n"/>
      <c r="N11" s="45" t="n"/>
      <c r="O11" s="45" t="n"/>
      <c r="P11" s="45" t="n"/>
    </row>
    <row r="12" ht="30" customHeight="1" s="30">
      <c r="A12" s="45" t="n"/>
      <c r="B12" s="45" t="n"/>
      <c r="C12" s="45" t="n"/>
      <c r="D12" s="45" t="n"/>
      <c r="E12" s="45" t="n"/>
      <c r="F12" s="45" t="n"/>
      <c r="G12" s="45" t="n"/>
      <c r="H12" s="45" t="n"/>
      <c r="I12" s="45" t="n"/>
      <c r="J12" s="45" t="n"/>
      <c r="K12" s="45" t="n"/>
      <c r="L12" s="45" t="n"/>
      <c r="M12" s="45" t="n"/>
      <c r="N12" s="45" t="n"/>
      <c r="O12" s="45" t="n"/>
      <c r="P12" s="45" t="n"/>
    </row>
    <row r="13" ht="30" customHeight="1" s="30">
      <c r="A13" s="45" t="n"/>
      <c r="B13" s="45" t="n"/>
      <c r="C13" s="45" t="n"/>
      <c r="D13" s="45" t="n"/>
      <c r="E13" s="45" t="n"/>
      <c r="F13" s="45" t="n"/>
      <c r="G13" s="45" t="n"/>
      <c r="H13" s="45" t="n"/>
      <c r="I13" s="45" t="n"/>
      <c r="J13" s="45" t="n"/>
      <c r="K13" s="45" t="n"/>
      <c r="L13" s="45" t="n"/>
      <c r="M13" s="45" t="n"/>
      <c r="N13" s="45" t="n"/>
      <c r="O13" s="45" t="n"/>
      <c r="P13" s="45" t="n"/>
    </row>
    <row r="14" ht="30" customHeight="1" s="30">
      <c r="A14" s="45" t="n"/>
      <c r="B14" s="45" t="n"/>
      <c r="C14" s="45" t="n"/>
      <c r="D14" s="45" t="n"/>
      <c r="E14" s="45" t="n"/>
      <c r="F14" s="45" t="n"/>
      <c r="G14" s="45" t="n"/>
      <c r="H14" s="45" t="n"/>
      <c r="I14" s="45" t="n"/>
      <c r="J14" s="45" t="n"/>
      <c r="K14" s="45" t="n"/>
      <c r="L14" s="45" t="n"/>
      <c r="M14" s="45" t="n"/>
      <c r="N14" s="45" t="n"/>
      <c r="O14" s="45" t="n"/>
      <c r="P14" s="45" t="n"/>
    </row>
    <row r="15" ht="30" customHeight="1" s="30">
      <c r="A15" s="45" t="n"/>
      <c r="B15" s="45" t="n"/>
      <c r="C15" s="45" t="n"/>
      <c r="D15" s="45" t="n"/>
      <c r="E15" s="45" t="n"/>
      <c r="F15" s="45" t="n"/>
      <c r="G15" s="45" t="n"/>
      <c r="H15" s="45" t="n"/>
      <c r="I15" s="45" t="n"/>
      <c r="J15" s="45" t="n"/>
      <c r="K15" s="45" t="n"/>
      <c r="L15" s="45" t="n"/>
      <c r="M15" s="45" t="n"/>
      <c r="N15" s="45" t="n"/>
      <c r="O15" s="45" t="n"/>
      <c r="P15" s="45" t="n"/>
    </row>
    <row r="16" ht="30" customHeight="1" s="30">
      <c r="A16" s="45" t="n"/>
      <c r="B16" s="45" t="n"/>
      <c r="C16" s="45" t="n"/>
      <c r="D16" s="45" t="n"/>
      <c r="E16" s="45" t="n"/>
      <c r="F16" s="45" t="n"/>
      <c r="G16" s="45" t="n"/>
      <c r="H16" s="45" t="n"/>
      <c r="I16" s="45" t="n"/>
      <c r="J16" s="45" t="n"/>
      <c r="K16" s="45" t="n"/>
      <c r="L16" s="45" t="n"/>
      <c r="M16" s="45" t="n"/>
      <c r="N16" s="45" t="n"/>
      <c r="O16" s="45" t="n"/>
      <c r="P16" s="45" t="n"/>
    </row>
    <row r="17" ht="30" customHeight="1" s="30">
      <c r="A17" s="45" t="n"/>
      <c r="B17" s="45" t="n"/>
      <c r="C17" s="45" t="n"/>
      <c r="D17" s="45" t="n"/>
      <c r="E17" s="45" t="n"/>
      <c r="F17" s="45" t="n"/>
      <c r="G17" s="45" t="n"/>
      <c r="H17" s="45" t="n"/>
      <c r="I17" s="45" t="n"/>
      <c r="J17" s="45" t="n"/>
      <c r="K17" s="45" t="n"/>
      <c r="L17" s="45" t="n"/>
      <c r="M17" s="45" t="n"/>
      <c r="N17" s="45" t="n"/>
      <c r="O17" s="45" t="n"/>
      <c r="P17" s="45" t="n"/>
    </row>
    <row r="18" ht="30" customHeight="1" s="30">
      <c r="A18" s="45" t="n"/>
      <c r="B18" s="45" t="n"/>
      <c r="C18" s="45" t="n"/>
      <c r="D18" s="45" t="n"/>
      <c r="E18" s="45" t="n"/>
      <c r="F18" s="45" t="n"/>
      <c r="G18" s="45" t="n"/>
      <c r="H18" s="45" t="n"/>
      <c r="I18" s="45" t="n"/>
      <c r="J18" s="45" t="n"/>
      <c r="K18" s="45" t="n"/>
      <c r="L18" s="45" t="n"/>
      <c r="M18" s="45" t="n"/>
      <c r="N18" s="45" t="n"/>
      <c r="O18" s="45" t="n"/>
      <c r="P18" s="45" t="n"/>
    </row>
    <row r="19" ht="30" customHeight="1" s="30">
      <c r="A19" s="45" t="n"/>
      <c r="B19" s="45" t="n"/>
      <c r="C19" s="45" t="n"/>
      <c r="D19" s="45" t="n"/>
      <c r="E19" s="45" t="n"/>
      <c r="F19" s="45" t="n"/>
      <c r="G19" s="45" t="n"/>
      <c r="H19" s="45" t="n"/>
      <c r="I19" s="45" t="n"/>
      <c r="J19" s="45" t="n"/>
      <c r="K19" s="45" t="n"/>
      <c r="L19" s="45" t="n"/>
      <c r="M19" s="45" t="n"/>
      <c r="N19" s="45" t="n"/>
      <c r="O19" s="45" t="n"/>
      <c r="P19" s="45" t="n"/>
    </row>
    <row r="20" ht="30" customHeight="1" s="30">
      <c r="A20" s="45" t="n"/>
      <c r="B20" s="45" t="n"/>
      <c r="C20" s="45" t="n"/>
      <c r="D20" s="45" t="n"/>
      <c r="E20" s="45" t="n"/>
      <c r="F20" s="45" t="n"/>
      <c r="G20" s="45" t="n"/>
      <c r="H20" s="45" t="n"/>
      <c r="I20" s="45" t="n"/>
      <c r="J20" s="45" t="n"/>
      <c r="K20" s="45" t="n"/>
      <c r="L20" s="45" t="n"/>
      <c r="M20" s="45" t="n"/>
      <c r="N20" s="45" t="n"/>
      <c r="O20" s="45" t="n"/>
      <c r="P20" s="45" t="n"/>
    </row>
    <row r="21" ht="30" customHeight="1" s="30">
      <c r="A21" s="45" t="n"/>
      <c r="B21" s="45" t="n"/>
      <c r="C21" s="45" t="n"/>
      <c r="D21" s="45" t="n"/>
      <c r="E21" s="45" t="n"/>
      <c r="F21" s="45" t="n"/>
      <c r="G21" s="45" t="n"/>
      <c r="H21" s="45" t="n"/>
      <c r="I21" s="45" t="n"/>
      <c r="J21" s="45" t="n"/>
      <c r="K21" s="45" t="n"/>
      <c r="L21" s="45" t="n"/>
      <c r="M21" s="45" t="n"/>
      <c r="N21" s="45" t="n"/>
      <c r="O21" s="45" t="n"/>
      <c r="P21" s="45" t="n"/>
    </row>
    <row r="22" ht="30" customHeight="1" s="30">
      <c r="A22" s="45" t="n"/>
      <c r="B22" s="45" t="n"/>
      <c r="C22" s="45" t="n"/>
      <c r="D22" s="45" t="n"/>
      <c r="E22" s="45" t="n"/>
      <c r="F22" s="45" t="n"/>
      <c r="G22" s="45" t="n"/>
      <c r="H22" s="45" t="n"/>
      <c r="I22" s="45" t="n"/>
      <c r="J22" s="45" t="n"/>
      <c r="K22" s="45" t="n"/>
      <c r="L22" s="45" t="n"/>
      <c r="M22" s="45" t="n"/>
      <c r="N22" s="45" t="n"/>
      <c r="O22" s="45" t="n"/>
      <c r="P22" s="45" t="n"/>
    </row>
    <row r="23" ht="30" customHeight="1" s="30">
      <c r="A23" s="45" t="n"/>
      <c r="B23" s="45" t="n"/>
      <c r="C23" s="45" t="n"/>
      <c r="D23" s="45" t="n"/>
      <c r="E23" s="45" t="n"/>
      <c r="F23" s="45" t="n"/>
      <c r="G23" s="45" t="n"/>
      <c r="H23" s="45" t="n"/>
      <c r="I23" s="45" t="n"/>
      <c r="J23" s="45" t="n"/>
      <c r="K23" s="45" t="n"/>
      <c r="L23" s="45" t="n"/>
      <c r="M23" s="45" t="n"/>
      <c r="N23" s="45" t="n"/>
      <c r="O23" s="45" t="n"/>
      <c r="P23" s="45" t="n"/>
    </row>
    <row r="24" ht="30" customHeight="1" s="30">
      <c r="A24" s="45" t="n"/>
      <c r="B24" s="45" t="n"/>
      <c r="C24" s="45" t="n"/>
      <c r="D24" s="45" t="n"/>
      <c r="E24" s="45" t="n"/>
      <c r="F24" s="45" t="n"/>
      <c r="G24" s="45" t="n"/>
      <c r="H24" s="45" t="n"/>
      <c r="I24" s="45" t="n"/>
      <c r="J24" s="45" t="n"/>
      <c r="K24" s="45" t="n"/>
      <c r="L24" s="45" t="n"/>
      <c r="M24" s="45" t="n"/>
      <c r="N24" s="45" t="n"/>
      <c r="O24" s="45" t="n"/>
      <c r="P24" s="45" t="n"/>
    </row>
    <row r="26" ht="19.5" customHeight="1" s="30">
      <c r="A26" s="38" t="inlineStr">
        <is>
          <t>STRATIFICATION FACTORS TO CONSIDER  —  decide these BEFORE you query, not after the first surprising result</t>
        </is>
      </c>
    </row>
    <row r="27" ht="39" customHeight="1" s="30">
      <c r="A27" s="46" t="inlineStr">
        <is>
          <t>Contact reason / intent  ·  Channel  ·  Customer segment or tier  ·  Product or SKU  ·  Agent tenure band  ·  Site or vendor  ·  Shift and day-part  ·  Language  ·  New vs. returning issue  ·  Whether a bot handled it first</t>
        </is>
      </c>
    </row>
  </sheetData>
  <mergeCells count="8">
    <mergeCell ref="B7:F7"/>
    <mergeCell ref="B6:F6"/>
    <mergeCell ref="A1:P1"/>
    <mergeCell ref="A27:P27"/>
    <mergeCell ref="B5:F5"/>
    <mergeCell ref="A4:F4"/>
    <mergeCell ref="A26:P26"/>
    <mergeCell ref="A2:P2"/>
  </mergeCells>
  <dataValidations count="2">
    <dataValidation sqref="B10:B24" showDropDown="0" showInputMessage="0" showErrorMessage="0" allowBlank="1" type="list" errorStyle="stop" operator="between">
      <formula1>"Continuous,Proportion,Count,Ordinal,Categorical"</formula1>
      <formula2>0</formula2>
    </dataValidation>
    <dataValidation sqref="J10:J24" showDropDown="0" showInputMessage="0" showErrorMessage="0" allowBlank="1" type="list" errorStyle="stop" operator="between">
      <formula1>"Census,Simple random,Stratified random,Systematic,Cluster,Convenience (justify)"</formula1>
      <formula2>0</formula2>
    </dataValidation>
  </dataValidations>
  <printOptions horizontalCentered="1"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E10"/>
  <sheetViews>
    <sheetView showFormulas="0" showGridLines="0" showRowColHeaders="1" showZeros="1" rightToLeft="0" tabSelected="0" showOutlineSymbols="1" defaultGridColor="1" view="normal" topLeftCell="A1" colorId="64" zoomScale="100" zoomScaleNormal="100" zoomScalePageLayoutView="100" workbookViewId="0">
      <pane ySplit="4" topLeftCell="A5" activePane="bottomLeft" state="frozen"/>
      <selection pane="bottomLeft" activeCell="A1" activeCellId="0" sqref="A1"/>
    </sheetView>
  </sheetViews>
  <sheetFormatPr baseColWidth="8" defaultColWidth="8.6796875" defaultRowHeight="15" zeroHeight="0" outlineLevelRow="0"/>
  <cols>
    <col width="24" customWidth="1" style="29" min="1" max="1"/>
    <col width="44" customWidth="1" style="29" min="2" max="2"/>
    <col width="52" customWidth="1" style="29" min="3" max="3"/>
    <col width="34" customWidth="1" style="29" min="4" max="5"/>
  </cols>
  <sheetData>
    <row r="1" ht="25.5" customHeight="1" s="30">
      <c r="A1" s="36" t="inlineStr">
        <is>
          <t>The six traps in support operational data</t>
        </is>
      </c>
    </row>
    <row r="2" ht="27.75" customHeight="1" s="30">
      <c r="A2" s="37" t="inlineStr">
        <is>
          <t>Every cohort finds at least two of these. Check each one and write down what you found.</t>
        </is>
      </c>
    </row>
    <row r="4" ht="31.5" customHeight="1" s="30">
      <c r="A4" s="43" t="inlineStr">
        <is>
          <t>Trap</t>
        </is>
      </c>
      <c r="B4" s="43" t="inlineStr">
        <is>
          <t>What goes wrong</t>
        </is>
      </c>
      <c r="C4" s="43" t="inlineStr">
        <is>
          <t>How to check it</t>
        </is>
      </c>
      <c r="D4" s="43" t="inlineStr">
        <is>
          <t>What you found</t>
        </is>
      </c>
      <c r="E4" s="43" t="inlineStr">
        <is>
          <t>Action taken</t>
        </is>
      </c>
    </row>
    <row r="5" ht="54" customHeight="1" s="30">
      <c r="A5" s="47" t="inlineStr">
        <is>
          <t>Survivorship in CSAT</t>
        </is>
      </c>
      <c r="B5" s="48" t="inlineStr">
        <is>
          <t>Only 5–20% of customers respond, and they are split between delighted and furious. Abandoned contacts are never surveyed at all.</t>
        </is>
      </c>
      <c r="C5" s="48" t="inlineStr">
        <is>
          <t>Compute the response rate. Compare responder and non-responder profiles on contact reason and outcome.</t>
        </is>
      </c>
      <c r="D5" s="45" t="n"/>
      <c r="E5" s="45" t="n"/>
    </row>
    <row r="6" ht="54" customHeight="1" s="30">
      <c r="A6" s="47" t="inlineStr">
        <is>
          <t>Timestamp fiction</t>
        </is>
      </c>
      <c r="B6" s="48" t="inlineStr">
        <is>
          <t>'Resolved' times are often set in bulk by a nightly auto-close job rather than by a human finishing the work.</t>
        </is>
      </c>
      <c r="C6" s="48" t="inlineStr">
        <is>
          <t>Look for suspicious clustering at :00 seconds and at scheduled job times. Identify every bulk job that writes a timestamp.</t>
        </is>
      </c>
      <c r="D6" s="45" t="n"/>
      <c r="E6" s="45" t="n"/>
    </row>
    <row r="7" ht="54" customHeight="1" s="30">
      <c r="A7" s="47" t="inlineStr">
        <is>
          <t>Disposition drift</t>
        </is>
      </c>
      <c r="B7" s="48" t="inlineStr">
        <is>
          <t>Contact reason codes are chosen by agents under time pressure. The top code is often 'Other' or whatever is first alphabetically.</t>
        </is>
      </c>
      <c r="C7" s="48" t="inlineStr">
        <is>
          <t>Check the frequency of 'Other' and of the first alphabetical option. Compare coding distributions between agents.</t>
        </is>
      </c>
      <c r="D7" s="45" t="n"/>
      <c r="E7" s="45" t="n"/>
    </row>
    <row r="8" ht="54" customHeight="1" s="30">
      <c r="A8" s="47" t="inlineStr">
        <is>
          <t>Pause abuse</t>
        </is>
      </c>
      <c r="B8" s="48" t="inlineStr">
        <is>
          <t>Any SLA clock that can be paused will be paused.</t>
        </is>
      </c>
      <c r="C8" s="48" t="inlineStr">
        <is>
          <t>Compare paused versus unpaused duration distributions. Look at pause frequency by agent and by team.</t>
        </is>
      </c>
      <c r="D8" s="45" t="n"/>
      <c r="E8" s="45" t="n"/>
    </row>
    <row r="9" ht="54" customHeight="1" s="30">
      <c r="A9" s="47" t="inlineStr">
        <is>
          <t>Merged and duplicate tickets</t>
        </is>
      </c>
      <c r="B9" s="48" t="inlineStr">
        <is>
          <t>Merges silently remove units from your denominator, which inflates rates like FCR.</t>
        </is>
      </c>
      <c r="C9" s="48" t="inlineStr">
        <is>
          <t>Count merges in the window. Confirm whether they are excluded from your denominator, and decide deliberately.</t>
        </is>
      </c>
      <c r="D9" s="45" t="n"/>
      <c r="E9" s="45" t="n"/>
    </row>
    <row r="10" ht="54" customHeight="1" s="30">
      <c r="A10" s="47" t="inlineStr">
        <is>
          <t>Backfill and record editing</t>
        </is>
      </c>
      <c r="B10" s="48" t="inlineStr">
        <is>
          <t>Historical records get edited after the fact, so the same query returns different answers over time.</t>
        </is>
      </c>
      <c r="C10" s="48" t="inlineStr">
        <is>
          <t>Re-run the identical query seven days later and compare. Then snapshot your baseline extract somewhere immutable.</t>
        </is>
      </c>
      <c r="D10" s="45" t="n"/>
      <c r="E10" s="45" t="n"/>
    </row>
  </sheetData>
  <mergeCells count="2">
    <mergeCell ref="A2:E2"/>
    <mergeCell ref="A1:E1"/>
  </mergeCells>
  <printOptions horizontalCentered="1"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D4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29" min="1" max="1"/>
    <col width="18" customWidth="1" style="29" min="2" max="2"/>
    <col width="16" customWidth="1" style="29" min="3" max="3"/>
    <col width="68" customWidth="1" style="29" min="4" max="4"/>
  </cols>
  <sheetData>
    <row r="1" ht="25.5" customHeight="1" s="30">
      <c r="A1" s="36" t="inlineStr">
        <is>
          <t>How many do I need?</t>
        </is>
      </c>
    </row>
    <row r="2" ht="27.75" customHeight="1" s="30">
      <c r="A2" s="37" t="inlineStr">
        <is>
          <t>Change the yellow cells. Everything else calculates. Set the detectable effect to your practical threshold.</t>
        </is>
      </c>
    </row>
    <row r="3"/>
    <row r="4" ht="19.5" customHeight="1" s="30">
      <c r="A4" s="38" t="inlineStr">
        <is>
          <t>COMPARING TWO RATES  (FCR, SLA met, QA pass, reopen)</t>
        </is>
      </c>
    </row>
    <row r="5" ht="31.5" customHeight="1" s="30">
      <c r="A5" s="49" t="inlineStr">
        <is>
          <t>Current rate</t>
        </is>
      </c>
      <c r="C5" s="50" t="n">
        <v>0.72</v>
      </c>
      <c r="D5" s="51" t="inlineStr">
        <is>
          <t>Your baseline over at least 13 weeks. From your reporting.</t>
        </is>
      </c>
    </row>
    <row r="6" ht="31.5" customHeight="1" s="30">
      <c r="A6" s="49" t="inlineStr">
        <is>
          <t>Change you want to detect</t>
        </is>
      </c>
      <c r="C6" s="50" t="n">
        <v>0.03</v>
      </c>
      <c r="D6" s="51" t="inlineStr">
        <is>
          <t>In percentage points. Work it backwards from your benefit target — what improvement delivers the money the charter promised?</t>
        </is>
      </c>
    </row>
    <row r="7" ht="31.5" customHeight="1" s="30">
      <c r="A7" s="49" t="inlineStr">
        <is>
          <t>Alpha (false alarm rate)</t>
        </is>
      </c>
      <c r="C7" s="52" t="n">
        <v>0.05</v>
      </c>
      <c r="D7" s="51" t="inlineStr">
        <is>
          <t>0.05 is standard. Use 0.01 when acting on the result is expensive.</t>
        </is>
      </c>
    </row>
    <row r="8" ht="31.5" customHeight="1" s="30">
      <c r="A8" s="49" t="inlineStr">
        <is>
          <t>Power</t>
        </is>
      </c>
      <c r="C8" s="52" t="n">
        <v>0.8</v>
      </c>
      <c r="D8" s="51" t="inlineStr">
        <is>
          <t>0.80 minimum, 0.90 for anything you will spend real money on.</t>
        </is>
      </c>
    </row>
    <row r="9"/>
    <row r="10" ht="24" customHeight="1" s="30">
      <c r="A10" s="49" t="inlineStr">
        <is>
          <t>Second rate you are comparing to</t>
        </is>
      </c>
      <c r="C10" s="53">
        <f>C5+C6</f>
        <v/>
      </c>
    </row>
    <row r="11" ht="24" customHeight="1" s="30">
      <c r="A11" s="49" t="inlineStr">
        <is>
          <t>Z for alpha</t>
        </is>
      </c>
      <c r="C11" s="54">
        <f>IFERROR(NORMSINV(1-C7/2),"")</f>
        <v/>
      </c>
    </row>
    <row r="12" ht="24" customHeight="1" s="30">
      <c r="A12" s="49" t="inlineStr">
        <is>
          <t>Z for power</t>
        </is>
      </c>
      <c r="C12" s="54">
        <f>IFERROR(NORMSINV(C8),"")</f>
        <v/>
      </c>
    </row>
    <row r="13" ht="30" customHeight="1" s="30">
      <c r="A13" s="55" t="inlineStr">
        <is>
          <t>SAMPLE SIZE PER GROUP</t>
        </is>
      </c>
      <c r="C13" s="56">
        <f>IF(OR(C5&lt;=0,C5&gt;=1,C6&lt;=0,C5+C6&gt;=1,C7&lt;=0,C7&gt;=1,C8&lt;=0,C8&gt;=1),"",ROUNDUP((NORMSINV(1-C7/2)+NORMSINV(C8))^2*(C5*(1-C5)+(C5+C6)*(1-C5-C6))/C6^2,0))</f>
        <v/>
      </c>
    </row>
    <row r="14" ht="24" customHeight="1" s="30">
      <c r="A14" s="49" t="inlineStr">
        <is>
          <t>Total across both groups</t>
        </is>
      </c>
      <c r="C14" s="57">
        <f>IF(C13="","",2*C13)</f>
        <v/>
      </c>
    </row>
    <row r="15"/>
    <row r="16" ht="22.35" customHeight="1" s="30">
      <c r="A16" s="58" t="inlineStr">
        <is>
          <t>Notice how fast this grows as the effect you want to detect gets smaller — halving the detectable effect roughly quadruples the sample. The sample size stays blank if the inputs are impossible, for example when the current rate plus the change you want to detect reaches 100%.</t>
        </is>
      </c>
    </row>
    <row r="17"/>
    <row r="18"/>
    <row r="19"/>
    <row r="20">
      <c r="A20" s="59" t="n"/>
    </row>
    <row r="21">
      <c r="A21" s="60" t="n"/>
    </row>
    <row r="22">
      <c r="A22" s="61" t="n"/>
      <c r="B22" s="61" t="n"/>
    </row>
    <row r="23">
      <c r="A23" s="62" t="n"/>
      <c r="B23" s="63" t="n"/>
    </row>
    <row r="24">
      <c r="A24" s="62" t="n"/>
      <c r="B24" s="63" t="n"/>
    </row>
    <row r="25">
      <c r="A25" s="62" t="n"/>
      <c r="B25" s="63" t="n"/>
    </row>
    <row r="26">
      <c r="A26" s="62" t="n"/>
      <c r="B26" s="63" t="n"/>
    </row>
    <row r="27">
      <c r="A27" s="62" t="n"/>
      <c r="B27" s="63" t="n"/>
    </row>
    <row r="28">
      <c r="A28" s="62" t="n"/>
      <c r="B28" s="63" t="n"/>
    </row>
    <row r="29">
      <c r="A29" s="62" t="n"/>
      <c r="B29" s="63" t="n"/>
    </row>
    <row r="30">
      <c r="A30" s="62" t="n"/>
      <c r="B30" s="63" t="n"/>
    </row>
    <row r="31">
      <c r="A31" s="62" t="n"/>
      <c r="B31" s="63" t="n"/>
    </row>
    <row r="32"/>
    <row r="33"/>
    <row r="34">
      <c r="A34" s="59" t="inlineStr">
        <is>
          <t>How sample size moves with the precision you ask for</t>
        </is>
      </c>
    </row>
    <row r="35">
      <c r="A35" s="60" t="inlineStr">
        <is>
          <t>Worst-case proportion (p=0.5), 95% confidence. Halving the margin of error costs you four times the sample.</t>
        </is>
      </c>
    </row>
    <row r="36">
      <c r="A36" s="61" t="inlineStr">
        <is>
          <t>Margin of error</t>
        </is>
      </c>
      <c r="B36" s="61" t="inlineStr">
        <is>
          <t>Sample needed</t>
        </is>
      </c>
      <c r="C36" s="61" t="inlineStr">
        <is>
          <t>At 5% margin</t>
        </is>
      </c>
    </row>
    <row r="37">
      <c r="A37" s="62" t="n">
        <v>0.1</v>
      </c>
      <c r="B37" s="63">
        <f>CEILING(1.96^2*0.25/A37^2,1)</f>
        <v/>
      </c>
      <c r="C37" s="63">
        <f>CEILING(1.96^2*0.25/0.05^2,1)</f>
        <v/>
      </c>
    </row>
    <row r="38">
      <c r="A38" s="62" t="n">
        <v>0.075</v>
      </c>
      <c r="B38" s="63">
        <f>CEILING(1.96^2*0.25/A38^2,1)</f>
        <v/>
      </c>
      <c r="C38" s="63">
        <f>CEILING(1.96^2*0.25/0.05^2,1)</f>
        <v/>
      </c>
    </row>
    <row r="39">
      <c r="A39" s="62" t="n">
        <v>0.05</v>
      </c>
      <c r="B39" s="63">
        <f>CEILING(1.96^2*0.25/A39^2,1)</f>
        <v/>
      </c>
      <c r="C39" s="63">
        <f>CEILING(1.96^2*0.25/0.05^2,1)</f>
        <v/>
      </c>
    </row>
    <row r="40">
      <c r="A40" s="62" t="n">
        <v>0.04</v>
      </c>
      <c r="B40" s="63">
        <f>CEILING(1.96^2*0.25/A40^2,1)</f>
        <v/>
      </c>
      <c r="C40" s="63">
        <f>CEILING(1.96^2*0.25/0.05^2,1)</f>
        <v/>
      </c>
    </row>
    <row r="41">
      <c r="A41" s="62" t="n">
        <v>0.03</v>
      </c>
      <c r="B41" s="63">
        <f>CEILING(1.96^2*0.25/A41^2,1)</f>
        <v/>
      </c>
      <c r="C41" s="63">
        <f>CEILING(1.96^2*0.25/0.05^2,1)</f>
        <v/>
      </c>
    </row>
    <row r="42">
      <c r="A42" s="62" t="n">
        <v>0.025</v>
      </c>
      <c r="B42" s="63">
        <f>CEILING(1.96^2*0.25/A42^2,1)</f>
        <v/>
      </c>
      <c r="C42" s="63">
        <f>CEILING(1.96^2*0.25/0.05^2,1)</f>
        <v/>
      </c>
    </row>
    <row r="43">
      <c r="A43" s="62" t="n">
        <v>0.02</v>
      </c>
      <c r="B43" s="63">
        <f>CEILING(1.96^2*0.25/A43^2,1)</f>
        <v/>
      </c>
      <c r="C43" s="63">
        <f>CEILING(1.96^2*0.25/0.05^2,1)</f>
        <v/>
      </c>
    </row>
    <row r="44">
      <c r="A44" s="62" t="n">
        <v>0.015</v>
      </c>
      <c r="B44" s="63">
        <f>CEILING(1.96^2*0.25/A44^2,1)</f>
        <v/>
      </c>
      <c r="C44" s="63">
        <f>CEILING(1.96^2*0.25/0.05^2,1)</f>
        <v/>
      </c>
    </row>
    <row r="45">
      <c r="A45" s="62" t="n">
        <v>0.01</v>
      </c>
      <c r="B45" s="63">
        <f>CEILING(1.96^2*0.25/A45^2,1)</f>
        <v/>
      </c>
      <c r="C45" s="63">
        <f>CEILING(1.96^2*0.25/0.05^2,1)</f>
        <v/>
      </c>
    </row>
  </sheetData>
  <mergeCells count="13">
    <mergeCell ref="A1:D1"/>
    <mergeCell ref="A7:B7"/>
    <mergeCell ref="A4:D4"/>
    <mergeCell ref="A11:B11"/>
    <mergeCell ref="A10:B10"/>
    <mergeCell ref="A5:B5"/>
    <mergeCell ref="A13:B13"/>
    <mergeCell ref="A14:B14"/>
    <mergeCell ref="A2:D2"/>
    <mergeCell ref="A16:D16"/>
    <mergeCell ref="A8:B8"/>
    <mergeCell ref="A6:B6"/>
    <mergeCell ref="A12:B12"/>
  </mergeCells>
  <dataValidations count="4">
    <dataValidation sqref="C5" showDropDown="0" showInputMessage="0" showErrorMessage="1" allowBlank="1" errorTitle="Check this number" error="Current rate is a share between 0 and 1." type="decimal" operator="between">
      <formula1>0.001</formula1>
      <formula2>0.999</formula2>
    </dataValidation>
    <dataValidation sqref="C6" showDropDown="0" showInputMessage="0" showErrorMessage="1" allowBlank="1" errorTitle="Check this number" error="Change to detect is a share, for example 0.03 for 3 percentage points." type="decimal" operator="between">
      <formula1>0.001</formula1>
      <formula2>0.999</formula2>
    </dataValidation>
    <dataValidation sqref="C7" showDropDown="0" showInputMessage="0" showErrorMessage="1" allowBlank="1" errorTitle="Check this number" error="Alpha is a share, typically 0.05 or 0.01." type="decimal" operator="between">
      <formula1>0.001</formula1>
      <formula2>0.5</formula2>
    </dataValidation>
    <dataValidation sqref="C8" showDropDown="0" showInputMessage="0" showErrorMessage="1" allowBlank="1" errorTitle="Check this number" error="Power is a share, typically 0.80 or 0.90." type="decimal" operator="between">
      <formula1>0.5</formula1>
      <formula2>0.999</formula2>
    </dataValidation>
  </dataValidations>
  <printOptions horizontalCentered="1"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2026-07-31T15:37:50Z</dcterms:created>
  <dcterms:modified xsi:type="dcterms:W3CDTF">2026-08-01T02:16:22Z</dcterms:modified>
  <cp:revision>0</cp:revision>
</cp:coreProperties>
</file>

<file path=docProps/custom.xml><?xml version="1.0" encoding="utf-8"?>
<Properties xmlns:vt="http://schemas.openxmlformats.org/officeDocument/2006/docPropsVTypes" xmlns="http://schemas.openxmlformats.org/officeDocument/2006/custom-properties">
  <property name="chartspec" fmtid="{D5CDD505-2E9C-101B-9397-08002B2CF9AE}" pid="2">
    <vt:lpwstr>1fbab062ad08</vt:lpwstr>
  </property>
</Properties>
</file>