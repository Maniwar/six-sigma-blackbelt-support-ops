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xf numFmtId="0" fontId="14" fillId="1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 — and where your study sits</a:t>
            </a:r>
          </a:p>
        </rich>
      </tx>
    </title>
    <plotArea>
      <lineChart>
        <grouping val="standard"/>
        <ser>
          <idx val="0"/>
          <order val="0"/>
          <tx>
            <v>Sample needed at your alpha and baseline</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change you asked to detect</v>
          </tx>
          <spPr>
            <a:ln w="28000">
              <a:solidFill>
                <a:srgbClr val="C0392B"/>
              </a:solidFill>
              <a:prstDash val="solid"/>
            </a:ln>
          </spPr>
          <marker>
            <symbol val="circle"/>
            <size val="6"/>
            <spPr>
              <a:solidFill>
                <a:srgbClr val="C0392B"/>
              </a:solidFill>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Row 1 example</t>
        </is>
      </c>
      <c r="B7" s="40" t="inlineStr">
        <is>
          <t>A realistic worked example, so you can see the expected format. Delete or overwrite it.</t>
        </is>
      </c>
    </row>
    <row r="8"/>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44" t="inlineStr">
        <is>
          <t>7-day reopen rate</t>
        </is>
      </c>
      <c r="B10" s="44" t="inlineStr">
        <is>
          <t>Proportion</t>
        </is>
      </c>
      <c r="C10" s="44" t="inlineStr">
        <is>
          <t>Zendesk</t>
        </is>
      </c>
      <c r="D10" s="44" t="inlineStr">
        <is>
          <t>Warehouse query, saved as reopen_v2.sql</t>
        </is>
      </c>
      <c r="E10" s="44" t="inlineStr">
        <is>
          <t>Issue</t>
        </is>
      </c>
      <c r="F10" s="44" t="inlineStr">
        <is>
          <t>All billing tickets first resolved in the window</t>
        </is>
      </c>
      <c r="G10" s="44" t="inlineStr">
        <is>
          <t>2026-01-01 to 2026-03-31</t>
        </is>
      </c>
      <c r="H10" s="44" t="n">
        <v>61400</v>
      </c>
      <c r="I10" s="44" t="inlineStr">
        <is>
          <t>Full population, no sampling needed</t>
        </is>
      </c>
      <c r="J10" s="44" t="inlineStr">
        <is>
          <t>Census</t>
        </is>
      </c>
      <c r="K10" s="44" t="inlineStr">
        <is>
          <t>Contact reason, tenure band, channel, site</t>
        </is>
      </c>
      <c r="L10" s="44" t="inlineStr">
        <is>
          <t>Analytics</t>
        </is>
      </c>
      <c r="M10" s="44" t="inlineStr">
        <is>
          <t>Weekly Monday</t>
        </is>
      </c>
      <c r="N10" s="44" t="inlineStr">
        <is>
          <t>warehouse + immutable snapshot</t>
        </is>
      </c>
      <c r="O10" s="44" t="inlineStr">
        <is>
          <t>Reconcile total to the ops dashboard</t>
        </is>
      </c>
      <c r="P10" s="44"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5"/>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2"/>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3"/>
    <row r="4" ht="31.5" customHeight="1" s="30">
      <c r="A4" s="43" t="inlineStr">
        <is>
          <t>Trap</t>
        </is>
      </c>
      <c r="B4" s="43" t="inlineStr">
        <is>
          <t>What goes wrong</t>
        </is>
      </c>
      <c r="C4" s="43" t="inlineStr">
        <is>
          <t>How to check it</t>
        </is>
      </c>
      <c r="D4" s="43" t="inlineStr">
        <is>
          <t>What you found</t>
        </is>
      </c>
      <c r="E4" s="43" t="inlineStr">
        <is>
          <t>Action taken</t>
        </is>
      </c>
    </row>
    <row r="5" ht="58"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64" t="inlineStr">
        <is>
          <t>17% responded. Responders skew heavily to resolved-first-contact (78% of them, against 61% of all contacts), so CSAT 4.4 is the satisfied minority's score and not the population's.</t>
        </is>
      </c>
      <c r="E5" s="64" t="inlineStr">
        <is>
          <t>Stopped quoting CSAT as a population figure in the charter. Added a 200-contact outbound sample of non-responders each month, and used that as the baseline instead.</t>
        </is>
      </c>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row r="11"/>
    <row r="12">
      <c r="A12" s="60" t="inlineStr">
        <is>
          <t>How to fill the last two columns. Run the check in column C against your own extract before you write anything — every entry here should be a number you produced, not an impression. WHAT YOU FOUND is the measurement and what it implies for your baseline; ACTION TAKEN is what you changed as a result, because a trap you found and did not act on still contaminates the project. Row 5 is a worked example: delete it and write your own.</t>
        </is>
      </c>
    </row>
  </sheetData>
  <mergeCells count="2">
    <mergeCell ref="A2:E2"/>
    <mergeCell ref="A1:E1"/>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c r="A35" s="60" t="inlineStr">
        <is>
          <t>Your alpha and your baseline rate, from the yellow cells above. Halving the margin of error costs you four times the sample, which is why the last point of precision is the expensive one.</t>
        </is>
      </c>
    </row>
    <row r="36">
      <c r="A36" s="61" t="inlineStr">
        <is>
          <t>Margin of error</t>
        </is>
      </c>
      <c r="B36" s="61" t="inlineStr">
        <is>
          <t>Sample needed</t>
        </is>
      </c>
      <c r="C36" s="61" t="inlineStr">
        <is>
          <t>You are here</t>
        </is>
      </c>
    </row>
    <row r="37">
      <c r="A37" s="62" t="n">
        <v>0.1</v>
      </c>
      <c r="B37" s="63">
        <f>CEILING(IFERROR(NORMSINV(1-$C$7/2),1.96)^2*IF(AND($C$5&gt;0,$C$5&lt;1),$C$5*(1-$C$5),0.25)/A37^2,1)</f>
        <v/>
      </c>
      <c r="C37" s="63">
        <f>IF(ABS(A37-$C$6)&lt;=0.0051,CEILING(IFERROR(NORMSINV(1-$C$7/2),1.96)^2*IF(AND($C$5&gt;0,$C$5&lt;1),$C$5*(1-$C$5),0.25)/A37^2,1),NA())</f>
        <v/>
      </c>
    </row>
    <row r="38">
      <c r="A38" s="62" t="n">
        <v>0.075</v>
      </c>
      <c r="B38" s="63">
        <f>CEILING(IFERROR(NORMSINV(1-$C$7/2),1.96)^2*IF(AND($C$5&gt;0,$C$5&lt;1),$C$5*(1-$C$5),0.25)/A38^2,1)</f>
        <v/>
      </c>
      <c r="C38" s="63">
        <f>IF(ABS(A38-$C$6)&lt;=0.0051,CEILING(IFERROR(NORMSINV(1-$C$7/2),1.96)^2*IF(AND($C$5&gt;0,$C$5&lt;1),$C$5*(1-$C$5),0.25)/A38^2,1),NA())</f>
        <v/>
      </c>
    </row>
    <row r="39">
      <c r="A39" s="62" t="n">
        <v>0.05</v>
      </c>
      <c r="B39" s="63">
        <f>CEILING(IFERROR(NORMSINV(1-$C$7/2),1.96)^2*IF(AND($C$5&gt;0,$C$5&lt;1),$C$5*(1-$C$5),0.25)/A39^2,1)</f>
        <v/>
      </c>
      <c r="C39" s="63">
        <f>IF(ABS(A39-$C$6)&lt;=0.0051,CEILING(IFERROR(NORMSINV(1-$C$7/2),1.96)^2*IF(AND($C$5&gt;0,$C$5&lt;1),$C$5*(1-$C$5),0.25)/A39^2,1),NA())</f>
        <v/>
      </c>
    </row>
    <row r="40">
      <c r="A40" s="62" t="n">
        <v>0.04</v>
      </c>
      <c r="B40" s="63">
        <f>CEILING(IFERROR(NORMSINV(1-$C$7/2),1.96)^2*IF(AND($C$5&gt;0,$C$5&lt;1),$C$5*(1-$C$5),0.25)/A40^2,1)</f>
        <v/>
      </c>
      <c r="C40" s="63">
        <f>IF(ABS(A40-$C$6)&lt;=0.0051,CEILING(IFERROR(NORMSINV(1-$C$7/2),1.96)^2*IF(AND($C$5&gt;0,$C$5&lt;1),$C$5*(1-$C$5),0.25)/A40^2,1),NA())</f>
        <v/>
      </c>
    </row>
    <row r="41">
      <c r="A41" s="62" t="n">
        <v>0.03</v>
      </c>
      <c r="B41" s="63">
        <f>CEILING(IFERROR(NORMSINV(1-$C$7/2),1.96)^2*IF(AND($C$5&gt;0,$C$5&lt;1),$C$5*(1-$C$5),0.25)/A41^2,1)</f>
        <v/>
      </c>
      <c r="C41" s="63">
        <f>IF(ABS(A41-$C$6)&lt;=0.0051,CEILING(IFERROR(NORMSINV(1-$C$7/2),1.96)^2*IF(AND($C$5&gt;0,$C$5&lt;1),$C$5*(1-$C$5),0.25)/A41^2,1),NA())</f>
        <v/>
      </c>
    </row>
    <row r="42">
      <c r="A42" s="62" t="n">
        <v>0.025</v>
      </c>
      <c r="B42" s="63">
        <f>CEILING(IFERROR(NORMSINV(1-$C$7/2),1.96)^2*IF(AND($C$5&gt;0,$C$5&lt;1),$C$5*(1-$C$5),0.25)/A42^2,1)</f>
        <v/>
      </c>
      <c r="C42" s="63">
        <f>IF(ABS(A42-$C$6)&lt;=0.0051,CEILING(IFERROR(NORMSINV(1-$C$7/2),1.96)^2*IF(AND($C$5&gt;0,$C$5&lt;1),$C$5*(1-$C$5),0.25)/A42^2,1),NA())</f>
        <v/>
      </c>
    </row>
    <row r="43">
      <c r="A43" s="62" t="n">
        <v>0.02</v>
      </c>
      <c r="B43" s="63">
        <f>CEILING(IFERROR(NORMSINV(1-$C$7/2),1.96)^2*IF(AND($C$5&gt;0,$C$5&lt;1),$C$5*(1-$C$5),0.25)/A43^2,1)</f>
        <v/>
      </c>
      <c r="C43" s="63">
        <f>IF(ABS(A43-$C$6)&lt;=0.0051,CEILING(IFERROR(NORMSINV(1-$C$7/2),1.96)^2*IF(AND($C$5&gt;0,$C$5&lt;1),$C$5*(1-$C$5),0.25)/A43^2,1),NA())</f>
        <v/>
      </c>
    </row>
    <row r="44">
      <c r="A44" s="62" t="n">
        <v>0.015</v>
      </c>
      <c r="B44" s="63">
        <f>CEILING(IFERROR(NORMSINV(1-$C$7/2),1.96)^2*IF(AND($C$5&gt;0,$C$5&lt;1),$C$5*(1-$C$5),0.25)/A44^2,1)</f>
        <v/>
      </c>
      <c r="C44" s="63">
        <f>IF(ABS(A44-$C$6)&lt;=0.0051,CEILING(IFERROR(NORMSINV(1-$C$7/2),1.96)^2*IF(AND($C$5&gt;0,$C$5&lt;1),$C$5*(1-$C$5),0.25)/A44^2,1),NA())</f>
        <v/>
      </c>
    </row>
    <row r="45">
      <c r="A45" s="62" t="n">
        <v>0.01</v>
      </c>
      <c r="B45" s="63">
        <f>CEILING(IFERROR(NORMSINV(1-$C$7/2),1.96)^2*IF(AND($C$5&gt;0,$C$5&lt;1),$C$5*(1-$C$5),0.25)/A45^2,1)</f>
        <v/>
      </c>
      <c r="C45" s="63">
        <f>IF(ABS(A45-$C$6)&lt;=0.0051,CEILING(IFERROR(NORMSINV(1-$C$7/2),1.96)^2*IF(AND($C$5&gt;0,$C$5&lt;1),$C$5*(1-$C$5),0.25)/A45^2,1),NA())</f>
        <v/>
      </c>
    </row>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2026-08-01T06:05:04Z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