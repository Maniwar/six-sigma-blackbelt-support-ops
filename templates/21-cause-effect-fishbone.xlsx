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Fishbone" sheetId="2" state="visible" r:id="rId2"/>
    <sheet name="Fishbone diagram" sheetId="3" state="visible" r:id="rId3"/>
    <sheet name="Category prom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sz val="11"/>
    </font>
    <font>
      <b val="1"/>
      <color rgb="FFFFFFFF"/>
      <sz val="10"/>
    </font>
    <font>
      <color rgb="FF1D4ED8"/>
      <sz val="11"/>
    </font>
    <font>
      <sz val="9"/>
    </font>
    <font>
      <b val="1"/>
      <color rgb="FFFFFFFF"/>
      <sz val="12"/>
    </font>
    <font>
      <sz val="11"/>
    </font>
  </fonts>
  <fills count="9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EEF1F6"/>
      </patternFill>
    </fill>
    <fill>
      <patternFill patternType="solid">
        <fgColor rgb="FFFFF9E3"/>
      </patternFill>
    </fill>
    <fill>
      <patternFill patternType="solid">
        <fgColor rgb="FF333C49"/>
      </patternFill>
    </fill>
    <fill>
      <patternFill patternType="solid">
        <fgColor rgb="FFECFAEF"/>
      </patternFill>
    </fill>
    <fill>
      <patternFill patternType="solid">
        <fgColor rgb="FFF2F7FF"/>
      </patternFill>
    </fill>
    <fill>
      <patternFill patternType="solid">
        <fgColor rgb="FFC0392B"/>
      </patternFill>
    </fill>
  </fills>
  <borders count="6">
    <border>
      <left/>
      <right/>
      <top/>
      <bottom/>
      <diagonal/>
    </border>
    <border>
      <bottom style="thin">
        <color rgb="FFD8DEE7"/>
      </bottom>
    </border>
    <border>
      <left/>
      <right/>
      <top/>
      <bottom style="thin">
        <color rgb="FFD8DEE7"/>
      </bottom>
      <diagonal/>
    </border>
    <border diagonalDown="1">
      <diagonal style="medium">
        <color rgb="FF333C49"/>
      </diagonal>
    </border>
    <border diagonalUp="1">
      <diagonal style="medium">
        <color rgb="FF333C49"/>
      </diagonal>
    </border>
    <border>
      <bottom style="thick">
        <color rgb="FF151B2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5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5" fillId="6" borderId="1" pivotButton="0" quotePrefix="0" xfId="0"/>
    <xf numFmtId="0" fontId="0" fillId="4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pivotButton="0" quotePrefix="0" xfId="0"/>
    <xf numFmtId="0" fontId="0" fillId="0" borderId="2" pivotButton="0" quotePrefix="0" xfId="0"/>
    <xf numFmtId="164" fontId="5" fillId="7" borderId="1" pivotButton="0" quotePrefix="0" xfId="0"/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3" pivotButton="0" quotePrefix="0" xfId="0"/>
    <xf numFmtId="0" fontId="6" fillId="7" borderId="0" applyAlignment="1" pivotButton="0" quotePrefix="0" xfId="0">
      <alignment vertical="center" wrapText="1"/>
    </xf>
    <xf numFmtId="0" fontId="7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Causes per branch — a thin bar is a blind spot</a:t>
            </a:r>
          </a:p>
        </rich>
      </tx>
    </title>
    <plotArea>
      <barChart>
        <barDir val="col"/>
        <grouping val="clustered"/>
        <ser>
          <idx val="0"/>
          <order val="0"/>
          <tx>
            <v>Causes on this branch</v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invertIfNegative val="0"/>
          <cat>
            <numRef>
              <f>'Fishbone'!$A$38:$A$44</f>
            </numRef>
          </cat>
          <val>
            <numRef>
              <f>'Fishbone'!$B$38:$B$44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v>Mean — below this is a branch you are not looking at</v>
          </tx>
          <spPr>
            <a:ln w="18000">
              <a:solidFill>
                <a:srgbClr val="C0392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'Fishbone'!$H$38:$H$44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Template</author>
  </authors>
  <commentList>
    <comment ref="B5" authorId="0" shapeId="0">
      <text>
        <t>Copy the problem statement's metric and magnitude verbatim — the measured value, the target, and the population. A vague effect gives you a fishbone of vague causes.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row</t>
        </is>
      </c>
    </row>
    <row r="7" ht="15" customHeight="1">
      <c r="B7" s="2" t="inlineStr">
        <is>
          <t>A worked example so you can see the expected format. Delete it when you start.</t>
        </is>
      </c>
    </row>
    <row r="8">
      <c r="B8" s="1" t="inlineStr">
        <is>
          <t>What this is for</t>
        </is>
      </c>
    </row>
    <row r="9" ht="30" customHeight="1">
      <c r="B9" s="2" t="inlineStr">
        <is>
          <t>Getting every candidate cause out of the team's heads and onto one page, grouped so the gaps are visible.</t>
        </is>
      </c>
    </row>
    <row r="10">
      <c r="B10" s="1" t="inlineStr">
        <is>
          <t>How to run it</t>
        </is>
      </c>
    </row>
    <row r="11" ht="30" customHeight="1">
      <c r="B11" s="2" t="inlineStr">
        <is>
          <t>Write the effect precisely first. Brainwrite silently for five minutes before anyone speaks — verbal-first brainstorming is dominated by the most senior voice in the room.</t>
        </is>
      </c>
    </row>
    <row r="12" ht="15" customHeight="1">
      <c r="B12" s="2" t="inlineStr">
        <is>
          <t>Push each branch down two levels with 'why does that happen?'. Then score likelihood and impact.</t>
        </is>
      </c>
    </row>
    <row r="13">
      <c r="B13" s="1" t="inlineStr">
        <is>
          <t>The check that matters</t>
        </is>
      </c>
    </row>
    <row r="14" ht="30" customHeight="1">
      <c r="B14" s="2" t="inlineStr">
        <is>
          <t>Look at the branch balance table. A thin or empty branch is where you are not looking, not where there is nothing to find.</t>
        </is>
      </c>
    </row>
    <row r="15">
      <c r="B15" s="1" t="inlineStr">
        <is>
          <t>What comes out</t>
        </is>
      </c>
    </row>
    <row r="16" ht="30" customHeight="1">
      <c r="B16" s="2" t="inlineStr">
        <is>
          <t>Causes on a fishbone are hypotheses, not findings. Nothing leaves this tool without being tested — carry the highest-priority ones into the X-Y matrix.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14" customWidth="1" min="4" max="4"/>
    <col width="16" customWidth="1" min="5" max="5"/>
    <col width="34" customWidth="1" min="6" max="6"/>
    <col hidden="1" width="22" customWidth="1" min="20" max="20"/>
  </cols>
  <sheetData>
    <row r="1" ht="26" customHeight="1">
      <c r="A1" s="3" t="inlineStr">
        <is>
          <t>Cause &amp; effect (Ishikawa) — support categories, not 6M</t>
        </is>
      </c>
      <c r="B1" s="4" t="n"/>
      <c r="C1" s="4" t="n"/>
      <c r="D1" s="4" t="n"/>
      <c r="E1" s="4" t="n"/>
      <c r="F1" s="4" t="n"/>
    </row>
    <row r="2">
      <c r="A2" s="5" t="inlineStr">
        <is>
          <t>Machine / Method / Material / Measurement / Man / Mother Nature was written for a factory. These are the categories a support process actually fails in.</t>
        </is>
      </c>
    </row>
    <row r="3"/>
    <row r="4">
      <c r="A4" s="6" t="inlineStr">
        <is>
          <t>THE EFFECT — use the problem statement's metric and magnitude</t>
        </is>
      </c>
      <c r="B4" s="7" t="n"/>
      <c r="C4" s="7" t="n"/>
      <c r="D4" s="7" t="n"/>
      <c r="E4" s="7" t="n"/>
      <c r="F4" s="7" t="n"/>
    </row>
    <row r="5">
      <c r="A5" s="8" t="inlineStr">
        <is>
          <t>Effect</t>
        </is>
      </c>
      <c r="B5" s="9" t="inlineStr">
        <is>
          <t>7-day reopen rate on billing tickets is 14.2% against a target of 8%</t>
        </is>
      </c>
    </row>
    <row r="6"/>
    <row r="7" ht="30" customHeight="1">
      <c r="A7" s="10" t="inlineStr">
        <is>
          <t>Category</t>
        </is>
      </c>
      <c r="B7" s="10" t="inlineStr">
        <is>
          <t>Candidate cause</t>
        </is>
      </c>
      <c r="C7" s="10" t="inlineStr">
        <is>
          <t>Likelihood 1-5</t>
        </is>
      </c>
      <c r="D7" s="10" t="inlineStr">
        <is>
          <t>Impact 1-5</t>
        </is>
      </c>
      <c r="E7" s="10" t="inlineStr">
        <is>
          <t>Priority</t>
        </is>
      </c>
      <c r="F7" s="10" t="inlineStr">
        <is>
          <t>Evidence you would need</t>
        </is>
      </c>
      <c r="T7" s="5" t="inlineStr">
        <is>
          <t>key (used by the diagram)</t>
        </is>
      </c>
    </row>
    <row r="8">
      <c r="A8" s="11" t="inlineStr">
        <is>
          <t>Process</t>
        </is>
      </c>
      <c r="B8" s="11" t="inlineStr">
        <is>
          <t>Ticket can be closed before the billing adjustment posts</t>
        </is>
      </c>
      <c r="C8" s="11" t="n">
        <v>5</v>
      </c>
      <c r="D8" s="11" t="n">
        <v>5</v>
      </c>
      <c r="E8" s="12">
        <f>IF(COUNT(C8:D8)&lt;2,"",C8*D8)</f>
        <v/>
      </c>
      <c r="F8" s="11" t="inlineStr">
        <is>
          <t>Reopens where closure timestamp precedes the posting webhook</t>
        </is>
      </c>
      <c r="T8" s="5">
        <f>IF(A8="","",A8&amp;"|"&amp;COUNTIF($A$8:A8,A8))</f>
        <v/>
      </c>
    </row>
    <row r="9">
      <c r="A9" s="11" t="inlineStr">
        <is>
          <t>Process</t>
        </is>
      </c>
      <c r="B9" s="11" t="inlineStr">
        <is>
          <t>Billing Ops pull the queue once a day, so nothing moves overnight</t>
        </is>
      </c>
      <c r="C9" s="11" t="n">
        <v>4</v>
      </c>
      <c r="D9" s="11" t="n">
        <v>4</v>
      </c>
      <c r="E9" s="12">
        <f>IF(COUNT(C9:D9)&lt;2,"",C9*D9)</f>
        <v/>
      </c>
      <c r="F9" s="11" t="inlineStr">
        <is>
          <t>Queue age distribution by hour of arrival</t>
        </is>
      </c>
      <c r="T9" s="5">
        <f>IF(A9="","",A9&amp;"|"&amp;COUNTIF($A$8:A9,A9))</f>
        <v/>
      </c>
    </row>
    <row r="10">
      <c r="A10" s="11" t="inlineStr">
        <is>
          <t>Systems</t>
        </is>
      </c>
      <c r="B10" s="11" t="inlineStr">
        <is>
          <t>The status model has no pending-adjustment state</t>
        </is>
      </c>
      <c r="C10" s="11" t="n">
        <v>5</v>
      </c>
      <c r="D10" s="11" t="n">
        <v>5</v>
      </c>
      <c r="E10" s="12">
        <f>IF(COUNT(C10:D10)&lt;2,"",C10*D10)</f>
        <v/>
      </c>
      <c r="F10" s="11" t="inlineStr">
        <is>
          <t>Count of closures with an adjustment still in flight</t>
        </is>
      </c>
      <c r="T10" s="5">
        <f>IF(A10="","",A10&amp;"|"&amp;COUNTIF($A$8:A10,A10))</f>
        <v/>
      </c>
    </row>
    <row r="11">
      <c r="A11" s="11" t="inlineStr">
        <is>
          <t>Systems</t>
        </is>
      </c>
      <c r="B11" s="11" t="inlineStr">
        <is>
          <t>The nightly adjustment batch fails silently</t>
        </is>
      </c>
      <c r="C11" s="11" t="n">
        <v>3</v>
      </c>
      <c r="D11" s="11" t="n">
        <v>5</v>
      </c>
      <c r="E11" s="12">
        <f>IF(COUNT(C11:D11)&lt;2,"",C11*D11)</f>
        <v/>
      </c>
      <c r="F11" s="11" t="inlineStr">
        <is>
          <t>Batch exit codes against the days reopens spiked</t>
        </is>
      </c>
      <c r="T11" s="5">
        <f>IF(A11="","",A11&amp;"|"&amp;COUNTIF($A$8:A11,A11))</f>
        <v/>
      </c>
    </row>
    <row r="12">
      <c r="A12" s="11" t="inlineStr">
        <is>
          <t>People</t>
        </is>
      </c>
      <c r="B12" s="11" t="inlineStr">
        <is>
          <t>New hires close on the request, not on the posting</t>
        </is>
      </c>
      <c r="C12" s="11" t="n">
        <v>3</v>
      </c>
      <c r="D12" s="11" t="n">
        <v>4</v>
      </c>
      <c r="E12" s="12">
        <f>IF(COUNT(C12:D12)&lt;2,"",C12*D12)</f>
        <v/>
      </c>
      <c r="F12" s="11" t="inlineStr">
        <is>
          <t>Reopen rate split by agent tenure band</t>
        </is>
      </c>
      <c r="T12" s="5">
        <f>IF(A12="","",A12&amp;"|"&amp;COUNTIF($A$8:A12,A12))</f>
        <v/>
      </c>
    </row>
    <row r="13">
      <c r="A13" s="11" t="inlineStr">
        <is>
          <t>Knowledge</t>
        </is>
      </c>
      <c r="B13" s="11" t="inlineStr">
        <is>
          <t>No written definition of 'resolved' for a billing adjustment</t>
        </is>
      </c>
      <c r="C13" s="11" t="n">
        <v>4</v>
      </c>
      <c r="D13" s="11" t="n">
        <v>3</v>
      </c>
      <c r="E13" s="12">
        <f>IF(COUNT(C13:D13)&lt;2,"",C13*D13)</f>
        <v/>
      </c>
      <c r="F13" s="11" t="inlineStr">
        <is>
          <t>Ask ten agents to define it and compare the answers</t>
        </is>
      </c>
      <c r="T13" s="5">
        <f>IF(A13="","",A13&amp;"|"&amp;COUNTIF($A$8:A13,A13))</f>
        <v/>
      </c>
    </row>
    <row r="14">
      <c r="A14" s="11" t="inlineStr">
        <is>
          <t>Routing &amp; demand</t>
        </is>
      </c>
      <c r="B14" s="11" t="inlineStr">
        <is>
          <t>Adjustment requests route to general billing, not the adjustments desk</t>
        </is>
      </c>
      <c r="C14" s="11" t="n">
        <v>3</v>
      </c>
      <c r="D14" s="11" t="n">
        <v>3</v>
      </c>
      <c r="E14" s="12">
        <f>IF(COUNT(C14:D14)&lt;2,"",C14*D14)</f>
        <v/>
      </c>
      <c r="F14" s="11" t="inlineStr">
        <is>
          <t>Share of reopens that were transferred at least once</t>
        </is>
      </c>
      <c r="T14" s="5">
        <f>IF(A14="","",A14&amp;"|"&amp;COUNTIF($A$8:A14,A14))</f>
        <v/>
      </c>
    </row>
    <row r="15">
      <c r="A15" s="11" t="inlineStr">
        <is>
          <t>Product / upstream</t>
        </is>
      </c>
      <c r="B15" s="11" t="inlineStr">
        <is>
          <t>The billing platform posts asynchronously with no callback</t>
        </is>
      </c>
      <c r="C15" s="11" t="n">
        <v>4</v>
      </c>
      <c r="D15" s="11" t="n">
        <v>5</v>
      </c>
      <c r="E15" s="12">
        <f>IF(COUNT(C15:D15)&lt;2,"",C15*D15)</f>
        <v/>
      </c>
      <c r="F15" s="11" t="inlineStr">
        <is>
          <t>Distribution of the gap between request and posting</t>
        </is>
      </c>
      <c r="T15" s="5">
        <f>IF(A15="","",A15&amp;"|"&amp;COUNTIF($A$8:A15,A15))</f>
        <v/>
      </c>
    </row>
    <row r="16">
      <c r="A16" s="11" t="inlineStr">
        <is>
          <t>Measurement</t>
        </is>
      </c>
      <c r="B16" s="11" t="inlineStr">
        <is>
          <t>Reopen rate counts same-reason reopens only, hiding the rest</t>
        </is>
      </c>
      <c r="C16" s="11" t="n">
        <v>3</v>
      </c>
      <c r="D16" s="11" t="n">
        <v>4</v>
      </c>
      <c r="E16" s="12">
        <f>IF(COUNT(C16:D16)&lt;2,"",C16*D16)</f>
        <v/>
      </c>
      <c r="F16" s="11" t="inlineStr">
        <is>
          <t>Recount on an any-reason definition</t>
        </is>
      </c>
      <c r="T16" s="5">
        <f>IF(A16="","",A16&amp;"|"&amp;COUNTIF($A$8:A16,A16))</f>
        <v/>
      </c>
    </row>
    <row r="17">
      <c r="A17" s="13" t="n"/>
      <c r="B17" s="13" t="n"/>
      <c r="C17" s="13" t="n"/>
      <c r="D17" s="13" t="n"/>
      <c r="E17" s="14">
        <f>IF(COUNT(C17:D17)&lt;2,"",C17*D17)</f>
        <v/>
      </c>
      <c r="F17" s="13" t="n"/>
      <c r="T17" s="5">
        <f>IF(A17="","",A17&amp;"|"&amp;COUNTIF($A$8:A17,A17))</f>
        <v/>
      </c>
    </row>
    <row r="18">
      <c r="A18" s="13" t="n"/>
      <c r="B18" s="13" t="n"/>
      <c r="C18" s="13" t="n"/>
      <c r="D18" s="13" t="n"/>
      <c r="E18" s="14">
        <f>IF(COUNT(C18:D18)&lt;2,"",C18*D18)</f>
        <v/>
      </c>
      <c r="F18" s="13" t="n"/>
      <c r="T18" s="5">
        <f>IF(A18="","",A18&amp;"|"&amp;COUNTIF($A$8:A18,A18))</f>
        <v/>
      </c>
    </row>
    <row r="19">
      <c r="A19" s="13" t="n"/>
      <c r="B19" s="13" t="n"/>
      <c r="C19" s="13" t="n"/>
      <c r="D19" s="13" t="n"/>
      <c r="E19" s="14">
        <f>IF(COUNT(C19:D19)&lt;2,"",C19*D19)</f>
        <v/>
      </c>
      <c r="F19" s="13" t="n"/>
      <c r="T19" s="5">
        <f>IF(A19="","",A19&amp;"|"&amp;COUNTIF($A$8:A19,A19))</f>
        <v/>
      </c>
    </row>
    <row r="20">
      <c r="A20" s="13" t="n"/>
      <c r="B20" s="13" t="n"/>
      <c r="C20" s="13" t="n"/>
      <c r="D20" s="13" t="n"/>
      <c r="E20" s="14">
        <f>IF(COUNT(C20:D20)&lt;2,"",C20*D20)</f>
        <v/>
      </c>
      <c r="F20" s="13" t="n"/>
      <c r="T20" s="5">
        <f>IF(A20="","",A20&amp;"|"&amp;COUNTIF($A$8:A20,A20))</f>
        <v/>
      </c>
    </row>
    <row r="21">
      <c r="A21" s="13" t="n"/>
      <c r="B21" s="13" t="n"/>
      <c r="C21" s="13" t="n"/>
      <c r="D21" s="13" t="n"/>
      <c r="E21" s="14">
        <f>IF(COUNT(C21:D21)&lt;2,"",C21*D21)</f>
        <v/>
      </c>
      <c r="F21" s="13" t="n"/>
      <c r="T21" s="5">
        <f>IF(A21="","",A21&amp;"|"&amp;COUNTIF($A$8:A21,A21))</f>
        <v/>
      </c>
    </row>
    <row r="22">
      <c r="A22" s="13" t="n"/>
      <c r="B22" s="13" t="n"/>
      <c r="C22" s="13" t="n"/>
      <c r="D22" s="13" t="n"/>
      <c r="E22" s="14">
        <f>IF(COUNT(C22:D22)&lt;2,"",C22*D22)</f>
        <v/>
      </c>
      <c r="F22" s="13" t="n"/>
      <c r="T22" s="5">
        <f>IF(A22="","",A22&amp;"|"&amp;COUNTIF($A$8:A22,A22))</f>
        <v/>
      </c>
    </row>
    <row r="23">
      <c r="A23" s="13" t="n"/>
      <c r="B23" s="13" t="n"/>
      <c r="C23" s="13" t="n"/>
      <c r="D23" s="13" t="n"/>
      <c r="E23" s="14">
        <f>IF(COUNT(C23:D23)&lt;2,"",C23*D23)</f>
        <v/>
      </c>
      <c r="F23" s="13" t="n"/>
      <c r="T23" s="5">
        <f>IF(A23="","",A23&amp;"|"&amp;COUNTIF($A$8:A23,A23))</f>
        <v/>
      </c>
    </row>
    <row r="24">
      <c r="A24" s="13" t="n"/>
      <c r="B24" s="13" t="n"/>
      <c r="C24" s="13" t="n"/>
      <c r="D24" s="13" t="n"/>
      <c r="E24" s="14">
        <f>IF(COUNT(C24:D24)&lt;2,"",C24*D24)</f>
        <v/>
      </c>
      <c r="F24" s="13" t="n"/>
      <c r="T24" s="5">
        <f>IF(A24="","",A24&amp;"|"&amp;COUNTIF($A$8:A24,A24))</f>
        <v/>
      </c>
    </row>
    <row r="25">
      <c r="A25" s="13" t="n"/>
      <c r="B25" s="13" t="n"/>
      <c r="C25" s="13" t="n"/>
      <c r="D25" s="13" t="n"/>
      <c r="E25" s="14">
        <f>IF(COUNT(C25:D25)&lt;2,"",C25*D25)</f>
        <v/>
      </c>
      <c r="F25" s="13" t="n"/>
      <c r="T25" s="5">
        <f>IF(A25="","",A25&amp;"|"&amp;COUNTIF($A$8:A25,A25))</f>
        <v/>
      </c>
    </row>
    <row r="26">
      <c r="A26" s="13" t="n"/>
      <c r="B26" s="13" t="n"/>
      <c r="C26" s="13" t="n"/>
      <c r="D26" s="13" t="n"/>
      <c r="E26" s="14">
        <f>IF(COUNT(C26:D26)&lt;2,"",C26*D26)</f>
        <v/>
      </c>
      <c r="F26" s="13" t="n"/>
      <c r="T26" s="5">
        <f>IF(A26="","",A26&amp;"|"&amp;COUNTIF($A$8:A26,A26))</f>
        <v/>
      </c>
    </row>
    <row r="27">
      <c r="A27" s="13" t="n"/>
      <c r="B27" s="13" t="n"/>
      <c r="C27" s="13" t="n"/>
      <c r="D27" s="13" t="n"/>
      <c r="E27" s="14">
        <f>IF(COUNT(C27:D27)&lt;2,"",C27*D27)</f>
        <v/>
      </c>
      <c r="F27" s="13" t="n"/>
      <c r="T27" s="5">
        <f>IF(A27="","",A27&amp;"|"&amp;COUNTIF($A$8:A27,A27))</f>
        <v/>
      </c>
    </row>
    <row r="28">
      <c r="A28" s="13" t="n"/>
      <c r="B28" s="13" t="n"/>
      <c r="C28" s="13" t="n"/>
      <c r="D28" s="13" t="n"/>
      <c r="E28" s="14">
        <f>IF(COUNT(C28:D28)&lt;2,"",C28*D28)</f>
        <v/>
      </c>
      <c r="F28" s="13" t="n"/>
      <c r="T28" s="5">
        <f>IF(A28="","",A28&amp;"|"&amp;COUNTIF($A$8:A28,A28))</f>
        <v/>
      </c>
    </row>
    <row r="29">
      <c r="A29" s="13" t="n"/>
      <c r="B29" s="13" t="n"/>
      <c r="C29" s="13" t="n"/>
      <c r="D29" s="13" t="n"/>
      <c r="E29" s="14">
        <f>IF(COUNT(C29:D29)&lt;2,"",C29*D29)</f>
        <v/>
      </c>
      <c r="F29" s="13" t="n"/>
      <c r="T29" s="5">
        <f>IF(A29="","",A29&amp;"|"&amp;COUNTIF($A$8:A29,A29))</f>
        <v/>
      </c>
    </row>
    <row r="30">
      <c r="A30" s="13" t="n"/>
      <c r="B30" s="13" t="n"/>
      <c r="C30" s="13" t="n"/>
      <c r="D30" s="13" t="n"/>
      <c r="E30" s="14">
        <f>IF(COUNT(C30:D30)&lt;2,"",C30*D30)</f>
        <v/>
      </c>
      <c r="F30" s="13" t="n"/>
      <c r="T30" s="5">
        <f>IF(A30="","",A30&amp;"|"&amp;COUNTIF($A$8:A30,A30))</f>
        <v/>
      </c>
    </row>
    <row r="31">
      <c r="A31" s="13" t="n"/>
      <c r="B31" s="13" t="n"/>
      <c r="C31" s="13" t="n"/>
      <c r="D31" s="13" t="n"/>
      <c r="E31" s="14">
        <f>IF(COUNT(C31:D31)&lt;2,"",C31*D31)</f>
        <v/>
      </c>
      <c r="F31" s="13" t="n"/>
      <c r="T31" s="5">
        <f>IF(A31="","",A31&amp;"|"&amp;COUNTIF($A$8:A31,A31))</f>
        <v/>
      </c>
    </row>
    <row r="32">
      <c r="A32" s="13" t="n"/>
      <c r="B32" s="13" t="n"/>
      <c r="C32" s="13" t="n"/>
      <c r="D32" s="13" t="n"/>
      <c r="E32" s="14">
        <f>IF(COUNT(C32:D32)&lt;2,"",C32*D32)</f>
        <v/>
      </c>
      <c r="F32" s="13" t="n"/>
      <c r="T32" s="5">
        <f>IF(A32="","",A32&amp;"|"&amp;COUNTIF($A$8:A32,A32))</f>
        <v/>
      </c>
    </row>
    <row r="33">
      <c r="A33" s="13" t="n"/>
      <c r="B33" s="13" t="n"/>
      <c r="C33" s="13" t="n"/>
      <c r="D33" s="13" t="n"/>
      <c r="E33" s="14">
        <f>IF(COUNT(C33:D33)&lt;2,"",C33*D33)</f>
        <v/>
      </c>
      <c r="F33" s="13" t="n"/>
      <c r="T33" s="5">
        <f>IF(A33="","",A33&amp;"|"&amp;COUNTIF($A$8:A33,A33))</f>
        <v/>
      </c>
    </row>
    <row r="34">
      <c r="A34" s="13" t="n"/>
      <c r="B34" s="13" t="n"/>
      <c r="C34" s="13" t="n"/>
      <c r="D34" s="13" t="n"/>
      <c r="E34" s="14">
        <f>IF(COUNT(C34:D34)&lt;2,"",C34*D34)</f>
        <v/>
      </c>
      <c r="F34" s="13" t="n"/>
      <c r="T34" s="5">
        <f>IF(A34="","",A34&amp;"|"&amp;COUNTIF($A$8:A34,A34))</f>
        <v/>
      </c>
    </row>
    <row r="35">
      <c r="A35" s="13" t="n"/>
      <c r="B35" s="13" t="n"/>
      <c r="C35" s="13" t="n"/>
      <c r="D35" s="13" t="n"/>
      <c r="E35" s="14">
        <f>IF(COUNT(C35:D35)&lt;2,"",C35*D35)</f>
        <v/>
      </c>
      <c r="F35" s="13" t="n"/>
      <c r="T35" s="5">
        <f>IF(A35="","",A35&amp;"|"&amp;COUNTIF($A$8:A35,A35))</f>
        <v/>
      </c>
    </row>
    <row r="37">
      <c r="A37" s="6" t="inlineStr">
        <is>
          <t>BRANCH BALANCE — a thin branch is a blind spot, not an absence of causes</t>
        </is>
      </c>
      <c r="B37" s="7" t="n"/>
      <c r="C37" s="7" t="n"/>
      <c r="D37" s="7" t="n"/>
      <c r="E37" s="7" t="n"/>
      <c r="F37" s="7" t="n"/>
      <c r="H37" s="5" t="inlineStr">
        <is>
          <t>Mean causes per branch</t>
        </is>
      </c>
    </row>
    <row r="38">
      <c r="A38" s="8" t="inlineStr">
        <is>
          <t>People</t>
        </is>
      </c>
      <c r="B38" s="15">
        <f>COUNTIF($A$8:$A$35,A38)</f>
        <v/>
      </c>
      <c r="C38" s="15">
        <f>IF(COUNTIF($A$8:$A$35,A38)=0,"EMPTY — look again","")</f>
        <v/>
      </c>
      <c r="D38" s="16" t="n"/>
      <c r="E38" s="16" t="n"/>
      <c r="F38" s="16" t="n"/>
      <c r="H38" s="17">
        <f>AVERAGE($B$38:$B$44)</f>
        <v/>
      </c>
    </row>
    <row r="39">
      <c r="A39" s="8" t="inlineStr">
        <is>
          <t>Process</t>
        </is>
      </c>
      <c r="B39" s="15">
        <f>COUNTIF($A$8:$A$35,A39)</f>
        <v/>
      </c>
      <c r="C39" s="15">
        <f>IF(COUNTIF($A$8:$A$35,A39)=0,"EMPTY — look again","")</f>
        <v/>
      </c>
      <c r="D39" s="16" t="n"/>
      <c r="E39" s="16" t="n"/>
      <c r="F39" s="16" t="n"/>
      <c r="H39" s="17">
        <f>AVERAGE($B$38:$B$44)</f>
        <v/>
      </c>
    </row>
    <row r="40">
      <c r="A40" s="8" t="inlineStr">
        <is>
          <t>Systems</t>
        </is>
      </c>
      <c r="B40" s="15">
        <f>COUNTIF($A$8:$A$35,A40)</f>
        <v/>
      </c>
      <c r="C40" s="15">
        <f>IF(COUNTIF($A$8:$A$35,A40)=0,"EMPTY — look again","")</f>
        <v/>
      </c>
      <c r="D40" s="16" t="n"/>
      <c r="E40" s="16" t="n"/>
      <c r="F40" s="16" t="n"/>
      <c r="H40" s="17">
        <f>AVERAGE($B$38:$B$44)</f>
        <v/>
      </c>
    </row>
    <row r="41">
      <c r="A41" s="8" t="inlineStr">
        <is>
          <t>Knowledge</t>
        </is>
      </c>
      <c r="B41" s="15">
        <f>COUNTIF($A$8:$A$35,A41)</f>
        <v/>
      </c>
      <c r="C41" s="15">
        <f>IF(COUNTIF($A$8:$A$35,A41)=0,"EMPTY — look again","")</f>
        <v/>
      </c>
      <c r="D41" s="16" t="n"/>
      <c r="E41" s="16" t="n"/>
      <c r="F41" s="16" t="n"/>
      <c r="H41" s="17">
        <f>AVERAGE($B$38:$B$44)</f>
        <v/>
      </c>
    </row>
    <row r="42">
      <c r="A42" s="8" t="inlineStr">
        <is>
          <t>Routing &amp; demand</t>
        </is>
      </c>
      <c r="B42" s="15">
        <f>COUNTIF($A$8:$A$35,A42)</f>
        <v/>
      </c>
      <c r="C42" s="15">
        <f>IF(COUNTIF($A$8:$A$35,A42)=0,"EMPTY — look again","")</f>
        <v/>
      </c>
      <c r="D42" s="16" t="n"/>
      <c r="E42" s="16" t="n"/>
      <c r="F42" s="16" t="n"/>
      <c r="H42" s="17">
        <f>AVERAGE($B$38:$B$44)</f>
        <v/>
      </c>
    </row>
    <row r="43">
      <c r="A43" s="8" t="inlineStr">
        <is>
          <t>Product / upstream</t>
        </is>
      </c>
      <c r="B43" s="15">
        <f>COUNTIF($A$8:$A$35,A43)</f>
        <v/>
      </c>
      <c r="C43" s="15">
        <f>IF(COUNTIF($A$8:$A$35,A43)=0,"EMPTY — look again","")</f>
        <v/>
      </c>
      <c r="D43" s="16" t="n"/>
      <c r="E43" s="16" t="n"/>
      <c r="F43" s="16" t="n"/>
      <c r="H43" s="17">
        <f>AVERAGE($B$38:$B$44)</f>
        <v/>
      </c>
    </row>
    <row r="44">
      <c r="A44" s="8" t="inlineStr">
        <is>
          <t>Measurement</t>
        </is>
      </c>
      <c r="B44" s="15">
        <f>COUNTIF($A$8:$A$35,A44)</f>
        <v/>
      </c>
      <c r="C44" s="15">
        <f>IF(COUNTIF($A$8:$A$35,A44)=0,"EMPTY — look again","")</f>
        <v/>
      </c>
      <c r="D44" s="16" t="n"/>
      <c r="E44" s="16" t="n"/>
      <c r="F44" s="16" t="n"/>
      <c r="H44" s="17">
        <f>AVERAGE($B$38:$B$44)</f>
        <v/>
      </c>
    </row>
    <row r="46">
      <c r="A46" s="5" t="inlineStr">
        <is>
          <t>Support teams over-populate People and under-populate Systems and Knowledge, because blaming agents is culturally available. An empty Measurement branch is almost always wrong — if you have not questioned the measurement, you have not finished.</t>
        </is>
      </c>
    </row>
  </sheetData>
  <mergeCells count="13">
    <mergeCell ref="A2:F2"/>
    <mergeCell ref="C40:F40"/>
    <mergeCell ref="A46:F46"/>
    <mergeCell ref="C39:F39"/>
    <mergeCell ref="A1:F1"/>
    <mergeCell ref="A37:F37"/>
    <mergeCell ref="C43:F43"/>
    <mergeCell ref="B5:F5"/>
    <mergeCell ref="C38:F38"/>
    <mergeCell ref="A4:F4"/>
    <mergeCell ref="C41:F41"/>
    <mergeCell ref="C42:F42"/>
    <mergeCell ref="C44:F44"/>
  </mergeCells>
  <dataValidations count="2">
    <dataValidation sqref="A8:A35" showDropDown="0" showInputMessage="0" showErrorMessage="0" allowBlank="1" type="list">
      <formula1>"People,Process,Systems,Knowledge,Routing &amp; demand,Product / upstream,Measurement"</formula1>
    </dataValidation>
    <dataValidation sqref="C8:D35" showDropDown="0" showInputMessage="0" showErrorMessage="0" allowBlank="1" type="whole" operator="between">
      <formula1>1</formula1>
      <formula2>5</formula2>
    </dataValidation>
  </dataValidation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26" customHeight="1">
      <c r="A1" s="3" t="inlineStr">
        <is>
          <t>Cause &amp; effect — the diagram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</row>
    <row r="2">
      <c r="A2" s="5" t="inlineStr">
        <is>
          <t>Every box below is a formula reading the Fishbone tab. Type there; this redraws itself. Four causes per branch are shown — the tab holds as many as you like.</t>
        </is>
      </c>
    </row>
    <row r="3"/>
    <row r="4" ht="20" customHeight="1">
      <c r="B4" s="18" t="inlineStr">
        <is>
          <t>People</t>
        </is>
      </c>
      <c r="C4" s="19" t="n"/>
      <c r="D4" s="19" t="n"/>
      <c r="E4" s="19" t="n"/>
      <c r="H4" s="18" t="inlineStr">
        <is>
          <t>Process</t>
        </is>
      </c>
      <c r="I4" s="19" t="n"/>
      <c r="J4" s="19" t="n"/>
      <c r="K4" s="19" t="n"/>
      <c r="N4" s="18" t="inlineStr">
        <is>
          <t>Systems</t>
        </is>
      </c>
      <c r="O4" s="19" t="n"/>
      <c r="P4" s="19" t="n"/>
      <c r="Q4" s="19" t="n"/>
      <c r="T4" s="18" t="inlineStr">
        <is>
          <t>Knowledge</t>
        </is>
      </c>
      <c r="U4" s="19" t="n"/>
      <c r="V4" s="19" t="n"/>
      <c r="W4" s="19" t="n"/>
    </row>
    <row r="5">
      <c r="F5" s="20" t="n"/>
      <c r="L5" s="20" t="n"/>
      <c r="R5" s="20" t="n"/>
      <c r="X5" s="20" t="n"/>
    </row>
    <row r="6" ht="26" customHeight="1">
      <c r="B6" s="21">
        <f>IFERROR(INDEX(Fishbone!$B$8:$B$35,MATCH("People|1",Fishbone!$T$8:$T$35,0)),"")</f>
        <v/>
      </c>
      <c r="H6" s="21">
        <f>IFERROR(INDEX(Fishbone!$B$8:$B$35,MATCH("Process|1",Fishbone!$T$8:$T$35,0)),"")</f>
        <v/>
      </c>
      <c r="N6" s="21">
        <f>IFERROR(INDEX(Fishbone!$B$8:$B$35,MATCH("Systems|1",Fishbone!$T$8:$T$35,0)),"")</f>
        <v/>
      </c>
      <c r="T6" s="21">
        <f>IFERROR(INDEX(Fishbone!$B$8:$B$35,MATCH("Knowledge|1",Fishbone!$T$8:$T$35,0)),"")</f>
        <v/>
      </c>
    </row>
    <row r="7"/>
    <row r="8" ht="26" customHeight="1">
      <c r="B8" s="21">
        <f>IFERROR(INDEX(Fishbone!$B$8:$B$35,MATCH("People|2",Fishbone!$T$8:$T$35,0)),"")</f>
        <v/>
      </c>
      <c r="H8" s="21">
        <f>IFERROR(INDEX(Fishbone!$B$8:$B$35,MATCH("Process|2",Fishbone!$T$8:$T$35,0)),"")</f>
        <v/>
      </c>
      <c r="N8" s="21">
        <f>IFERROR(INDEX(Fishbone!$B$8:$B$35,MATCH("Systems|2",Fishbone!$T$8:$T$35,0)),"")</f>
        <v/>
      </c>
      <c r="T8" s="21">
        <f>IFERROR(INDEX(Fishbone!$B$8:$B$35,MATCH("Knowledge|2",Fishbone!$T$8:$T$35,0)),"")</f>
        <v/>
      </c>
    </row>
    <row r="9"/>
    <row r="10" ht="26" customHeight="1">
      <c r="B10" s="21">
        <f>IFERROR(INDEX(Fishbone!$B$8:$B$35,MATCH("People|3",Fishbone!$T$8:$T$35,0)),"")</f>
        <v/>
      </c>
      <c r="H10" s="21">
        <f>IFERROR(INDEX(Fishbone!$B$8:$B$35,MATCH("Process|3",Fishbone!$T$8:$T$35,0)),"")</f>
        <v/>
      </c>
      <c r="N10" s="21">
        <f>IFERROR(INDEX(Fishbone!$B$8:$B$35,MATCH("Systems|3",Fishbone!$T$8:$T$35,0)),"")</f>
        <v/>
      </c>
      <c r="T10" s="21">
        <f>IFERROR(INDEX(Fishbone!$B$8:$B$35,MATCH("Knowledge|3",Fishbone!$T$8:$T$35,0)),"")</f>
        <v/>
      </c>
    </row>
    <row r="11"/>
    <row r="12" ht="26" customHeight="1">
      <c r="B12" s="21">
        <f>IFERROR(INDEX(Fishbone!$B$8:$B$35,MATCH("People|4",Fishbone!$T$8:$T$35,0)),"")</f>
        <v/>
      </c>
      <c r="H12" s="21">
        <f>IFERROR(INDEX(Fishbone!$B$8:$B$35,MATCH("Process|4",Fishbone!$T$8:$T$35,0)),"")</f>
        <v/>
      </c>
      <c r="N12" s="21">
        <f>IFERROR(INDEX(Fishbone!$B$8:$B$35,MATCH("Systems|4",Fishbone!$T$8:$T$35,0)),"")</f>
        <v/>
      </c>
      <c r="T12" s="21">
        <f>IFERROR(INDEX(Fishbone!$B$8:$B$35,MATCH("Knowledge|4",Fishbone!$T$8:$T$35,0)),"")</f>
        <v/>
      </c>
      <c r="AA12" s="22">
        <f>Fishbone!B5</f>
        <v/>
      </c>
      <c r="AB12" s="23" t="n"/>
      <c r="AC12" s="23" t="n"/>
      <c r="AD12" s="23" t="n"/>
    </row>
    <row r="13">
      <c r="AA13" s="23" t="n"/>
      <c r="AB13" s="23" t="n"/>
      <c r="AC13" s="23" t="n"/>
      <c r="AD13" s="23" t="n"/>
    </row>
    <row r="14">
      <c r="AA14" s="23" t="n"/>
      <c r="AB14" s="23" t="n"/>
      <c r="AC14" s="23" t="n"/>
      <c r="AD14" s="23" t="n"/>
    </row>
    <row r="15" ht="10" customHeight="1"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3" t="n"/>
      <c r="AB15" s="23" t="n"/>
      <c r="AC15" s="23" t="n"/>
      <c r="AD15" s="23" t="n"/>
    </row>
    <row r="16">
      <c r="I16" s="25" t="n"/>
      <c r="O16" s="25" t="n"/>
      <c r="U16" s="25" t="n"/>
      <c r="AA16" s="23" t="n"/>
      <c r="AB16" s="23" t="n"/>
      <c r="AC16" s="23" t="n"/>
      <c r="AD16" s="23" t="n"/>
    </row>
    <row r="17">
      <c r="AA17" s="23" t="n"/>
      <c r="AB17" s="23" t="n"/>
      <c r="AC17" s="23" t="n"/>
      <c r="AD17" s="23" t="n"/>
    </row>
    <row r="18" ht="26" customHeight="1">
      <c r="E18" s="21">
        <f>IFERROR(INDEX(Fishbone!$B$8:$B$35,MATCH("Routing &amp; demand|1",Fishbone!$T$8:$T$35,0)),"")</f>
        <v/>
      </c>
      <c r="K18" s="21">
        <f>IFERROR(INDEX(Fishbone!$B$8:$B$35,MATCH("Product / upstream|1",Fishbone!$T$8:$T$35,0)),"")</f>
        <v/>
      </c>
      <c r="Q18" s="21">
        <f>IFERROR(INDEX(Fishbone!$B$8:$B$35,MATCH("Measurement|1",Fishbone!$T$8:$T$35,0)),"")</f>
        <v/>
      </c>
      <c r="AA18" s="23" t="n"/>
      <c r="AB18" s="23" t="n"/>
      <c r="AC18" s="23" t="n"/>
      <c r="AD18" s="23" t="n"/>
    </row>
    <row r="19"/>
    <row r="20" ht="26" customHeight="1">
      <c r="E20" s="21">
        <f>IFERROR(INDEX(Fishbone!$B$8:$B$35,MATCH("Routing &amp; demand|2",Fishbone!$T$8:$T$35,0)),"")</f>
        <v/>
      </c>
      <c r="K20" s="21">
        <f>IFERROR(INDEX(Fishbone!$B$8:$B$35,MATCH("Product / upstream|2",Fishbone!$T$8:$T$35,0)),"")</f>
        <v/>
      </c>
      <c r="Q20" s="21">
        <f>IFERROR(INDEX(Fishbone!$B$8:$B$35,MATCH("Measurement|2",Fishbone!$T$8:$T$35,0)),"")</f>
        <v/>
      </c>
    </row>
    <row r="21"/>
    <row r="22" ht="26" customHeight="1">
      <c r="E22" s="21">
        <f>IFERROR(INDEX(Fishbone!$B$8:$B$35,MATCH("Routing &amp; demand|3",Fishbone!$T$8:$T$35,0)),"")</f>
        <v/>
      </c>
      <c r="K22" s="21">
        <f>IFERROR(INDEX(Fishbone!$B$8:$B$35,MATCH("Product / upstream|3",Fishbone!$T$8:$T$35,0)),"")</f>
        <v/>
      </c>
      <c r="Q22" s="21">
        <f>IFERROR(INDEX(Fishbone!$B$8:$B$35,MATCH("Measurement|3",Fishbone!$T$8:$T$35,0)),"")</f>
        <v/>
      </c>
    </row>
    <row r="23"/>
    <row r="24" ht="26" customHeight="1">
      <c r="E24" s="21">
        <f>IFERROR(INDEX(Fishbone!$B$8:$B$35,MATCH("Routing &amp; demand|4",Fishbone!$T$8:$T$35,0)),"")</f>
        <v/>
      </c>
      <c r="K24" s="21">
        <f>IFERROR(INDEX(Fishbone!$B$8:$B$35,MATCH("Product / upstream|4",Fishbone!$T$8:$T$35,0)),"")</f>
        <v/>
      </c>
      <c r="Q24" s="21">
        <f>IFERROR(INDEX(Fishbone!$B$8:$B$35,MATCH("Measurement|4",Fishbone!$T$8:$T$35,0)),"")</f>
        <v/>
      </c>
    </row>
    <row r="25"/>
    <row r="26" ht="20" customHeight="1">
      <c r="E26" s="18" t="inlineStr">
        <is>
          <t>Routing &amp; demand</t>
        </is>
      </c>
      <c r="F26" s="19" t="n"/>
      <c r="G26" s="19" t="n"/>
      <c r="H26" s="19" t="n"/>
      <c r="K26" s="18" t="inlineStr">
        <is>
          <t>Product / upstream</t>
        </is>
      </c>
      <c r="L26" s="19" t="n"/>
      <c r="M26" s="19" t="n"/>
      <c r="N26" s="19" t="n"/>
      <c r="Q26" s="18" t="inlineStr">
        <is>
          <t>Measurement</t>
        </is>
      </c>
      <c r="R26" s="19" t="n"/>
      <c r="S26" s="19" t="n"/>
      <c r="T26" s="19" t="n"/>
    </row>
    <row r="28">
      <c r="A28" s="5" t="inlineStr">
        <is>
          <t>A branch with no boxes is where you are not looking, not where there is nothing to find. An empty Measurement branch is almost always wrong.</t>
        </is>
      </c>
    </row>
  </sheetData>
  <mergeCells count="46">
    <mergeCell ref="E26:H26"/>
    <mergeCell ref="T8:W8"/>
    <mergeCell ref="B6:E6"/>
    <mergeCell ref="H12:K12"/>
    <mergeCell ref="N6:Q6"/>
    <mergeCell ref="T6:W6"/>
    <mergeCell ref="E22:H22"/>
    <mergeCell ref="I16:J25"/>
    <mergeCell ref="E18:H18"/>
    <mergeCell ref="K18:N18"/>
    <mergeCell ref="B4:E4"/>
    <mergeCell ref="F5:G14"/>
    <mergeCell ref="H8:K8"/>
    <mergeCell ref="U16:V25"/>
    <mergeCell ref="L5:M14"/>
    <mergeCell ref="N4:Q4"/>
    <mergeCell ref="A2:AD2"/>
    <mergeCell ref="AA12:AD18"/>
    <mergeCell ref="K24:N24"/>
    <mergeCell ref="E24:H24"/>
    <mergeCell ref="H10:K10"/>
    <mergeCell ref="O16:P25"/>
    <mergeCell ref="Q24:T24"/>
    <mergeCell ref="Q18:T18"/>
    <mergeCell ref="H4:K4"/>
    <mergeCell ref="K26:N26"/>
    <mergeCell ref="B12:E12"/>
    <mergeCell ref="T4:W4"/>
    <mergeCell ref="X5:Y14"/>
    <mergeCell ref="E20:H20"/>
    <mergeCell ref="K20:N20"/>
    <mergeCell ref="H6:K6"/>
    <mergeCell ref="T10:W10"/>
    <mergeCell ref="N12:Q12"/>
    <mergeCell ref="A28:AD28"/>
    <mergeCell ref="Q20:T20"/>
    <mergeCell ref="Q26:T26"/>
    <mergeCell ref="R5:S14"/>
    <mergeCell ref="B8:E8"/>
    <mergeCell ref="K22:N22"/>
    <mergeCell ref="N8:Q8"/>
    <mergeCell ref="T12:W12"/>
    <mergeCell ref="Q22:T22"/>
    <mergeCell ref="B10:E10"/>
    <mergeCell ref="N10:Q10"/>
    <mergeCell ref="A1:AD1"/>
  </mergeCells>
  <printOptions horizontalCentered="1"/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6" customHeight="1">
      <c r="A1" s="3" t="inlineStr">
        <is>
          <t>What lives in each branch</t>
        </is>
      </c>
      <c r="B1" s="4" t="n"/>
    </row>
    <row r="2">
      <c r="A2" s="5" t="inlineStr">
        <is>
          <t>Prompts to force entries into the thin branches.</t>
        </is>
      </c>
    </row>
    <row r="3"/>
    <row r="4" ht="28" customHeight="1">
      <c r="A4" s="8" t="inlineStr">
        <is>
          <t>People</t>
        </is>
      </c>
      <c r="B4" s="26" t="inlineStr">
        <is>
          <t>Skill, tenure, authority limits, coaching, workload, incentive conflicts.</t>
        </is>
      </c>
    </row>
    <row r="5" ht="28" customHeight="1">
      <c r="A5" s="8" t="inlineStr">
        <is>
          <t>Process</t>
        </is>
      </c>
      <c r="B5" s="26" t="inlineStr">
        <is>
          <t>Steps that can be skipped, missing pending states, approvals, handoffs, queue discipline.</t>
        </is>
      </c>
    </row>
    <row r="6" ht="28" customHeight="1">
      <c r="A6" s="8" t="inlineStr">
        <is>
          <t>Systems</t>
        </is>
      </c>
      <c r="B6" s="26" t="inlineStr">
        <is>
          <t>Tooling gaps, swivel-chair work, latency, permissions, integrations that fail silently.</t>
        </is>
      </c>
    </row>
    <row r="7" ht="28" customHeight="1">
      <c r="A7" s="8" t="inlineStr">
        <is>
          <t>Knowledge</t>
        </is>
      </c>
      <c r="B7" s="26" t="inlineStr">
        <is>
          <t>Missing or wrong articles, search that does not find them, content nobody owns.</t>
        </is>
      </c>
    </row>
    <row r="8" ht="28" customHeight="1">
      <c r="A8" s="8" t="inlineStr">
        <is>
          <t>Routing &amp; demand</t>
        </is>
      </c>
      <c r="B8" s="26" t="inlineStr">
        <is>
          <t>Mis-routing, IVR options, skill-based routing rules, arrival patterns, mix shift.</t>
        </is>
      </c>
    </row>
    <row r="9" ht="28" customHeight="1">
      <c r="A9" s="8" t="inlineStr">
        <is>
          <t>Product / upstream</t>
        </is>
      </c>
      <c r="B9" s="26" t="inlineStr">
        <is>
          <t>Defects reaching customers, confusing UX, billing logic, release cadence.</t>
        </is>
      </c>
    </row>
    <row r="10" ht="28" customHeight="1">
      <c r="A10" s="8" t="inlineStr">
        <is>
          <t>Measurement</t>
        </is>
      </c>
      <c r="B10" s="26" t="inlineStr">
        <is>
          <t>Disposition codes, QA rubric, operational definitions, instrumentation gaps.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2">
    <mergeCell ref="A2:B2"/>
    <mergeCell ref="A1:B1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2026-08-01T01:37:10Z</dcterms:created>
  <dcterms:modified xsi:type="dcterms:W3CDTF">2026-08-01T01:37:10Z</dcterms:modified>
</cp:coreProperties>
</file>