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7" t="inlineStr">
        <is>
          <t>People</t>
        </is>
      </c>
      <c r="C4" s="18" t="n"/>
      <c r="D4" s="18" t="n"/>
      <c r="E4" s="18" t="n"/>
      <c r="H4" s="17" t="inlineStr">
        <is>
          <t>Process</t>
        </is>
      </c>
      <c r="I4" s="18" t="n"/>
      <c r="J4" s="18" t="n"/>
      <c r="K4" s="18" t="n"/>
      <c r="N4" s="17" t="inlineStr">
        <is>
          <t>Systems</t>
        </is>
      </c>
      <c r="O4" s="18" t="n"/>
      <c r="P4" s="18" t="n"/>
      <c r="Q4" s="18" t="n"/>
      <c r="T4" s="17" t="inlineStr">
        <is>
          <t>Knowledge</t>
        </is>
      </c>
      <c r="U4" s="18" t="n"/>
      <c r="V4" s="18" t="n"/>
      <c r="W4" s="18" t="n"/>
    </row>
    <row r="5">
      <c r="F5" s="19" t="n"/>
      <c r="L5" s="19" t="n"/>
      <c r="R5" s="19" t="n"/>
      <c r="X5" s="19" t="n"/>
    </row>
    <row r="6" ht="26" customHeight="1">
      <c r="B6" s="20">
        <f>IFERROR(INDEX(Fishbone!$B$8:$B$35,MATCH("People|1",Fishbone!$T$8:$T$35,0)),"")</f>
        <v/>
      </c>
      <c r="H6" s="20">
        <f>IFERROR(INDEX(Fishbone!$B$8:$B$35,MATCH("Process|1",Fishbone!$T$8:$T$35,0)),"")</f>
        <v/>
      </c>
      <c r="N6" s="20">
        <f>IFERROR(INDEX(Fishbone!$B$8:$B$35,MATCH("Systems|1",Fishbone!$T$8:$T$35,0)),"")</f>
        <v/>
      </c>
      <c r="T6" s="20">
        <f>IFERROR(INDEX(Fishbone!$B$8:$B$35,MATCH("Knowledge|1",Fishbone!$T$8:$T$35,0)),"")</f>
        <v/>
      </c>
    </row>
    <row r="7"/>
    <row r="8" ht="26" customHeight="1">
      <c r="B8" s="20">
        <f>IFERROR(INDEX(Fishbone!$B$8:$B$35,MATCH("People|2",Fishbone!$T$8:$T$35,0)),"")</f>
        <v/>
      </c>
      <c r="H8" s="20">
        <f>IFERROR(INDEX(Fishbone!$B$8:$B$35,MATCH("Process|2",Fishbone!$T$8:$T$35,0)),"")</f>
        <v/>
      </c>
      <c r="N8" s="20">
        <f>IFERROR(INDEX(Fishbone!$B$8:$B$35,MATCH("Systems|2",Fishbone!$T$8:$T$35,0)),"")</f>
        <v/>
      </c>
      <c r="T8" s="20">
        <f>IFERROR(INDEX(Fishbone!$B$8:$B$35,MATCH("Knowledge|2",Fishbone!$T$8:$T$35,0)),"")</f>
        <v/>
      </c>
    </row>
    <row r="9"/>
    <row r="10" ht="26" customHeight="1">
      <c r="B10" s="20">
        <f>IFERROR(INDEX(Fishbone!$B$8:$B$35,MATCH("People|3",Fishbone!$T$8:$T$35,0)),"")</f>
        <v/>
      </c>
      <c r="H10" s="20">
        <f>IFERROR(INDEX(Fishbone!$B$8:$B$35,MATCH("Process|3",Fishbone!$T$8:$T$35,0)),"")</f>
        <v/>
      </c>
      <c r="N10" s="20">
        <f>IFERROR(INDEX(Fishbone!$B$8:$B$35,MATCH("Systems|3",Fishbone!$T$8:$T$35,0)),"")</f>
        <v/>
      </c>
      <c r="T10" s="20">
        <f>IFERROR(INDEX(Fishbone!$B$8:$B$35,MATCH("Knowledge|3",Fishbone!$T$8:$T$35,0)),"")</f>
        <v/>
      </c>
    </row>
    <row r="11"/>
    <row r="12" ht="26" customHeight="1">
      <c r="B12" s="20">
        <f>IFERROR(INDEX(Fishbone!$B$8:$B$35,MATCH("People|4",Fishbone!$T$8:$T$35,0)),"")</f>
        <v/>
      </c>
      <c r="H12" s="20">
        <f>IFERROR(INDEX(Fishbone!$B$8:$B$35,MATCH("Process|4",Fishbone!$T$8:$T$35,0)),"")</f>
        <v/>
      </c>
      <c r="N12" s="20">
        <f>IFERROR(INDEX(Fishbone!$B$8:$B$35,MATCH("Systems|4",Fishbone!$T$8:$T$35,0)),"")</f>
        <v/>
      </c>
      <c r="T12" s="20">
        <f>IFERROR(INDEX(Fishbone!$B$8:$B$35,MATCH("Knowledge|4",Fishbone!$T$8:$T$35,0)),"")</f>
        <v/>
      </c>
      <c r="AA12" s="21">
        <f>Fishbone!B5</f>
        <v/>
      </c>
      <c r="AB12" s="22" t="n"/>
      <c r="AC12" s="22" t="n"/>
      <c r="AD12" s="22" t="n"/>
    </row>
    <row r="13">
      <c r="AA13" s="22" t="n"/>
      <c r="AB13" s="22" t="n"/>
      <c r="AC13" s="22" t="n"/>
      <c r="AD13" s="22" t="n"/>
    </row>
    <row r="14">
      <c r="AA14" s="22" t="n"/>
      <c r="AB14" s="22" t="n"/>
      <c r="AC14" s="22" t="n"/>
      <c r="AD14" s="22" t="n"/>
    </row>
    <row r="15" ht="10" customHeight="1"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2" t="n"/>
      <c r="AB15" s="22" t="n"/>
      <c r="AC15" s="22" t="n"/>
      <c r="AD15" s="22" t="n"/>
    </row>
    <row r="16">
      <c r="I16" s="24" t="n"/>
      <c r="O16" s="24" t="n"/>
      <c r="U16" s="24" t="n"/>
      <c r="AA16" s="22" t="n"/>
      <c r="AB16" s="22" t="n"/>
      <c r="AC16" s="22" t="n"/>
      <c r="AD16" s="22" t="n"/>
    </row>
    <row r="17">
      <c r="AA17" s="22" t="n"/>
      <c r="AB17" s="22" t="n"/>
      <c r="AC17" s="22" t="n"/>
      <c r="AD17" s="22" t="n"/>
    </row>
    <row r="18" ht="26" customHeight="1">
      <c r="E18" s="20">
        <f>IFERROR(INDEX(Fishbone!$B$8:$B$35,MATCH("Routing &amp; demand|1",Fishbone!$T$8:$T$35,0)),"")</f>
        <v/>
      </c>
      <c r="K18" s="20">
        <f>IFERROR(INDEX(Fishbone!$B$8:$B$35,MATCH("Product / upstream|1",Fishbone!$T$8:$T$35,0)),"")</f>
        <v/>
      </c>
      <c r="Q18" s="20">
        <f>IFERROR(INDEX(Fishbone!$B$8:$B$35,MATCH("Measurement|1",Fishbone!$T$8:$T$35,0)),"")</f>
        <v/>
      </c>
      <c r="AA18" s="22" t="n"/>
      <c r="AB18" s="22" t="n"/>
      <c r="AC18" s="22" t="n"/>
      <c r="AD18" s="22" t="n"/>
    </row>
    <row r="19"/>
    <row r="20" ht="26" customHeight="1">
      <c r="E20" s="20">
        <f>IFERROR(INDEX(Fishbone!$B$8:$B$35,MATCH("Routing &amp; demand|2",Fishbone!$T$8:$T$35,0)),"")</f>
        <v/>
      </c>
      <c r="K20" s="20">
        <f>IFERROR(INDEX(Fishbone!$B$8:$B$35,MATCH("Product / upstream|2",Fishbone!$T$8:$T$35,0)),"")</f>
        <v/>
      </c>
      <c r="Q20" s="20">
        <f>IFERROR(INDEX(Fishbone!$B$8:$B$35,MATCH("Measurement|2",Fishbone!$T$8:$T$35,0)),"")</f>
        <v/>
      </c>
    </row>
    <row r="21"/>
    <row r="22" ht="26" customHeight="1">
      <c r="E22" s="20">
        <f>IFERROR(INDEX(Fishbone!$B$8:$B$35,MATCH("Routing &amp; demand|3",Fishbone!$T$8:$T$35,0)),"")</f>
        <v/>
      </c>
      <c r="K22" s="20">
        <f>IFERROR(INDEX(Fishbone!$B$8:$B$35,MATCH("Product / upstream|3",Fishbone!$T$8:$T$35,0)),"")</f>
        <v/>
      </c>
      <c r="Q22" s="20">
        <f>IFERROR(INDEX(Fishbone!$B$8:$B$35,MATCH("Measurement|3",Fishbone!$T$8:$T$35,0)),"")</f>
        <v/>
      </c>
    </row>
    <row r="23"/>
    <row r="24" ht="26" customHeight="1">
      <c r="E24" s="20">
        <f>IFERROR(INDEX(Fishbone!$B$8:$B$35,MATCH("Routing &amp; demand|4",Fishbone!$T$8:$T$35,0)),"")</f>
        <v/>
      </c>
      <c r="K24" s="20">
        <f>IFERROR(INDEX(Fishbone!$B$8:$B$35,MATCH("Product / upstream|4",Fishbone!$T$8:$T$35,0)),"")</f>
        <v/>
      </c>
      <c r="Q24" s="20">
        <f>IFERROR(INDEX(Fishbone!$B$8:$B$35,MATCH("Measurement|4",Fishbone!$T$8:$T$35,0)),"")</f>
        <v/>
      </c>
    </row>
    <row r="25"/>
    <row r="26" ht="20" customHeight="1">
      <c r="E26" s="17" t="inlineStr">
        <is>
          <t>Routing &amp; demand</t>
        </is>
      </c>
      <c r="F26" s="18" t="n"/>
      <c r="G26" s="18" t="n"/>
      <c r="H26" s="18" t="n"/>
      <c r="K26" s="17" t="inlineStr">
        <is>
          <t>Product / upstream</t>
        </is>
      </c>
      <c r="L26" s="18" t="n"/>
      <c r="M26" s="18" t="n"/>
      <c r="N26" s="18" t="n"/>
      <c r="Q26" s="17" t="inlineStr">
        <is>
          <t>Measurement</t>
        </is>
      </c>
      <c r="R26" s="18" t="n"/>
      <c r="S26" s="18" t="n"/>
      <c r="T26" s="18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5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5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5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5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5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5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5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2026-07-31T23:10:38Z</dcterms:created>
  <dcterms:modified xsi:type="dcterms:W3CDTF">2026-07-31T23:10:38Z</dcterms:modified>
</cp:coreProperties>
</file>