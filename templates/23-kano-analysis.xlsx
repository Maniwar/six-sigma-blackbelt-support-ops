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5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8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8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8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8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8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8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8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8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8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8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8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8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8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8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8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8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8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8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8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8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8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8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1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2" t="inlineStr">
        <is>
          <t>WHERE YOUR EFFORT SHOULD GO</t>
        </is>
      </c>
      <c r="B27" s="13" t="n"/>
      <c r="C27" s="13" t="n"/>
      <c r="D27" s="13" t="n"/>
      <c r="E27" s="13" t="n"/>
      <c r="F27" s="13" t="n"/>
    </row>
    <row r="28">
      <c r="A28" s="14" t="inlineStr">
        <is>
          <t>Must-haves — table stakes</t>
        </is>
      </c>
      <c r="D28" s="8">
        <f>COUNTIF($D$7:$D$25,"Must-have")</f>
        <v/>
      </c>
    </row>
    <row r="29">
      <c r="A29" s="14" t="inlineStr">
        <is>
          <t>Performance — scale with investment</t>
        </is>
      </c>
      <c r="D29" s="8">
        <f>COUNTIF($D$7:$D$25,"Performance")</f>
        <v/>
      </c>
    </row>
    <row r="30">
      <c r="A30" s="14" t="inlineStr">
        <is>
          <t>Delighters — differentiators</t>
        </is>
      </c>
      <c r="D30" s="8">
        <f>COUNTIF($D$7:$D$25,"Delighter")</f>
        <v/>
      </c>
    </row>
    <row r="31">
      <c r="A31" s="14" t="inlineStr">
        <is>
          <t>Indifferent — stop spending here</t>
        </is>
      </c>
      <c r="D31" s="8">
        <f>COUNTIF($D$7:$D$25,"Indifferent")</f>
        <v/>
      </c>
    </row>
    <row r="32">
      <c r="A32" s="14" t="inlineStr">
        <is>
          <t>Reverse — you are actively annoying people</t>
        </is>
      </c>
      <c r="D32" s="8">
        <f>COUNTIF($D$7:$D$25,"Reverse")</f>
        <v/>
      </c>
    </row>
    <row r="33">
      <c r="A33" s="14" t="inlineStr">
        <is>
          <t>Questionable — the answers contradict; re-ask</t>
        </is>
      </c>
      <c r="D33" s="8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