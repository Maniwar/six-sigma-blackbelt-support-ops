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 this" sheetId="1" state="visible" r:id="rId1"/>
    <sheet name="Kano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5"/>
    </font>
    <font>
      <i val="1"/>
      <color rgb="FF6B7280"/>
      <sz val="9"/>
    </font>
    <font>
      <b val="1"/>
      <color rgb="FFFFFFFF"/>
      <sz val="10"/>
    </font>
    <font>
      <color rgb="FF1D4ED8"/>
      <sz val="11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FF151B24"/>
      </patternFill>
    </fill>
    <fill>
      <patternFill patternType="solid">
        <fgColor rgb="FF333C49"/>
      </patternFill>
    </fill>
    <fill>
      <patternFill patternType="solid">
        <fgColor rgb="FFECFAEF"/>
      </patternFill>
    </fill>
    <fill>
      <patternFill patternType="solid">
        <fgColor rgb="FFF2F7FF"/>
      </patternFill>
    </fill>
    <fill>
      <patternFill patternType="solid">
        <fgColor rgb="FFFFF9E3"/>
      </patternFill>
    </fill>
    <fill>
      <patternFill patternType="solid">
        <fgColor rgb="FFEEF1F6"/>
      </patternFill>
    </fill>
  </fills>
  <borders count="2">
    <border>
      <left/>
      <right/>
      <top/>
      <bottom/>
      <diagonal/>
    </border>
    <border>
      <bottom style="thin">
        <color rgb="FFD8DE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4" borderId="1" pivotButton="0" quotePrefix="0" xfId="0"/>
    <xf numFmtId="0" fontId="4" fillId="4" borderId="1" pivotButton="0" quotePrefix="0" xfId="0"/>
    <xf numFmtId="0" fontId="0" fillId="6" borderId="1" applyAlignment="1" pivotButton="0" quotePrefix="0" xfId="0">
      <alignment vertical="top" wrapText="1"/>
    </xf>
    <xf numFmtId="0" fontId="4" fillId="5" borderId="1" pivotButton="0" quotePrefix="0" xfId="0"/>
    <xf numFmtId="0" fontId="5" fillId="7" borderId="0" pivotButton="0" quotePrefix="0" xfId="0"/>
    <xf numFmtId="0" fontId="0" fillId="7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Where your requirements fall — and which ones are worth money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invertIfNegative val="0"/>
          <dPt>
            <idx val="0"/>
            <spPr>
              <a:solidFill>
                <a:srgbClr val="C0392B"/>
              </a:solidFill>
              <a:ln>
                <a:prstDash val="solid"/>
              </a:ln>
            </spPr>
          </dPt>
          <dPt>
            <idx val="1"/>
            <spPr>
              <a:solidFill>
                <a:srgbClr val="1F4E79"/>
              </a:solidFill>
              <a:ln>
                <a:prstDash val="solid"/>
              </a:ln>
            </spPr>
          </dPt>
          <dPt>
            <idx val="2"/>
            <spPr>
              <a:solidFill>
                <a:srgbClr val="3F8F5A"/>
              </a:solidFill>
              <a:ln>
                <a:prstDash val="solid"/>
              </a:ln>
            </spPr>
          </dPt>
          <dPt>
            <idx val="3"/>
            <spPr>
              <a:solidFill>
                <a:srgbClr val="9AA4B2"/>
              </a:solidFill>
              <a:ln>
                <a:prstDash val="solid"/>
              </a:ln>
            </spPr>
          </dPt>
          <cat>
            <numRef>
              <f>'Kano analysis'!$A$28:$A$31</f>
            </numRef>
          </cat>
          <val>
            <numRef>
              <f>'Kano analysis'!$D$28:$D$31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8" customWidth="1" min="2" max="2"/>
  </cols>
  <sheetData>
    <row r="1"/>
    <row r="2">
      <c r="B2" s="1" t="inlineStr">
        <is>
          <t>Yellow cells</t>
        </is>
      </c>
    </row>
    <row r="3" ht="15" customHeight="1">
      <c r="B3" s="2" t="inlineStr">
        <is>
          <t>You fill these in.</t>
        </is>
      </c>
    </row>
    <row r="4">
      <c r="B4" s="1" t="inlineStr">
        <is>
          <t>Blue cells</t>
        </is>
      </c>
    </row>
    <row r="5" ht="15" customHeight="1">
      <c r="B5" s="2" t="inlineStr">
        <is>
          <t>Calculated for you. Do not type over them — they contain formulas.</t>
        </is>
      </c>
    </row>
    <row r="6">
      <c r="B6" s="1" t="inlineStr">
        <is>
          <t>Green row</t>
        </is>
      </c>
    </row>
    <row r="7" ht="15" customHeight="1">
      <c r="B7" s="2" t="inlineStr">
        <is>
          <t>A worked example so you can see the expected format. Delete it when you start.</t>
        </is>
      </c>
    </row>
    <row r="8">
      <c r="B8" s="1" t="inlineStr">
        <is>
          <t>What this is for</t>
        </is>
      </c>
    </row>
    <row r="9" ht="30" customHeight="1">
      <c r="B9" s="2" t="inlineStr">
        <is>
          <t>Deciding which customer requirements are worth investment, instead of assuming more of everything is better.</t>
        </is>
      </c>
    </row>
    <row r="10">
      <c r="B10" s="1" t="inlineStr">
        <is>
          <t>How to run it</t>
        </is>
      </c>
    </row>
    <row r="11" ht="30" customHeight="1">
      <c r="B11" s="2" t="inlineStr">
        <is>
          <t>For each requirement ask two questions of real customers: how do you feel if it IS present, and how do you feel if it is NOT. The pair of answers gives you the category automatically.</t>
        </is>
      </c>
    </row>
    <row r="12">
      <c r="B12" s="1" t="inlineStr">
        <is>
          <t>Reading the categories</t>
        </is>
      </c>
    </row>
    <row r="13" ht="30" customHeight="1">
      <c r="B13" s="2" t="inlineStr">
        <is>
          <t>Must-have: absence is punished, presence earns nothing. Performance: satisfaction scales with it. Delighter: absence is forgiven, presence wins goodwill. Indifferent: stop spending.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rintOptions horizontalCentered="1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0" customWidth="1" min="4" max="4"/>
    <col width="18" customWidth="1" min="5" max="5"/>
    <col width="40" customWidth="1" min="6" max="6"/>
  </cols>
  <sheetData>
    <row r="1" ht="26" customHeight="1">
      <c r="A1" s="3" t="inlineStr">
        <is>
          <t>Kano analysis — which requirements actually win anything</t>
        </is>
      </c>
      <c r="B1" s="4" t="n"/>
      <c r="C1" s="4" t="n"/>
      <c r="D1" s="4" t="n"/>
      <c r="E1" s="4" t="n"/>
      <c r="F1" s="4" t="n"/>
    </row>
    <row r="2">
      <c r="A2" s="5" t="inlineStr">
        <is>
          <t>Ask each customer two questions per feature: how do you feel if it is present, and how if it is absent.</t>
        </is>
      </c>
    </row>
    <row r="3"/>
    <row r="4">
      <c r="A4" s="5" t="inlineStr">
        <is>
          <t>Answer scale for both questions: Like · Expect it · Neutral · Live with it · Dislike</t>
        </is>
      </c>
    </row>
    <row r="5"/>
    <row r="6" ht="30" customHeight="1">
      <c r="A6" s="6" t="inlineStr">
        <is>
          <t>Feature or requirement</t>
        </is>
      </c>
      <c r="B6" s="6" t="inlineStr">
        <is>
          <t>If present (functional)</t>
        </is>
      </c>
      <c r="C6" s="6" t="inlineStr">
        <is>
          <t>If absent (dysfunctional)</t>
        </is>
      </c>
      <c r="D6" s="6" t="inlineStr">
        <is>
          <t>Category</t>
        </is>
      </c>
      <c r="E6" s="6" t="inlineStr">
        <is>
          <t>Invest?</t>
        </is>
      </c>
      <c r="F6" s="6" t="inlineStr">
        <is>
          <t>What it means for you</t>
        </is>
      </c>
    </row>
    <row r="7">
      <c r="A7" s="7" t="inlineStr">
        <is>
          <t>Resolved without me repeating myself</t>
        </is>
      </c>
      <c r="B7" s="7" t="inlineStr">
        <is>
          <t>Expect it</t>
        </is>
      </c>
      <c r="C7" s="7" t="inlineStr">
        <is>
          <t>Dislike</t>
        </is>
      </c>
      <c r="D7" s="8">
        <f>IF(OR(B7="",C7=""),"",IF(B7="Like",IF(C7="Like","Questionable",IF(C7="Dislike","Performance","Delighter")),IF(B7="Dislike",IF(C7="Dislike","Questionable","Reverse"),IF(C7="Dislike","Must-have",IF(C7="Like","Reverse","Indifferent")))))</f>
        <v/>
      </c>
      <c r="E7" s="8">
        <f>IF(D7="","",IF(D7="Must-have","Fix it — no credit for doing it, all the blame for not",IF(D7="Performance","Invest — more is better, and measurable",IF(D7="Delighter","Consider — wins goodwill, costs you nothing if absent",IF(D7="Reverse","Stop doing it — they want the opposite",IF(D7="Questionable","Re-ask — the two answers contradict each other","Do not spend here"))))))</f>
        <v/>
      </c>
      <c r="F7" s="7" t="n"/>
    </row>
    <row r="8">
      <c r="A8" s="9" t="inlineStr">
        <is>
          <t>Answered within the time you promised</t>
        </is>
      </c>
      <c r="B8" s="9" t="inlineStr">
        <is>
          <t>Expect it</t>
        </is>
      </c>
      <c r="C8" s="9" t="inlineStr">
        <is>
          <t>Dislike</t>
        </is>
      </c>
      <c r="D8" s="10">
        <f>IF(OR(B8="",C8=""),"",IF(B8="Like",IF(C8="Like","Questionable",IF(C8="Dislike","Performance","Delighter")),IF(B8="Dislike",IF(C8="Dislike","Questionable","Reverse"),IF(C8="Dislike","Must-have",IF(C8="Like","Reverse","Indifferent")))))</f>
        <v/>
      </c>
      <c r="E8" s="10">
        <f>IF(D8="","",IF(D8="Must-have","Fix it — no credit for doing it, all the blame for not",IF(D8="Performance","Invest — more is better, and measurable",IF(D8="Delighter","Consider — wins goodwill, costs you nothing if absent",IF(D8="Reverse","Stop doing it — they want the opposite",IF(D8="Questionable","Re-ask — the two answers contradict each other","Do not spend here"))))))</f>
        <v/>
      </c>
      <c r="F8" s="9" t="n"/>
    </row>
    <row r="9">
      <c r="A9" s="9" t="inlineStr">
        <is>
          <t>Agent already knows my account history</t>
        </is>
      </c>
      <c r="B9" s="9" t="inlineStr">
        <is>
          <t>Like</t>
        </is>
      </c>
      <c r="C9" s="9" t="inlineStr">
        <is>
          <t>Dislike</t>
        </is>
      </c>
      <c r="D9" s="10">
        <f>IF(OR(B9="",C9=""),"",IF(B9="Like",IF(C9="Like","Questionable",IF(C9="Dislike","Performance","Delighter")),IF(B9="Dislike",IF(C9="Dislike","Questionable","Reverse"),IF(C9="Dislike","Must-have",IF(C9="Like","Reverse","Indifferent")))))</f>
        <v/>
      </c>
      <c r="E9" s="10">
        <f>IF(D9="","",IF(D9="Must-have","Fix it — no credit for doing it, all the blame for not",IF(D9="Performance","Invest — more is better, and measurable",IF(D9="Delighter","Consider — wins goodwill, costs you nothing if absent",IF(D9="Reverse","Stop doing it — they want the opposite",IF(D9="Questionable","Re-ask — the two answers contradict each other","Do not spend here"))))))</f>
        <v/>
      </c>
      <c r="F9" s="9" t="n"/>
    </row>
    <row r="10">
      <c r="A10" s="9" t="inlineStr">
        <is>
          <t>Fewer transfers between teams</t>
        </is>
      </c>
      <c r="B10" s="9" t="inlineStr">
        <is>
          <t>Like</t>
        </is>
      </c>
      <c r="C10" s="9" t="inlineStr">
        <is>
          <t>Dislike</t>
        </is>
      </c>
      <c r="D10" s="10">
        <f>IF(OR(B10="",C10=""),"",IF(B10="Like",IF(C10="Like","Questionable",IF(C10="Dislike","Performance","Delighter")),IF(B10="Dislike",IF(C10="Dislike","Questionable","Reverse"),IF(C10="Dislike","Must-have",IF(C10="Like","Reverse","Indifferent")))))</f>
        <v/>
      </c>
      <c r="E10" s="10">
        <f>IF(D10="","",IF(D10="Must-have","Fix it — no credit for doing it, all the blame for not",IF(D10="Performance","Invest — more is better, and measurable",IF(D10="Delighter","Consider — wins goodwill, costs you nothing if absent",IF(D10="Reverse","Stop doing it — they want the opposite",IF(D10="Questionable","Re-ask — the two answers contradict each other","Do not spend here"))))))</f>
        <v/>
      </c>
      <c r="F10" s="9" t="n"/>
    </row>
    <row r="11">
      <c r="A11" s="9" t="inlineStr">
        <is>
          <t>Proactive notice before I notice the problem</t>
        </is>
      </c>
      <c r="B11" s="9" t="inlineStr">
        <is>
          <t>Like</t>
        </is>
      </c>
      <c r="C11" s="9" t="inlineStr">
        <is>
          <t>Live with it</t>
        </is>
      </c>
      <c r="D11" s="10">
        <f>IF(OR(B11="",C11=""),"",IF(B11="Like",IF(C11="Like","Questionable",IF(C11="Dislike","Performance","Delighter")),IF(B11="Dislike",IF(C11="Dislike","Questionable","Reverse"),IF(C11="Dislike","Must-have",IF(C11="Like","Reverse","Indifferent")))))</f>
        <v/>
      </c>
      <c r="E11" s="10">
        <f>IF(D11="","",IF(D11="Must-have","Fix it — no credit for doing it, all the blame for not",IF(D11="Performance","Invest — more is better, and measurable",IF(D11="Delighter","Consider — wins goodwill, costs you nothing if absent",IF(D11="Reverse","Stop doing it — they want the opposite",IF(D11="Questionable","Re-ask — the two answers contradict each other","Do not spend here"))))))</f>
        <v/>
      </c>
      <c r="F11" s="9" t="n"/>
    </row>
    <row r="12">
      <c r="A12" s="9" t="inlineStr">
        <is>
          <t>A follow-up note a week later</t>
        </is>
      </c>
      <c r="B12" s="9" t="inlineStr">
        <is>
          <t>Like</t>
        </is>
      </c>
      <c r="C12" s="9" t="inlineStr">
        <is>
          <t>Neutral</t>
        </is>
      </c>
      <c r="D12" s="10">
        <f>IF(OR(B12="",C12=""),"",IF(B12="Like",IF(C12="Like","Questionable",IF(C12="Dislike","Performance","Delighter")),IF(B12="Dislike",IF(C12="Dislike","Questionable","Reverse"),IF(C12="Dislike","Must-have",IF(C12="Like","Reverse","Indifferent")))))</f>
        <v/>
      </c>
      <c r="E12" s="10">
        <f>IF(D12="","",IF(D12="Must-have","Fix it — no credit for doing it, all the blame for not",IF(D12="Performance","Invest — more is better, and measurable",IF(D12="Delighter","Consider — wins goodwill, costs you nothing if absent",IF(D12="Reverse","Stop doing it — they want the opposite",IF(D12="Questionable","Re-ask — the two answers contradict each other","Do not spend here"))))))</f>
        <v/>
      </c>
      <c r="F12" s="9" t="n"/>
    </row>
    <row r="13">
      <c r="A13" s="9" t="inlineStr">
        <is>
          <t>Choice of chat colour scheme</t>
        </is>
      </c>
      <c r="B13" s="9" t="inlineStr">
        <is>
          <t>Neutral</t>
        </is>
      </c>
      <c r="C13" s="9" t="inlineStr">
        <is>
          <t>Neutral</t>
        </is>
      </c>
      <c r="D13" s="10">
        <f>IF(OR(B13="",C13=""),"",IF(B13="Like",IF(C13="Like","Questionable",IF(C13="Dislike","Performance","Delighter")),IF(B13="Dislike",IF(C13="Dislike","Questionable","Reverse"),IF(C13="Dislike","Must-have",IF(C13="Like","Reverse","Indifferent")))))</f>
        <v/>
      </c>
      <c r="E13" s="10">
        <f>IF(D13="","",IF(D13="Must-have","Fix it — no credit for doing it, all the blame for not",IF(D13="Performance","Invest — more is better, and measurable",IF(D13="Delighter","Consider — wins goodwill, costs you nothing if absent",IF(D13="Reverse","Stop doing it — they want the opposite",IF(D13="Questionable","Re-ask — the two answers contradict each other","Do not spend here"))))))</f>
        <v/>
      </c>
      <c r="F13" s="9" t="n"/>
    </row>
    <row r="14">
      <c r="A14" s="9" t="inlineStr">
        <is>
          <t>A survey after every single contact</t>
        </is>
      </c>
      <c r="B14" s="9" t="inlineStr">
        <is>
          <t>Dislike</t>
        </is>
      </c>
      <c r="C14" s="9" t="inlineStr">
        <is>
          <t>Neutral</t>
        </is>
      </c>
      <c r="D14" s="10">
        <f>IF(OR(B14="",C14=""),"",IF(B14="Like",IF(C14="Like","Questionable",IF(C14="Dislike","Performance","Delighter")),IF(B14="Dislike",IF(C14="Dislike","Questionable","Reverse"),IF(C14="Dislike","Must-have",IF(C14="Like","Reverse","Indifferent")))))</f>
        <v/>
      </c>
      <c r="E14" s="10">
        <f>IF(D14="","",IF(D14="Must-have","Fix it — no credit for doing it, all the blame for not",IF(D14="Performance","Invest — more is better, and measurable",IF(D14="Delighter","Consider — wins goodwill, costs you nothing if absent",IF(D14="Reverse","Stop doing it — they want the opposite",IF(D14="Questionable","Re-ask — the two answers contradict each other","Do not spend here"))))))</f>
        <v/>
      </c>
      <c r="F14" s="9" t="n"/>
    </row>
    <row r="15">
      <c r="A15" s="9" t="n"/>
      <c r="B15" s="9" t="n"/>
      <c r="C15" s="9" t="n"/>
      <c r="D15" s="10">
        <f>IF(OR(B15="",C15=""),"",IF(B15="Like",IF(C15="Like","Questionable",IF(C15="Dislike","Performance","Delighter")),IF(B15="Dislike",IF(C15="Dislike","Questionable","Reverse"),IF(C15="Dislike","Must-have",IF(C15="Like","Reverse","Indifferent")))))</f>
        <v/>
      </c>
      <c r="E15" s="10">
        <f>IF(D15="","",IF(D15="Must-have","Fix it — no credit for doing it, all the blame for not",IF(D15="Performance","Invest — more is better, and measurable",IF(D15="Delighter","Consider — wins goodwill, costs you nothing if absent",IF(D15="Reverse","Stop doing it — they want the opposite",IF(D15="Questionable","Re-ask — the two answers contradict each other","Do not spend here"))))))</f>
        <v/>
      </c>
      <c r="F15" s="9" t="n"/>
    </row>
    <row r="16">
      <c r="A16" s="9" t="n"/>
      <c r="B16" s="9" t="n"/>
      <c r="C16" s="9" t="n"/>
      <c r="D16" s="10">
        <f>IF(OR(B16="",C16=""),"",IF(B16="Like",IF(C16="Like","Questionable",IF(C16="Dislike","Performance","Delighter")),IF(B16="Dislike",IF(C16="Dislike","Questionable","Reverse"),IF(C16="Dislike","Must-have",IF(C16="Like","Reverse","Indifferent")))))</f>
        <v/>
      </c>
      <c r="E16" s="10">
        <f>IF(D16="","",IF(D16="Must-have","Fix it — no credit for doing it, all the blame for not",IF(D16="Performance","Invest — more is better, and measurable",IF(D16="Delighter","Consider — wins goodwill, costs you nothing if absent",IF(D16="Reverse","Stop doing it — they want the opposite",IF(D16="Questionable","Re-ask — the two answers contradict each other","Do not spend here"))))))</f>
        <v/>
      </c>
      <c r="F16" s="9" t="n"/>
    </row>
    <row r="17">
      <c r="A17" s="9" t="n"/>
      <c r="B17" s="9" t="n"/>
      <c r="C17" s="9" t="n"/>
      <c r="D17" s="10">
        <f>IF(OR(B17="",C17=""),"",IF(B17="Like",IF(C17="Like","Questionable",IF(C17="Dislike","Performance","Delighter")),IF(B17="Dislike",IF(C17="Dislike","Questionable","Reverse"),IF(C17="Dislike","Must-have",IF(C17="Like","Reverse","Indifferent")))))</f>
        <v/>
      </c>
      <c r="E17" s="10">
        <f>IF(D17="","",IF(D17="Must-have","Fix it — no credit for doing it, all the blame for not",IF(D17="Performance","Invest — more is better, and measurable",IF(D17="Delighter","Consider — wins goodwill, costs you nothing if absent",IF(D17="Reverse","Stop doing it — they want the opposite",IF(D17="Questionable","Re-ask — the two answers contradict each other","Do not spend here"))))))</f>
        <v/>
      </c>
      <c r="F17" s="9" t="n"/>
    </row>
    <row r="18">
      <c r="A18" s="9" t="n"/>
      <c r="B18" s="9" t="n"/>
      <c r="C18" s="9" t="n"/>
      <c r="D18" s="10">
        <f>IF(OR(B18="",C18=""),"",IF(B18="Like",IF(C18="Like","Questionable",IF(C18="Dislike","Performance","Delighter")),IF(B18="Dislike",IF(C18="Dislike","Questionable","Reverse"),IF(C18="Dislike","Must-have",IF(C18="Like","Reverse","Indifferent")))))</f>
        <v/>
      </c>
      <c r="E18" s="10">
        <f>IF(D18="","",IF(D18="Must-have","Fix it — no credit for doing it, all the blame for not",IF(D18="Performance","Invest — more is better, and measurable",IF(D18="Delighter","Consider — wins goodwill, costs you nothing if absent",IF(D18="Reverse","Stop doing it — they want the opposite",IF(D18="Questionable","Re-ask — the two answers contradict each other","Do not spend here"))))))</f>
        <v/>
      </c>
      <c r="F18" s="9" t="n"/>
    </row>
    <row r="19">
      <c r="A19" s="9" t="n"/>
      <c r="B19" s="9" t="n"/>
      <c r="C19" s="9" t="n"/>
      <c r="D19" s="10">
        <f>IF(OR(B19="",C19=""),"",IF(B19="Like",IF(C19="Like","Questionable",IF(C19="Dislike","Performance","Delighter")),IF(B19="Dislike",IF(C19="Dislike","Questionable","Reverse"),IF(C19="Dislike","Must-have",IF(C19="Like","Reverse","Indifferent")))))</f>
        <v/>
      </c>
      <c r="E19" s="10">
        <f>IF(D19="","",IF(D19="Must-have","Fix it — no credit for doing it, all the blame for not",IF(D19="Performance","Invest — more is better, and measurable",IF(D19="Delighter","Consider — wins goodwill, costs you nothing if absent",IF(D19="Reverse","Stop doing it — they want the opposite",IF(D19="Questionable","Re-ask — the two answers contradict each other","Do not spend here"))))))</f>
        <v/>
      </c>
      <c r="F19" s="9" t="n"/>
    </row>
    <row r="20">
      <c r="A20" s="9" t="n"/>
      <c r="B20" s="9" t="n"/>
      <c r="C20" s="9" t="n"/>
      <c r="D20" s="10">
        <f>IF(OR(B20="",C20=""),"",IF(B20="Like",IF(C20="Like","Questionable",IF(C20="Dislike","Performance","Delighter")),IF(B20="Dislike",IF(C20="Dislike","Questionable","Reverse"),IF(C20="Dislike","Must-have",IF(C20="Like","Reverse","Indifferent")))))</f>
        <v/>
      </c>
      <c r="E20" s="10">
        <f>IF(D20="","",IF(D20="Must-have","Fix it — no credit for doing it, all the blame for not",IF(D20="Performance","Invest — more is better, and measurable",IF(D20="Delighter","Consider — wins goodwill, costs you nothing if absent",IF(D20="Reverse","Stop doing it — they want the opposite",IF(D20="Questionable","Re-ask — the two answers contradict each other","Do not spend here"))))))</f>
        <v/>
      </c>
      <c r="F20" s="9" t="n"/>
    </row>
    <row r="21">
      <c r="A21" s="9" t="n"/>
      <c r="B21" s="9" t="n"/>
      <c r="C21" s="9" t="n"/>
      <c r="D21" s="10">
        <f>IF(OR(B21="",C21=""),"",IF(B21="Like",IF(C21="Like","Questionable",IF(C21="Dislike","Performance","Delighter")),IF(B21="Dislike",IF(C21="Dislike","Questionable","Reverse"),IF(C21="Dislike","Must-have",IF(C21="Like","Reverse","Indifferent")))))</f>
        <v/>
      </c>
      <c r="E21" s="10">
        <f>IF(D21="","",IF(D21="Must-have","Fix it — no credit for doing it, all the blame for not",IF(D21="Performance","Invest — more is better, and measurable",IF(D21="Delighter","Consider — wins goodwill, costs you nothing if absent",IF(D21="Reverse","Stop doing it — they want the opposite",IF(D21="Questionable","Re-ask — the two answers contradict each other","Do not spend here"))))))</f>
        <v/>
      </c>
      <c r="F21" s="9" t="n"/>
    </row>
    <row r="22">
      <c r="A22" s="9" t="n"/>
      <c r="B22" s="9" t="n"/>
      <c r="C22" s="9" t="n"/>
      <c r="D22" s="10">
        <f>IF(OR(B22="",C22=""),"",IF(B22="Like",IF(C22="Like","Questionable",IF(C22="Dislike","Performance","Delighter")),IF(B22="Dislike",IF(C22="Dislike","Questionable","Reverse"),IF(C22="Dislike","Must-have",IF(C22="Like","Reverse","Indifferent")))))</f>
        <v/>
      </c>
      <c r="E22" s="10">
        <f>IF(D22="","",IF(D22="Must-have","Fix it — no credit for doing it, all the blame for not",IF(D22="Performance","Invest — more is better, and measurable",IF(D22="Delighter","Consider — wins goodwill, costs you nothing if absent",IF(D22="Reverse","Stop doing it — they want the opposite",IF(D22="Questionable","Re-ask — the two answers contradict each other","Do not spend here"))))))</f>
        <v/>
      </c>
      <c r="F22" s="9" t="n"/>
    </row>
    <row r="23">
      <c r="A23" s="9" t="n"/>
      <c r="B23" s="9" t="n"/>
      <c r="C23" s="9" t="n"/>
      <c r="D23" s="10">
        <f>IF(OR(B23="",C23=""),"",IF(B23="Like",IF(C23="Like","Questionable",IF(C23="Dislike","Performance","Delighter")),IF(B23="Dislike",IF(C23="Dislike","Questionable","Reverse"),IF(C23="Dislike","Must-have",IF(C23="Like","Reverse","Indifferent")))))</f>
        <v/>
      </c>
      <c r="E23" s="10">
        <f>IF(D23="","",IF(D23="Must-have","Fix it — no credit for doing it, all the blame for not",IF(D23="Performance","Invest — more is better, and measurable",IF(D23="Delighter","Consider — wins goodwill, costs you nothing if absent",IF(D23="Reverse","Stop doing it — they want the opposite",IF(D23="Questionable","Re-ask — the two answers contradict each other","Do not spend here"))))))</f>
        <v/>
      </c>
      <c r="F23" s="9" t="n"/>
    </row>
    <row r="24">
      <c r="A24" s="9" t="n"/>
      <c r="B24" s="9" t="n"/>
      <c r="C24" s="9" t="n"/>
      <c r="D24" s="10">
        <f>IF(OR(B24="",C24=""),"",IF(B24="Like",IF(C24="Like","Questionable",IF(C24="Dislike","Performance","Delighter")),IF(B24="Dislike",IF(C24="Dislike","Questionable","Reverse"),IF(C24="Dislike","Must-have",IF(C24="Like","Reverse","Indifferent")))))</f>
        <v/>
      </c>
      <c r="E24" s="10">
        <f>IF(D24="","",IF(D24="Must-have","Fix it — no credit for doing it, all the blame for not",IF(D24="Performance","Invest — more is better, and measurable",IF(D24="Delighter","Consider — wins goodwill, costs you nothing if absent",IF(D24="Reverse","Stop doing it — they want the opposite",IF(D24="Questionable","Re-ask — the two answers contradict each other","Do not spend here"))))))</f>
        <v/>
      </c>
      <c r="F24" s="9" t="n"/>
    </row>
    <row r="25">
      <c r="A25" s="9" t="n"/>
      <c r="B25" s="9" t="n"/>
      <c r="C25" s="9" t="n"/>
      <c r="D25" s="10">
        <f>IF(OR(B25="",C25=""),"",IF(B25="Like",IF(C25="Like","Questionable",IF(C25="Dislike","Performance","Delighter")),IF(B25="Dislike",IF(C25="Dislike","Questionable","Reverse"),IF(C25="Dislike","Must-have",IF(C25="Like","Reverse","Indifferent")))))</f>
        <v/>
      </c>
      <c r="E25" s="10">
        <f>IF(D25="","",IF(D25="Must-have","Fix it — no credit for doing it, all the blame for not",IF(D25="Performance","Invest — more is better, and measurable",IF(D25="Delighter","Consider — wins goodwill, costs you nothing if absent",IF(D25="Reverse","Stop doing it — they want the opposite",IF(D25="Questionable","Re-ask — the two answers contradict each other","Do not spend here"))))))</f>
        <v/>
      </c>
      <c r="F25" s="9" t="n"/>
    </row>
    <row r="27">
      <c r="A27" s="11" t="inlineStr">
        <is>
          <t>WHERE YOUR EFFORT SHOULD GO</t>
        </is>
      </c>
      <c r="B27" s="12" t="n"/>
      <c r="C27" s="12" t="n"/>
      <c r="D27" s="12" t="n"/>
      <c r="E27" s="12" t="n"/>
      <c r="F27" s="12" t="n"/>
    </row>
    <row r="28">
      <c r="A28" s="13" t="inlineStr">
        <is>
          <t>Must-haves — table stakes</t>
        </is>
      </c>
      <c r="D28" s="10">
        <f>COUNTIF($D$7:$D$25,"Must-have")</f>
        <v/>
      </c>
    </row>
    <row r="29">
      <c r="A29" s="13" t="inlineStr">
        <is>
          <t>Performance — scale with investment</t>
        </is>
      </c>
      <c r="D29" s="10">
        <f>COUNTIF($D$7:$D$25,"Performance")</f>
        <v/>
      </c>
    </row>
    <row r="30">
      <c r="A30" s="13" t="inlineStr">
        <is>
          <t>Delighters — differentiators</t>
        </is>
      </c>
      <c r="D30" s="10">
        <f>COUNTIF($D$7:$D$25,"Delighter")</f>
        <v/>
      </c>
    </row>
    <row r="31">
      <c r="A31" s="13" t="inlineStr">
        <is>
          <t>Indifferent — stop spending here</t>
        </is>
      </c>
      <c r="D31" s="10">
        <f>COUNTIF($D$7:$D$25,"Indifferent")</f>
        <v/>
      </c>
    </row>
    <row r="33">
      <c r="A33" s="5" t="inlineStr">
        <is>
          <t>Speed in support is usually a must-have: being twice as fast wins you nothing once you are fast enough, while being slow loses you everything. Spending your improvement budget on a must-have that is already met is the most common way to move a metric and change nothing.</t>
        </is>
      </c>
    </row>
  </sheetData>
  <mergeCells count="9">
    <mergeCell ref="A28:C28"/>
    <mergeCell ref="A2:F2"/>
    <mergeCell ref="A33:F33"/>
    <mergeCell ref="A1:F1"/>
    <mergeCell ref="A31:C31"/>
    <mergeCell ref="A27:F27"/>
    <mergeCell ref="A30:C30"/>
    <mergeCell ref="A4:F4"/>
    <mergeCell ref="A29:C29"/>
  </mergeCells>
  <dataValidations count="1">
    <dataValidation sqref="B7:C25" showDropDown="0" showInputMessage="0" showErrorMessage="0" allowBlank="1" type="list">
      <formula1>"Like,Expect it,Neutral,Live with it,Dislike"</formula1>
    </dataValidation>
  </dataValidations>
  <printOptions horizontalCentered="1"/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2026-08-01T00:09:57Z</dcterms:created>
  <dcterms:modified xsi:type="dcterms:W3CDTF">2026-08-01T00:09:57Z</dcterms:modified>
</cp:coreProperties>
</file>