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4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2" fillId="0" borderId="0" applyAlignment="1" pivotButton="0" quotePrefix="0" xfId="0">
      <alignment vertical="center" wrapText="1"/>
    </xf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 — and which ones are worth money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3F8F5A"/>
              </a:solidFill>
              <a:ln>
                <a:prstDash val="solid"/>
              </a:ln>
            </spPr>
          </dPt>
          <dPt>
            <idx val="3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4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5"/>
            <spPr>
              <a:solidFill>
                <a:srgbClr val="6B4FA0"/>
              </a:solidFill>
              <a:ln>
                <a:prstDash val="solid"/>
              </a:ln>
            </spPr>
          </dPt>
          <cat>
            <numRef>
              <f>'Kano analysis'!$A$28:$A$33</f>
            </numRef>
          </cat>
          <val>
            <numRef>
              <f>'Kano analysis'!$D$28:$D$33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9" t="inlineStr">
        <is>
          <t>Every reopen is one of these. This is the project.</t>
        </is>
      </c>
    </row>
    <row r="8">
      <c r="A8" s="7" t="inlineStr">
        <is>
          <t>Answered within the time you promised</t>
        </is>
      </c>
      <c r="B8" s="7" t="inlineStr">
        <is>
          <t>Expect it</t>
        </is>
      </c>
      <c r="C8" s="7" t="inlineStr">
        <is>
          <t>Dislike</t>
        </is>
      </c>
      <c r="D8" s="8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8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9" t="inlineStr">
        <is>
          <t>Our 14.2% reopen rate breaks this one; fixing it earns no praise, only the absence of complaints.</t>
        </is>
      </c>
    </row>
    <row r="9">
      <c r="A9" s="7" t="inlineStr">
        <is>
          <t>Agent already knows my account history</t>
        </is>
      </c>
      <c r="B9" s="7" t="inlineStr">
        <is>
          <t>Like</t>
        </is>
      </c>
      <c r="C9" s="7" t="inlineStr">
        <is>
          <t>Dislike</t>
        </is>
      </c>
      <c r="D9" s="8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8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9" t="inlineStr">
        <is>
          <t>Worth building: agents currently re-read the case history on every contact.</t>
        </is>
      </c>
    </row>
    <row r="10">
      <c r="A10" s="7" t="inlineStr">
        <is>
          <t>Fewer transfers between teams</t>
        </is>
      </c>
      <c r="B10" s="7" t="inlineStr">
        <is>
          <t>Like</t>
        </is>
      </c>
      <c r="C10" s="7" t="inlineStr">
        <is>
          <t>Dislike</t>
        </is>
      </c>
      <c r="D10" s="8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8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9" t="inlineStr">
        <is>
          <t>Two transfers a case today. Directly measurable, and it scales.</t>
        </is>
      </c>
    </row>
    <row r="11">
      <c r="A11" s="7" t="inlineStr">
        <is>
          <t>Proactive notice before I notice the problem</t>
        </is>
      </c>
      <c r="B11" s="7" t="inlineStr">
        <is>
          <t>Like</t>
        </is>
      </c>
      <c r="C11" s="7" t="inlineStr">
        <is>
          <t>Live with it</t>
        </is>
      </c>
      <c r="D11" s="8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8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9" t="inlineStr">
        <is>
          <t>Cheap to add on the back of the posting-confirmation fix — send the note when the batch confirms.</t>
        </is>
      </c>
    </row>
    <row r="12">
      <c r="A12" s="7" t="inlineStr">
        <is>
          <t>A follow-up note a week later</t>
        </is>
      </c>
      <c r="B12" s="7" t="inlineStr">
        <is>
          <t>Like</t>
        </is>
      </c>
      <c r="C12" s="7" t="inlineStr">
        <is>
          <t>Neutral</t>
        </is>
      </c>
      <c r="D12" s="8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8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9" t="inlineStr">
        <is>
          <t>Nice, not urgent. Park it until the must-haves hold.</t>
        </is>
      </c>
    </row>
    <row r="13">
      <c r="A13" s="7" t="inlineStr">
        <is>
          <t>Choice of chat colour scheme</t>
        </is>
      </c>
      <c r="B13" s="7" t="inlineStr">
        <is>
          <t>Neutral</t>
        </is>
      </c>
      <c r="C13" s="7" t="inlineStr">
        <is>
          <t>Neutral</t>
        </is>
      </c>
      <c r="D13" s="8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8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9" t="inlineStr">
        <is>
          <t>Do not spend a day on this.</t>
        </is>
      </c>
    </row>
    <row r="14">
      <c r="A14" s="7" t="inlineStr">
        <is>
          <t>A survey after every single contact</t>
        </is>
      </c>
      <c r="B14" s="7" t="inlineStr">
        <is>
          <t>Dislike</t>
        </is>
      </c>
      <c r="C14" s="7" t="inlineStr">
        <is>
          <t>Neutral</t>
        </is>
      </c>
      <c r="D14" s="8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8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9" t="inlineStr">
        <is>
          <t>Actively harmful — survey fatigue is why our response rate is 17%.</t>
        </is>
      </c>
    </row>
    <row r="15">
      <c r="A15" s="10" t="n"/>
      <c r="B15" s="10" t="n"/>
      <c r="C15" s="10" t="n"/>
      <c r="D15" s="11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11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10" t="n"/>
    </row>
    <row r="16">
      <c r="A16" s="10" t="n"/>
      <c r="B16" s="10" t="n"/>
      <c r="C16" s="10" t="n"/>
      <c r="D16" s="11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11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10" t="n"/>
    </row>
    <row r="17">
      <c r="A17" s="10" t="n"/>
      <c r="B17" s="10" t="n"/>
      <c r="C17" s="10" t="n"/>
      <c r="D17" s="11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11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10" t="n"/>
    </row>
    <row r="18">
      <c r="A18" s="10" t="n"/>
      <c r="B18" s="10" t="n"/>
      <c r="C18" s="10" t="n"/>
      <c r="D18" s="11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11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10" t="n"/>
    </row>
    <row r="19">
      <c r="A19" s="10" t="n"/>
      <c r="B19" s="10" t="n"/>
      <c r="C19" s="10" t="n"/>
      <c r="D19" s="11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11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10" t="n"/>
    </row>
    <row r="20">
      <c r="A20" s="10" t="n"/>
      <c r="B20" s="10" t="n"/>
      <c r="C20" s="10" t="n"/>
      <c r="D20" s="11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11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10" t="n"/>
    </row>
    <row r="21">
      <c r="A21" s="10" t="n"/>
      <c r="B21" s="10" t="n"/>
      <c r="C21" s="10" t="n"/>
      <c r="D21" s="11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11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10" t="n"/>
    </row>
    <row r="22">
      <c r="A22" s="10" t="n"/>
      <c r="B22" s="10" t="n"/>
      <c r="C22" s="10" t="n"/>
      <c r="D22" s="11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11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10" t="n"/>
    </row>
    <row r="23">
      <c r="A23" s="10" t="n"/>
      <c r="B23" s="10" t="n"/>
      <c r="C23" s="10" t="n"/>
      <c r="D23" s="11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11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10" t="n"/>
    </row>
    <row r="24">
      <c r="A24" s="10" t="n"/>
      <c r="B24" s="10" t="n"/>
      <c r="C24" s="10" t="n"/>
      <c r="D24" s="11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11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10" t="n"/>
    </row>
    <row r="25">
      <c r="A25" s="10" t="n"/>
      <c r="B25" s="10" t="n"/>
      <c r="C25" s="10" t="n"/>
      <c r="D25" s="11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11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10" t="n"/>
    </row>
    <row r="26" ht="75" customHeight="1">
      <c r="A26" s="12" t="inlineStr">
        <is>
          <t>How to fill the last column. The category is arithmetic; this column is the decision, and it is the only part of the sheet a sponsor will read. Write what the category means for THIS operation — name the metric it moves, or say plainly that it is not worth spending on. A Must-have you already meet needs one line saying so; a Must-have you fail is your project. Rows 7 to 14 are worked examples: delete them and write your own.</t>
        </is>
      </c>
    </row>
    <row r="27">
      <c r="A27" s="13" t="inlineStr">
        <is>
          <t>WHERE YOUR EFFORT SHOULD GO</t>
        </is>
      </c>
      <c r="B27" s="14" t="n"/>
      <c r="C27" s="14" t="n"/>
      <c r="D27" s="14" t="n"/>
      <c r="E27" s="14" t="n"/>
      <c r="F27" s="14" t="n"/>
    </row>
    <row r="28">
      <c r="A28" s="15" t="inlineStr">
        <is>
          <t>Must-haves — table stakes</t>
        </is>
      </c>
      <c r="D28" s="11">
        <f>COUNTIF($D$7:$D$25,"Must-have")</f>
        <v/>
      </c>
    </row>
    <row r="29">
      <c r="A29" s="15" t="inlineStr">
        <is>
          <t>Performance — scale with investment</t>
        </is>
      </c>
      <c r="D29" s="11">
        <f>COUNTIF($D$7:$D$25,"Performance")</f>
        <v/>
      </c>
    </row>
    <row r="30">
      <c r="A30" s="15" t="inlineStr">
        <is>
          <t>Delighters — differentiators</t>
        </is>
      </c>
      <c r="D30" s="11">
        <f>COUNTIF($D$7:$D$25,"Delighter")</f>
        <v/>
      </c>
    </row>
    <row r="31">
      <c r="A31" s="15" t="inlineStr">
        <is>
          <t>Indifferent — stop spending here</t>
        </is>
      </c>
      <c r="D31" s="11">
        <f>COUNTIF($D$7:$D$25,"Indifferent")</f>
        <v/>
      </c>
    </row>
    <row r="32">
      <c r="A32" s="15" t="inlineStr">
        <is>
          <t>Reverse — you are actively annoying people</t>
        </is>
      </c>
      <c r="D32" s="11">
        <f>COUNTIF($D$7:$D$25,"Reverse")</f>
        <v/>
      </c>
    </row>
    <row r="33">
      <c r="A33" s="15" t="inlineStr">
        <is>
          <t>Questionable — the answers contradict; re-ask</t>
        </is>
      </c>
      <c r="D33" s="11">
        <f>COUNTIF($D$7:$D$25,"Questionable")</f>
        <v/>
      </c>
    </row>
    <row r="34"/>
    <row r="35">
      <c r="A35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12">
    <mergeCell ref="A2:F2"/>
    <mergeCell ref="A28:C28"/>
    <mergeCell ref="A33:C33"/>
    <mergeCell ref="A32:C32"/>
    <mergeCell ref="A1:F1"/>
    <mergeCell ref="A31:C31"/>
    <mergeCell ref="A27:F27"/>
    <mergeCell ref="A30:C30"/>
    <mergeCell ref="A4:F4"/>
    <mergeCell ref="A35:F35"/>
    <mergeCell ref="A26:F26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2026-08-01T06:15:22Z</dcterms:created>
  <dcterms:modified xsi:type="dcterms:W3CDTF">2026-08-01T06:15:22Z</dcterms:modified>
</cp:coreProperties>
</file>