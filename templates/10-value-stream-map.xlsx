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 this" sheetId="1" state="visible" r:id="rId3"/>
    <sheet name="Value stream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<sst xmlns="http://schemas.openxmlformats.org/spreadsheetml/2006/main" count="60" uniqueCount="60">
  <si>
    <t xml:space="preserve">Value Stream Map — where the customer's time actually goes</t>
  </si>
  <si>
    <t xml:space="preserve">Support processes look busy but are mostly waiting. This sheet measures that precisely, and the number it produces changes almost every conversation about where to improve.</t>
  </si>
  <si>
    <t xml:space="preserve">What to do</t>
  </si>
  <si>
    <t xml:space="preserve">1.  Pull 20 to 30 completed cases of the same type and reconstruct their timeline from timestamps.</t>
  </si>
  <si>
    <t xml:space="preserve">2.  List the steps in order down column B.</t>
  </si>
  <si>
    <t xml:space="preserve">3.  For each step record the touch time — minutes anyone was actively working on it — and the waiting time BEFORE that step.</t>
  </si>
  <si>
    <t xml:space="preserve">4.  Record % complete and accurate: the share arriving in good enough shape to work without going back.</t>
  </si>
  <si>
    <t xml:space="preserve">5.  Read the results block. Process Cycle Efficiency is the headline.</t>
  </si>
  <si>
    <t xml:space="preserve">How to read the result</t>
  </si>
  <si>
    <t xml:space="preserve">In support, Process Cycle Efficiency is typically between 1% and 8%. That means 92% to 99% of the customer's wait is queue time, not work time. Making agents faster barely moves it; removing a waiting state moves it a lot.</t>
  </si>
  <si>
    <t xml:space="preserve">Then rank the waiting states. Any single one taking more than about 10% of total lead time is a project in its own right.</t>
  </si>
  <si>
    <t xml:space="preserve">Map what actually happens, not what the standard operating procedure says. Sit with an agent and watch. The gap between the two is usually where your problem lives.</t>
  </si>
  <si>
    <t xml:space="preserve">Value Stream Map  —  where does the customer's time actually go?</t>
  </si>
  <si>
    <t xml:space="preserve">Reconstruct 20–30 real cases from timestamps. Process Cycle Efficiency and rolled throughput yield calculate themselves.</t>
  </si>
  <si>
    <t xml:space="preserve">HOW TO USE THIS SHEET</t>
  </si>
  <si>
    <t xml:space="preserve">Yellow cells</t>
  </si>
  <si>
    <t xml:space="preserve">You fill these in. Blue text = a number you typed.</t>
  </si>
  <si>
    <t xml:space="preserve">Blue cells</t>
  </si>
  <si>
    <t xml:space="preserve">Calculated for you. Do not type over these — they contain formulas.</t>
  </si>
  <si>
    <t xml:space="preserve">Row 1 example</t>
  </si>
  <si>
    <t xml:space="preserve">A realistic worked example, so you can see the expected format. Delete or overwrite it.</t>
  </si>
  <si>
    <t xml:space="preserve">#</t>
  </si>
  <si>
    <t xml:space="preserve">Step</t>
  </si>
  <si>
    <t xml:space="preserve">Who does it</t>
  </si>
  <si>
    <t xml:space="preserve">Systems used</t>
  </si>
  <si>
    <t xml:space="preserve">Touch time (min)</t>
  </si>
  <si>
    <t xml:space="preserve">Wait BEFORE this step (min)</t>
  </si>
  <si>
    <t xml:space="preserve">% complete &amp;amp; accurate</t>
  </si>
  <si>
    <t xml:space="preserve">Value type</t>
  </si>
  <si>
    <t xml:space="preserve">Rework loop?</t>
  </si>
  <si>
    <t xml:space="preserve">Notes</t>
  </si>
  <si>
    <t xml:space="preserve">Customer submits the form</t>
  </si>
  <si>
    <t xml:space="preserve">Customer</t>
  </si>
  <si>
    <t xml:space="preserve">Help centre</t>
  </si>
  <si>
    <t xml:space="preserve">Value-add</t>
  </si>
  <si>
    <t xml:space="preserve">No</t>
  </si>
  <si>
    <t xml:space="preserve">Form has 3 fields nobody reads</t>
  </si>
  <si>
    <t xml:space="preserve">RESULTS  —  these calculate themselves</t>
  </si>
  <si>
    <t xml:space="preserve">Total touch time (minutes)</t>
  </si>
  <si>
    <t xml:space="preserve">Total waiting time (minutes)</t>
  </si>
  <si>
    <t xml:space="preserve">Total lead time (minutes)</t>
  </si>
  <si>
    <t xml:space="preserve">Total lead time (hours)</t>
  </si>
  <si>
    <t xml:space="preserve">PROCESS CYCLE EFFICIENCY</t>
  </si>
  <si>
    <t xml:space="preserve">Rolled throughput yield</t>
  </si>
  <si>
    <t xml:space="preserve">Steps mapped</t>
  </si>
  <si>
    <t xml:space="preserve">Non-value-add steps</t>
  </si>
  <si>
    <t xml:space="preserve">Rework loops</t>
  </si>
  <si>
    <t xml:space="preserve">Distinct systems touched (count them yourself)</t>
  </si>
  <si>
    <t xml:space="preserve">WAITING STATES  —  rank them. The biggest one is your project.</t>
  </si>
  <si>
    <t xml:space="preserve">Waiting state</t>
  </si>
  <si>
    <t xml:space="preserve">Minutes</t>
  </si>
  <si>
    <t xml:space="preserve">% of lead time</t>
  </si>
  <si>
    <t xml:space="preserve">Owner</t>
  </si>
  <si>
    <t xml:space="preserve">Why does it wait?</t>
  </si>
  <si>
    <t xml:space="preserve">Awaiting customer reply</t>
  </si>
  <si>
    <t xml:space="preserve">In queue, unassigned</t>
  </si>
  <si>
    <t xml:space="preserve">Awaiting Tier 2 / specialist</t>
  </si>
  <si>
    <t xml:space="preserve">Awaiting engineering triage</t>
  </si>
  <si>
    <t xml:space="preserve">Awaiting internal approval</t>
  </si>
  <si>
    <t xml:space="preserve">Awaiting external party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</si>
</sst>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0.0"/>
    <numFmt numFmtId="167" formatCode="0.00%"/>
    <numFmt numFmtId="168" formatCode="0.0%"/>
    <numFmt numFmtId="169" formatCode="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2"/>
      <color rgb="FFB45309"/>
      <name val="Arial"/>
      <family val="0"/>
      <charset val="1"/>
    </font>
    <font>
      <b val="true"/>
      <sz val="10"/>
      <color rgb="FFB91C1C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9"/>
      <color rgb="FF657085"/>
      <name val="Arial"/>
      <family val="0"/>
      <charset val="1"/>
    </font>
    <font>
      <b val="true"/>
      <sz val="9"/>
      <color rgb="FFB45309"/>
      <name val="Arial"/>
      <family val="0"/>
      <charset val="1"/>
    </font>
    <font>
      <sz val="9"/>
      <color rgb="FF1F2937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6100"/>
      <name val="Arial"/>
      <family val="0"/>
      <charset val="1"/>
    </font>
    <font>
      <sz val="10"/>
      <color rgb="FF65708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b val="true"/>
      <sz val="11"/>
      <color rgb="FF1F2937"/>
      <name val="Arial"/>
      <family val="0"/>
      <charset val="1"/>
    </font>
    <font>
      <b val="true"/>
      <sz val="11"/>
      <color rgb="FFB4530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0" fillId="4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8"/>
  </cols>
  <sheetData>
    <row r="2" customFormat="false" ht="30" hidden="false" customHeight="true" outlineLevel="0" collapsed="false">
      <c r="B2" s="1" t="s">
        <v>0</v>
      </c>
    </row>
    <row r="3" customFormat="false" ht="25.5" hidden="false" customHeight="true" outlineLevel="0" collapsed="false">
      <c r="B3" s="2" t="s">
        <v>1</v>
      </c>
    </row>
    <row r="5" customFormat="false" ht="24" hidden="false" customHeight="true" outlineLevel="0" collapsed="false">
      <c r="B5" s="3" t="s">
        <v>2</v>
      </c>
    </row>
    <row r="6" customFormat="false" ht="25.5" hidden="false" customHeight="true" outlineLevel="0" collapsed="false">
      <c r="B6" s="4" t="s">
        <v>3</v>
      </c>
    </row>
    <row r="7" customFormat="false" ht="15" hidden="false" customHeight="true" outlineLevel="0" collapsed="false">
      <c r="B7" s="4" t="s">
        <v>4</v>
      </c>
    </row>
    <row r="8" customFormat="false" ht="25.5" hidden="false" customHeight="true" outlineLevel="0" collapsed="false">
      <c r="B8" s="4" t="s">
        <v>5</v>
      </c>
    </row>
    <row r="9" customFormat="false" ht="25.5" hidden="false" customHeight="true" outlineLevel="0" collapsed="false">
      <c r="B9" s="4" t="s">
        <v>6</v>
      </c>
    </row>
    <row r="10" customFormat="false" ht="15" hidden="false" customHeight="true" outlineLevel="0" collapsed="false">
      <c r="B10" s="4" t="s">
        <v>7</v>
      </c>
    </row>
    <row r="12" customFormat="false" ht="24" hidden="false" customHeight="true" outlineLevel="0" collapsed="false">
      <c r="B12" s="3" t="s">
        <v>8</v>
      </c>
    </row>
    <row r="13" customFormat="false" ht="39" hidden="false" customHeight="true" outlineLevel="0" collapsed="false">
      <c r="B13" s="2" t="s">
        <v>9</v>
      </c>
    </row>
    <row r="14" customFormat="false" ht="25.5" hidden="false" customHeight="true" outlineLevel="0" collapsed="false">
      <c r="B14" s="2" t="s">
        <v>10</v>
      </c>
    </row>
    <row r="16" customFormat="false" ht="25.5" hidden="false" customHeight="true" outlineLevel="0" collapsed="false">
      <c r="B16" s="5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3" min="3" style="0" width="15"/>
    <col collapsed="false" customWidth="true" hidden="false" outlineLevel="0" max="4" min="4" style="0" width="18"/>
    <col collapsed="false" customWidth="true" hidden="false" outlineLevel="0" max="5" min="5" style="0" width="44"/>
    <col collapsed="false" customWidth="true" hidden="false" outlineLevel="0" max="10" min="6" style="0" width="4"/>
  </cols>
  <sheetData>
    <row r="1" customFormat="false" ht="25.5" hidden="false" customHeight="true" outlineLevel="0" collapsed="false">
      <c r="A1" s="6" t="s">
        <v>12</v>
      </c>
      <c r="B1" s="6"/>
      <c r="C1" s="6"/>
      <c r="D1" s="6"/>
      <c r="E1" s="6"/>
      <c r="F1" s="6"/>
      <c r="G1" s="6"/>
      <c r="H1" s="6"/>
      <c r="I1" s="6"/>
      <c r="J1" s="6"/>
    </row>
    <row r="2" customFormat="false" ht="27.75" hidden="false" customHeight="true" outlineLevel="0" collapsed="false">
      <c r="A2" s="7" t="s">
        <v>13</v>
      </c>
      <c r="B2" s="7"/>
      <c r="C2" s="7"/>
      <c r="D2" s="7"/>
      <c r="E2" s="7"/>
      <c r="F2" s="7"/>
      <c r="G2" s="7"/>
      <c r="H2" s="7"/>
      <c r="I2" s="7"/>
      <c r="J2" s="7"/>
    </row>
    <row r="4" customFormat="false" ht="19.5" hidden="false" customHeight="true" outlineLevel="0" collapsed="false">
      <c r="A4" s="8" t="s">
        <v>14</v>
      </c>
      <c r="B4" s="8"/>
      <c r="C4" s="8"/>
      <c r="D4" s="8"/>
      <c r="E4" s="8"/>
      <c r="F4" s="8"/>
    </row>
    <row r="5" customFormat="false" ht="15" hidden="false" customHeight="false" outlineLevel="0" collapsed="false">
      <c r="A5" s="9" t="s">
        <v>15</v>
      </c>
      <c r="B5" s="10" t="s">
        <v>16</v>
      </c>
      <c r="C5" s="10"/>
      <c r="D5" s="10"/>
      <c r="E5" s="10"/>
      <c r="F5" s="10"/>
    </row>
    <row r="6" customFormat="false" ht="15" hidden="false" customHeight="false" outlineLevel="0" collapsed="false">
      <c r="A6" s="11" t="s">
        <v>17</v>
      </c>
      <c r="B6" s="10" t="s">
        <v>18</v>
      </c>
      <c r="C6" s="10"/>
      <c r="D6" s="10"/>
      <c r="E6" s="10"/>
      <c r="F6" s="10"/>
    </row>
    <row r="7" customFormat="false" ht="15" hidden="false" customHeight="false" outlineLevel="0" collapsed="false">
      <c r="A7" s="12" t="s">
        <v>19</v>
      </c>
      <c r="B7" s="10" t="s">
        <v>20</v>
      </c>
      <c r="C7" s="10"/>
      <c r="D7" s="10"/>
      <c r="E7" s="10"/>
      <c r="F7" s="10"/>
    </row>
    <row r="9" customFormat="false" ht="31.5" hidden="false" customHeight="true" outlineLevel="0" collapsed="false">
      <c r="A9" s="13" t="s">
        <v>21</v>
      </c>
      <c r="B9" s="13" t="s">
        <v>22</v>
      </c>
      <c r="C9" s="13" t="s">
        <v>23</v>
      </c>
      <c r="D9" s="13" t="s">
        <v>24</v>
      </c>
      <c r="E9" s="13" t="s">
        <v>25</v>
      </c>
      <c r="F9" s="13" t="s">
        <v>26</v>
      </c>
      <c r="G9" s="13" t="s">
        <v>27</v>
      </c>
      <c r="H9" s="13" t="s">
        <v>28</v>
      </c>
      <c r="I9" s="13" t="s">
        <v>29</v>
      </c>
      <c r="J9" s="13" t="s">
        <v>30</v>
      </c>
    </row>
    <row r="10" customFormat="false" ht="113.4" hidden="false" customHeight="false" outlineLevel="0" collapsed="false">
      <c r="A10" s="14" t="n">
        <v>1</v>
      </c>
      <c r="B10" s="14" t="s">
        <v>31</v>
      </c>
      <c r="C10" s="14" t="s">
        <v>32</v>
      </c>
      <c r="D10" s="14" t="s">
        <v>33</v>
      </c>
      <c r="E10" s="14" t="n">
        <v>2</v>
      </c>
      <c r="F10" s="14" t="n">
        <v>0</v>
      </c>
      <c r="G10" s="15" t="n">
        <v>0.92</v>
      </c>
      <c r="H10" s="14" t="s">
        <v>34</v>
      </c>
      <c r="I10" s="14" t="s">
        <v>35</v>
      </c>
      <c r="J10" s="14" t="s">
        <v>36</v>
      </c>
    </row>
    <row r="11" customFormat="false" ht="30" hidden="false" customHeight="true" outlineLevel="0" collapsed="false">
      <c r="A11" s="16" t="n">
        <v>2</v>
      </c>
      <c r="B11" s="17"/>
      <c r="C11" s="17"/>
      <c r="D11" s="17"/>
      <c r="E11" s="17"/>
      <c r="F11" s="17"/>
      <c r="G11" s="18"/>
      <c r="H11" s="17"/>
      <c r="I11" s="17"/>
      <c r="J11" s="17"/>
    </row>
    <row r="12" customFormat="false" ht="30" hidden="false" customHeight="true" outlineLevel="0" collapsed="false">
      <c r="A12" s="16" t="n">
        <v>3</v>
      </c>
      <c r="B12" s="17"/>
      <c r="C12" s="17"/>
      <c r="D12" s="17"/>
      <c r="E12" s="17"/>
      <c r="F12" s="17"/>
      <c r="G12" s="18"/>
      <c r="H12" s="17"/>
      <c r="I12" s="17"/>
      <c r="J12" s="17"/>
    </row>
    <row r="13" customFormat="false" ht="30" hidden="false" customHeight="true" outlineLevel="0" collapsed="false">
      <c r="A13" s="16" t="n">
        <v>4</v>
      </c>
      <c r="B13" s="17"/>
      <c r="C13" s="17"/>
      <c r="D13" s="17"/>
      <c r="E13" s="17"/>
      <c r="F13" s="17"/>
      <c r="G13" s="18"/>
      <c r="H13" s="17"/>
      <c r="I13" s="17"/>
      <c r="J13" s="17"/>
    </row>
    <row r="14" customFormat="false" ht="30" hidden="false" customHeight="true" outlineLevel="0" collapsed="false">
      <c r="A14" s="16" t="n">
        <v>5</v>
      </c>
      <c r="B14" s="17"/>
      <c r="C14" s="17"/>
      <c r="D14" s="17"/>
      <c r="E14" s="17"/>
      <c r="F14" s="17"/>
      <c r="G14" s="18"/>
      <c r="H14" s="17"/>
      <c r="I14" s="17"/>
      <c r="J14" s="17"/>
    </row>
    <row r="15" customFormat="false" ht="30" hidden="false" customHeight="true" outlineLevel="0" collapsed="false">
      <c r="A15" s="16" t="n">
        <v>6</v>
      </c>
      <c r="B15" s="17"/>
      <c r="C15" s="17"/>
      <c r="D15" s="17"/>
      <c r="E15" s="17"/>
      <c r="F15" s="17"/>
      <c r="G15" s="18"/>
      <c r="H15" s="17"/>
      <c r="I15" s="17"/>
      <c r="J15" s="17"/>
    </row>
    <row r="16" customFormat="false" ht="30" hidden="false" customHeight="true" outlineLevel="0" collapsed="false">
      <c r="A16" s="16" t="n">
        <v>7</v>
      </c>
      <c r="B16" s="17"/>
      <c r="C16" s="17"/>
      <c r="D16" s="17"/>
      <c r="E16" s="17"/>
      <c r="F16" s="17"/>
      <c r="G16" s="18"/>
      <c r="H16" s="17"/>
      <c r="I16" s="17"/>
      <c r="J16" s="17"/>
    </row>
    <row r="17" customFormat="false" ht="30" hidden="false" customHeight="true" outlineLevel="0" collapsed="false">
      <c r="A17" s="16" t="n">
        <v>8</v>
      </c>
      <c r="B17" s="17"/>
      <c r="C17" s="17"/>
      <c r="D17" s="17"/>
      <c r="E17" s="17"/>
      <c r="F17" s="17"/>
      <c r="G17" s="18"/>
      <c r="H17" s="17"/>
      <c r="I17" s="17"/>
      <c r="J17" s="17"/>
    </row>
    <row r="18" customFormat="false" ht="30" hidden="false" customHeight="true" outlineLevel="0" collapsed="false">
      <c r="A18" s="16" t="n">
        <v>9</v>
      </c>
      <c r="B18" s="17"/>
      <c r="C18" s="17"/>
      <c r="D18" s="17"/>
      <c r="E18" s="17"/>
      <c r="F18" s="17"/>
      <c r="G18" s="18"/>
      <c r="H18" s="17"/>
      <c r="I18" s="17"/>
      <c r="J18" s="17"/>
    </row>
    <row r="19" customFormat="false" ht="30" hidden="false" customHeight="true" outlineLevel="0" collapsed="false">
      <c r="A19" s="16" t="n">
        <v>10</v>
      </c>
      <c r="B19" s="17"/>
      <c r="C19" s="17"/>
      <c r="D19" s="17"/>
      <c r="E19" s="17"/>
      <c r="F19" s="17"/>
      <c r="G19" s="18"/>
      <c r="H19" s="17"/>
      <c r="I19" s="17"/>
      <c r="J19" s="17"/>
    </row>
    <row r="20" customFormat="false" ht="30" hidden="false" customHeight="true" outlineLevel="0" collapsed="false">
      <c r="A20" s="16" t="n">
        <v>11</v>
      </c>
      <c r="B20" s="17"/>
      <c r="C20" s="17"/>
      <c r="D20" s="17"/>
      <c r="E20" s="17"/>
      <c r="F20" s="17"/>
      <c r="G20" s="18"/>
      <c r="H20" s="17"/>
      <c r="I20" s="17"/>
      <c r="J20" s="17"/>
    </row>
    <row r="21" customFormat="false" ht="30" hidden="false" customHeight="true" outlineLevel="0" collapsed="false">
      <c r="A21" s="16" t="n">
        <v>12</v>
      </c>
      <c r="B21" s="17"/>
      <c r="C21" s="17"/>
      <c r="D21" s="17"/>
      <c r="E21" s="17"/>
      <c r="F21" s="17"/>
      <c r="G21" s="18"/>
      <c r="H21" s="17"/>
      <c r="I21" s="17"/>
      <c r="J21" s="17"/>
    </row>
    <row r="22" customFormat="false" ht="30" hidden="false" customHeight="true" outlineLevel="0" collapsed="false">
      <c r="A22" s="16" t="n">
        <v>13</v>
      </c>
      <c r="B22" s="17"/>
      <c r="C22" s="17"/>
      <c r="D22" s="17"/>
      <c r="E22" s="17"/>
      <c r="F22" s="17"/>
      <c r="G22" s="18"/>
      <c r="H22" s="17"/>
      <c r="I22" s="17"/>
      <c r="J22" s="17"/>
    </row>
    <row r="23" customFormat="false" ht="30" hidden="false" customHeight="true" outlineLevel="0" collapsed="false">
      <c r="A23" s="16" t="n">
        <v>14</v>
      </c>
      <c r="B23" s="17"/>
      <c r="C23" s="17"/>
      <c r="D23" s="17"/>
      <c r="E23" s="17"/>
      <c r="F23" s="17"/>
      <c r="G23" s="18"/>
      <c r="H23" s="17"/>
      <c r="I23" s="17"/>
      <c r="J23" s="17"/>
    </row>
    <row r="24" customFormat="false" ht="30" hidden="false" customHeight="true" outlineLevel="0" collapsed="false">
      <c r="A24" s="16" t="n">
        <v>15</v>
      </c>
      <c r="B24" s="17"/>
      <c r="C24" s="17"/>
      <c r="D24" s="17"/>
      <c r="E24" s="17"/>
      <c r="F24" s="17"/>
      <c r="G24" s="18"/>
      <c r="H24" s="17"/>
      <c r="I24" s="17"/>
      <c r="J24" s="17"/>
    </row>
    <row r="25" customFormat="false" ht="30" hidden="false" customHeight="true" outlineLevel="0" collapsed="false">
      <c r="A25" s="16" t="n">
        <v>16</v>
      </c>
      <c r="B25" s="17"/>
      <c r="C25" s="17"/>
      <c r="D25" s="17"/>
      <c r="E25" s="17"/>
      <c r="F25" s="17"/>
      <c r="G25" s="18"/>
      <c r="H25" s="17"/>
      <c r="I25" s="17"/>
      <c r="J25" s="17"/>
    </row>
    <row r="26" customFormat="false" ht="30" hidden="false" customHeight="true" outlineLevel="0" collapsed="false">
      <c r="A26" s="16" t="n">
        <v>17</v>
      </c>
      <c r="B26" s="17"/>
      <c r="C26" s="17"/>
      <c r="D26" s="17"/>
      <c r="E26" s="17"/>
      <c r="F26" s="17"/>
      <c r="G26" s="18"/>
      <c r="H26" s="17"/>
      <c r="I26" s="17"/>
      <c r="J26" s="17"/>
    </row>
    <row r="27" customFormat="false" ht="30" hidden="false" customHeight="true" outlineLevel="0" collapsed="false">
      <c r="A27" s="16" t="n">
        <v>18</v>
      </c>
      <c r="B27" s="17"/>
      <c r="C27" s="17"/>
      <c r="D27" s="17"/>
      <c r="E27" s="17"/>
      <c r="F27" s="17"/>
      <c r="G27" s="18"/>
      <c r="H27" s="17"/>
      <c r="I27" s="17"/>
      <c r="J27" s="17"/>
    </row>
    <row r="28" customFormat="false" ht="30" hidden="false" customHeight="true" outlineLevel="0" collapsed="false">
      <c r="A28" s="16" t="n">
        <v>19</v>
      </c>
      <c r="B28" s="17"/>
      <c r="C28" s="17"/>
      <c r="D28" s="17"/>
      <c r="E28" s="17"/>
      <c r="F28" s="17"/>
      <c r="G28" s="18"/>
      <c r="H28" s="17"/>
      <c r="I28" s="17"/>
      <c r="J28" s="17"/>
    </row>
    <row r="30" customFormat="false" ht="19.5" hidden="false" customHeight="true" outlineLevel="0" collapsed="false">
      <c r="A30" s="8" t="s">
        <v>37</v>
      </c>
      <c r="B30" s="8"/>
      <c r="C30" s="8"/>
      <c r="D30" s="8"/>
      <c r="E30" s="8"/>
      <c r="F30" s="8"/>
      <c r="G30" s="8"/>
      <c r="H30" s="8"/>
      <c r="I30" s="8"/>
      <c r="J30" s="8"/>
    </row>
    <row r="31" customFormat="false" ht="15" hidden="false" customHeight="false" outlineLevel="0" collapsed="false">
      <c r="A31" s="19" t="s">
        <v>38</v>
      </c>
      <c r="B31" s="19"/>
      <c r="C31" s="19"/>
      <c r="D31" s="19"/>
      <c r="E31" s="20" t="n">
        <f aca="false">SUM(E10:E28)</f>
        <v>2</v>
      </c>
    </row>
    <row r="32" customFormat="false" ht="15" hidden="false" customHeight="false" outlineLevel="0" collapsed="false">
      <c r="A32" s="19" t="s">
        <v>39</v>
      </c>
      <c r="B32" s="19"/>
      <c r="C32" s="19"/>
      <c r="D32" s="19"/>
      <c r="E32" s="20" t="n">
        <f aca="false">SUM(F10:F28)</f>
        <v>0</v>
      </c>
    </row>
    <row r="33" customFormat="false" ht="15" hidden="false" customHeight="false" outlineLevel="0" collapsed="false">
      <c r="A33" s="19" t="s">
        <v>40</v>
      </c>
      <c r="B33" s="19"/>
      <c r="C33" s="19"/>
      <c r="D33" s="19"/>
      <c r="E33" s="20" t="n">
        <f aca="false">SUM(E10:E28)+SUM(F10:F28)</f>
        <v>2</v>
      </c>
    </row>
    <row r="34" customFormat="false" ht="15" hidden="false" customHeight="false" outlineLevel="0" collapsed="false">
      <c r="A34" s="19" t="s">
        <v>41</v>
      </c>
      <c r="B34" s="19"/>
      <c r="C34" s="19"/>
      <c r="D34" s="19"/>
      <c r="E34" s="20" t="n">
        <f aca="false">(SUM(E10:E28)+SUM(F10:F28))/60</f>
        <v>0.0333333333333333</v>
      </c>
    </row>
    <row r="35" customFormat="false" ht="15" hidden="false" customHeight="false" outlineLevel="0" collapsed="false">
      <c r="A35" s="21" t="s">
        <v>42</v>
      </c>
      <c r="B35" s="21"/>
      <c r="C35" s="21"/>
      <c r="D35" s="21"/>
      <c r="E35" s="22" t="n">
        <f aca="false">IFERROR(SUM(E10:E28)/(SUM(E10:E28)+SUM(F10:F28)),"")</f>
        <v>1</v>
      </c>
    </row>
    <row r="36" customFormat="false" ht="15" hidden="false" customHeight="false" outlineLevel="0" collapsed="false">
      <c r="A36" s="19" t="s">
        <v>43</v>
      </c>
      <c r="B36" s="19"/>
      <c r="C36" s="19"/>
      <c r="D36" s="19"/>
      <c r="E36" s="23" t="n">
        <f aca="false">IFERROR(PRODUCT(G10:G28),"")</f>
        <v>0.92</v>
      </c>
    </row>
    <row r="37" customFormat="false" ht="15" hidden="false" customHeight="false" outlineLevel="0" collapsed="false">
      <c r="A37" s="19" t="s">
        <v>44</v>
      </c>
      <c r="B37" s="19"/>
      <c r="C37" s="19"/>
      <c r="D37" s="19"/>
      <c r="E37" s="24" t="n">
        <f aca="false">COUNTA(B10:B28)</f>
        <v>1</v>
      </c>
    </row>
    <row r="38" customFormat="false" ht="15" hidden="false" customHeight="false" outlineLevel="0" collapsed="false">
      <c r="A38" s="19" t="s">
        <v>45</v>
      </c>
      <c r="B38" s="19"/>
      <c r="C38" s="19"/>
      <c r="D38" s="19"/>
      <c r="E38" s="24" t="n">
        <f aca="false">COUNTIF(H10:H28,"Non-value-add")</f>
        <v>0</v>
      </c>
    </row>
    <row r="39" customFormat="false" ht="15" hidden="false" customHeight="false" outlineLevel="0" collapsed="false">
      <c r="A39" s="19" t="s">
        <v>46</v>
      </c>
      <c r="B39" s="19"/>
      <c r="C39" s="19"/>
      <c r="D39" s="19"/>
      <c r="E39" s="24" t="n">
        <f aca="false">COUNTIF(I10:I28,"Yes")</f>
        <v>0</v>
      </c>
    </row>
    <row r="40" customFormat="false" ht="15" hidden="false" customHeight="false" outlineLevel="0" collapsed="false">
      <c r="A40" s="19" t="s">
        <v>47</v>
      </c>
      <c r="B40" s="19"/>
      <c r="C40" s="19"/>
      <c r="D40" s="19"/>
      <c r="E40" s="25"/>
    </row>
    <row r="42" customFormat="false" ht="19.5" hidden="false" customHeight="true" outlineLevel="0" collapsed="false">
      <c r="A42" s="8" t="s">
        <v>48</v>
      </c>
      <c r="B42" s="8"/>
      <c r="C42" s="8"/>
      <c r="D42" s="8"/>
      <c r="E42" s="8"/>
      <c r="F42" s="8"/>
      <c r="G42" s="8"/>
      <c r="H42" s="8"/>
      <c r="I42" s="8"/>
      <c r="J42" s="8"/>
    </row>
    <row r="43" customFormat="false" ht="31.5" hidden="false" customHeight="true" outlineLevel="0" collapsed="false">
      <c r="A43" s="13" t="s">
        <v>49</v>
      </c>
      <c r="B43" s="13" t="s">
        <v>50</v>
      </c>
      <c r="C43" s="13" t="s">
        <v>51</v>
      </c>
      <c r="D43" s="13" t="s">
        <v>52</v>
      </c>
      <c r="E43" s="13" t="s">
        <v>53</v>
      </c>
      <c r="F43" s="13"/>
      <c r="G43" s="13"/>
      <c r="H43" s="13"/>
      <c r="I43" s="13"/>
      <c r="J43" s="13"/>
    </row>
    <row r="44" customFormat="false" ht="15" hidden="false" customHeight="false" outlineLevel="0" collapsed="false">
      <c r="A44" s="26" t="s">
        <v>54</v>
      </c>
      <c r="B44" s="27"/>
      <c r="C44" s="28" t="str">
        <f aca="false">IFERROR(B44/$E$32,"")</f>
        <v/>
      </c>
      <c r="D44" s="27"/>
      <c r="E44" s="27"/>
    </row>
    <row r="45" customFormat="false" ht="15" hidden="false" customHeight="false" outlineLevel="0" collapsed="false">
      <c r="A45" s="26" t="s">
        <v>55</v>
      </c>
      <c r="B45" s="27"/>
      <c r="C45" s="28" t="str">
        <f aca="false">IFERROR(B45/$E$32,"")</f>
        <v/>
      </c>
      <c r="D45" s="27"/>
      <c r="E45" s="27"/>
    </row>
    <row r="46" customFormat="false" ht="15" hidden="false" customHeight="false" outlineLevel="0" collapsed="false">
      <c r="A46" s="26" t="s">
        <v>56</v>
      </c>
      <c r="B46" s="27"/>
      <c r="C46" s="28" t="str">
        <f aca="false">IFERROR(B46/$E$32,"")</f>
        <v/>
      </c>
      <c r="D46" s="27"/>
      <c r="E46" s="27"/>
    </row>
    <row r="47" customFormat="false" ht="15" hidden="false" customHeight="false" outlineLevel="0" collapsed="false">
      <c r="A47" s="26" t="s">
        <v>57</v>
      </c>
      <c r="B47" s="27"/>
      <c r="C47" s="28" t="str">
        <f aca="false">IFERROR(B47/$E$32,"")</f>
        <v/>
      </c>
      <c r="D47" s="27"/>
      <c r="E47" s="27"/>
    </row>
    <row r="48" customFormat="false" ht="15" hidden="false" customHeight="false" outlineLevel="0" collapsed="false">
      <c r="A48" s="26" t="s">
        <v>58</v>
      </c>
      <c r="B48" s="27"/>
      <c r="C48" s="28" t="str">
        <f aca="false">IFERROR(B48/$E$32,"")</f>
        <v/>
      </c>
      <c r="D48" s="27"/>
      <c r="E48" s="27"/>
    </row>
    <row r="49" customFormat="false" ht="15" hidden="false" customHeight="false" outlineLevel="0" collapsed="false">
      <c r="A49" s="26" t="s">
        <v>59</v>
      </c>
      <c r="B49" s="27"/>
      <c r="C49" s="28" t="str">
        <f aca="false">IFERROR(B49/$E$32,"")</f>
        <v/>
      </c>
      <c r="D49" s="27"/>
      <c r="E49" s="27"/>
    </row>
  </sheetData>
  <mergeCells count="18">
    <mergeCell ref="A1:J1"/>
    <mergeCell ref="A2:J2"/>
    <mergeCell ref="A4:F4"/>
    <mergeCell ref="B5:F5"/>
    <mergeCell ref="B6:F6"/>
    <mergeCell ref="B7:F7"/>
    <mergeCell ref="A30:J30"/>
    <mergeCell ref="A31:D31"/>
    <mergeCell ref="A32:D32"/>
    <mergeCell ref="A33:D33"/>
    <mergeCell ref="A34:D34"/>
    <mergeCell ref="A35:D35"/>
    <mergeCell ref="A36:D36"/>
    <mergeCell ref="A37:D37"/>
    <mergeCell ref="A38:D38"/>
    <mergeCell ref="A39:D39"/>
    <mergeCell ref="A40:D40"/>
    <mergeCell ref="A42:J42"/>
  </mergeCells>
  <dataValidations count="2">
    <dataValidation allowBlank="true" errorStyle="stop" operator="between" showDropDown="false" showErrorMessage="false" showInputMessage="false" sqref="H10:H28" type="list">
      <formula1>"Value-add,Business-value-add,Non-value-add"</formula1>
      <formula2>0</formula2>
    </dataValidation>
    <dataValidation allowBlank="true" errorStyle="stop" operator="between" showDropDown="false" showErrorMessage="false" showInputMessage="false" sqref="I10:I28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2026-07-31T15:37:50Z</dcterms:created>
  <dc:creator>openpyxl</dc:creator>
  <dc:description/>
  <dc:language>en-US</dc:language>
  <cp:lastModifiedBy/>
  <dcterms:modified xsi:type="dcterms:W3CDTF">2026-07-31T15:37:50Z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