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w to use this" sheetId="1" state="visible" r:id="rId1"/>
    <sheet name="Value stream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8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B45309"/>
      <sz val="12"/>
    </font>
    <font>
      <name val="Arial"/>
      <charset val="1"/>
      <family val="0"/>
      <b val="1"/>
      <color rgb="FFB91C1C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57085"/>
      <sz val="9"/>
    </font>
    <font>
      <name val="Arial"/>
      <charset val="1"/>
      <family val="0"/>
      <b val="1"/>
      <color rgb="FFB45309"/>
      <sz val="9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6100"/>
      <sz val="10"/>
    </font>
    <font>
      <name val="Arial"/>
      <charset val="1"/>
      <family val="0"/>
      <color rgb="FF65708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2937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B45309"/>
      <sz val="11"/>
    </font>
  </fonts>
  <fills count="9">
    <fill>
      <patternFill/>
    </fill>
    <fill>
      <patternFill patternType="gray125"/>
    </fill>
    <fill>
      <patternFill patternType="solid">
        <fgColor rgb="FFFDEEEE"/>
        <bgColor rgb="FFEEF1F6"/>
      </patternFill>
    </fill>
    <fill>
      <patternFill patternType="solid">
        <fgColor rgb="FF151B24"/>
        <bgColor rgb="FF1F2937"/>
      </patternFill>
    </fill>
    <fill>
      <patternFill patternType="solid">
        <fgColor rgb="FFEEF1F6"/>
        <bgColor rgb="FFF2F7FF"/>
      </patternFill>
    </fill>
    <fill>
      <patternFill patternType="solid">
        <fgColor rgb="FFFFF9E3"/>
        <bgColor rgb="FFFDEEEE"/>
      </patternFill>
    </fill>
    <fill>
      <patternFill patternType="solid">
        <fgColor rgb="FFF2F7FF"/>
        <bgColor rgb="FFEEF1F6"/>
      </patternFill>
    </fill>
    <fill>
      <patternFill patternType="solid">
        <fgColor rgb="FFECFAEF"/>
        <bgColor rgb="FFF2F7FF"/>
      </patternFill>
    </fill>
    <fill>
      <patternFill patternType="solid">
        <fgColor rgb="FF333C49"/>
        <bgColor rgb="FF1F2937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general" vertical="top" wrapText="1"/>
    </xf>
    <xf numFmtId="9" fontId="13" fillId="7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center" vertical="bottom"/>
    </xf>
    <xf numFmtId="0" fontId="15" fillId="5" borderId="1" applyAlignment="1" pivotButton="0" quotePrefix="0" xfId="0">
      <alignment horizontal="general" vertical="top" wrapText="1"/>
    </xf>
    <xf numFmtId="9" fontId="15" fillId="5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164" fontId="17" fillId="6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0" fontId="6" fillId="6" borderId="1" applyAlignment="1" pivotButton="0" quotePrefix="0" xfId="0">
      <alignment horizontal="general" vertical="bottom"/>
    </xf>
    <xf numFmtId="165" fontId="17" fillId="6" borderId="1" applyAlignment="1" pivotButton="0" quotePrefix="0" xfId="0">
      <alignment horizontal="general" vertical="bottom"/>
    </xf>
    <xf numFmtId="1" fontId="17" fillId="6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6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general" vertical="top" wrapText="1"/>
    </xf>
    <xf numFmtId="9" fontId="13" fillId="7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center" vertical="bottom"/>
    </xf>
    <xf numFmtId="0" fontId="15" fillId="5" borderId="1" applyAlignment="1" pivotButton="0" quotePrefix="0" xfId="0">
      <alignment horizontal="general" vertical="top" wrapText="1"/>
    </xf>
    <xf numFmtId="9" fontId="15" fillId="5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164" fontId="17" fillId="6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0" fontId="6" fillId="6" borderId="1" applyAlignment="1" pivotButton="0" quotePrefix="0" xfId="0">
      <alignment horizontal="general" vertical="bottom"/>
    </xf>
    <xf numFmtId="165" fontId="17" fillId="6" borderId="1" applyAlignment="1" pivotButton="0" quotePrefix="0" xfId="0">
      <alignment horizontal="general" vertical="bottom"/>
    </xf>
    <xf numFmtId="1" fontId="17" fillId="6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E3"/>
      <rgbColor rgb="FFECFAE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EF1F6"/>
      <rgbColor rgb="FFFD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085"/>
      <rgbColor rgb="FF969696"/>
      <rgbColor rgb="FF003366"/>
      <rgbColor rgb="FF339966"/>
      <rgbColor rgb="FF151B24"/>
      <rgbColor rgb="FF1F2937"/>
      <rgbColor rgb="FFB91C1C"/>
      <rgbColor rgb="FF993366"/>
      <rgbColor rgb="FF333399"/>
      <rgbColor rgb="FF333C4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9" min="1" max="1"/>
    <col width="108" customWidth="1" style="29" min="2" max="2"/>
  </cols>
  <sheetData>
    <row r="2" ht="30" customHeight="1" s="30">
      <c r="B2" s="31" t="inlineStr">
        <is>
          <t>Value Stream Map — where the customer's time actually goes</t>
        </is>
      </c>
    </row>
    <row r="3" ht="25.5" customHeight="1" s="30">
      <c r="B3" s="32" t="inlineStr">
        <is>
          <t>Support processes look busy but are mostly waiting. This sheet measures that precisely, and the number it produces changes almost every conversation about where to improve.</t>
        </is>
      </c>
    </row>
    <row r="5" ht="24" customHeight="1" s="30">
      <c r="B5" s="33" t="inlineStr">
        <is>
          <t>What to do</t>
        </is>
      </c>
    </row>
    <row r="6" ht="25.5" customHeight="1" s="30">
      <c r="B6" s="34" t="inlineStr">
        <is>
          <t>1.  Pull 20 to 30 completed cases of the same type and reconstruct their timeline from timestamps.</t>
        </is>
      </c>
    </row>
    <row r="7" ht="15" customHeight="1" s="30">
      <c r="B7" s="34" t="inlineStr">
        <is>
          <t>2.  List the steps in order down column B.</t>
        </is>
      </c>
    </row>
    <row r="8" ht="25.5" customHeight="1" s="30">
      <c r="B8" s="34" t="inlineStr">
        <is>
          <t>3.  For each step record the touch time — minutes anyone was actively working on it — and the waiting time BEFORE that step.</t>
        </is>
      </c>
    </row>
    <row r="9" ht="25.5" customHeight="1" s="30">
      <c r="B9" s="34" t="inlineStr">
        <is>
          <t>4.  Record % complete and accurate: the share arriving in good enough shape to work without going back.</t>
        </is>
      </c>
    </row>
    <row r="10" ht="15" customHeight="1" s="30">
      <c r="B10" s="34" t="inlineStr">
        <is>
          <t>5.  Read the results block. Process Cycle Efficiency is the headline.</t>
        </is>
      </c>
    </row>
    <row r="12" ht="24" customHeight="1" s="30">
      <c r="B12" s="33" t="inlineStr">
        <is>
          <t>How to read the result</t>
        </is>
      </c>
    </row>
    <row r="13" ht="39" customHeight="1" s="30">
      <c r="B13" s="32" t="inlineStr">
        <is>
          <t>In support, Process Cycle Efficiency is typically between 1% and 8%. That means 92% to 99% of the customer's wait is queue time, not work time. Making agents faster barely moves it; removing a waiting state moves it a lot.</t>
        </is>
      </c>
    </row>
    <row r="14" ht="25.5" customHeight="1" s="30">
      <c r="B14" s="32" t="inlineStr">
        <is>
          <t>Then rank the waiting states. Any single one taking more than about 10% of total lead time is a project in its own right.</t>
        </is>
      </c>
    </row>
    <row r="16" ht="25.5" customHeight="1" s="30">
      <c r="B16" s="35" t="inlineStr">
        <is>
          <t>Map what actually happens, not what the standard operating procedure says. Sit with an agent and watch. The gap between the two is usually where your problem lives.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29" min="1" max="1"/>
    <col width="12" customWidth="1" style="29" min="2" max="2"/>
    <col width="15" customWidth="1" style="29" min="3" max="3"/>
    <col width="18" customWidth="1" style="29" min="4" max="4"/>
    <col width="44" customWidth="1" style="29" min="5" max="5"/>
    <col width="4" customWidth="1" style="29" min="6" max="10"/>
  </cols>
  <sheetData>
    <row r="1" ht="25.5" customHeight="1" s="30">
      <c r="A1" s="36" t="inlineStr">
        <is>
          <t>Value Stream Map  —  where does the customer's time actually go?</t>
        </is>
      </c>
    </row>
    <row r="2" ht="27.75" customHeight="1" s="30">
      <c r="A2" s="37" t="inlineStr">
        <is>
          <t>Reconstruct 20–30 real cases from timestamps. Process Cycle Efficiency and rolled throughput yield calculate themselves.</t>
        </is>
      </c>
    </row>
    <row r="4" ht="19.5" customHeight="1" s="30">
      <c r="A4" s="38" t="inlineStr">
        <is>
          <t>HOW TO USE THIS SHEET</t>
        </is>
      </c>
    </row>
    <row r="5" ht="15" customHeight="1" s="30">
      <c r="A5" s="39" t="inlineStr">
        <is>
          <t>Yellow cells</t>
        </is>
      </c>
      <c r="B5" s="40" t="inlineStr">
        <is>
          <t>You fill these in. Blue text = a number you typed.</t>
        </is>
      </c>
    </row>
    <row r="6" ht="15" customHeight="1" s="30">
      <c r="A6" s="41" t="inlineStr">
        <is>
          <t>Blue cells</t>
        </is>
      </c>
      <c r="B6" s="40" t="inlineStr">
        <is>
          <t>Calculated for you. Do not type over these — they contain formulas.</t>
        </is>
      </c>
    </row>
    <row r="7" ht="15" customHeight="1" s="30">
      <c r="A7" s="42" t="inlineStr">
        <is>
          <t>Row 1 example</t>
        </is>
      </c>
      <c r="B7" s="40" t="inlineStr">
        <is>
          <t>A realistic worked example, so you can see the expected format. Delete or overwrite it.</t>
        </is>
      </c>
    </row>
    <row r="9" ht="31.5" customHeight="1" s="30">
      <c r="A9" s="43" t="inlineStr">
        <is>
          <t>#</t>
        </is>
      </c>
      <c r="B9" s="43" t="inlineStr">
        <is>
          <t>Step</t>
        </is>
      </c>
      <c r="C9" s="43" t="inlineStr">
        <is>
          <t>Who does it</t>
        </is>
      </c>
      <c r="D9" s="43" t="inlineStr">
        <is>
          <t>Systems used</t>
        </is>
      </c>
      <c r="E9" s="43" t="inlineStr">
        <is>
          <t>Touch time (min)</t>
        </is>
      </c>
      <c r="F9" s="43" t="inlineStr">
        <is>
          <t>Wait BEFORE this step (min)</t>
        </is>
      </c>
      <c r="G9" s="43" t="inlineStr">
        <is>
          <t>% complete &amp;amp; accurate</t>
        </is>
      </c>
      <c r="H9" s="43" t="inlineStr">
        <is>
          <t>Value type</t>
        </is>
      </c>
      <c r="I9" s="43" t="inlineStr">
        <is>
          <t>Rework loop?</t>
        </is>
      </c>
      <c r="J9" s="43" t="inlineStr">
        <is>
          <t>Notes</t>
        </is>
      </c>
    </row>
    <row r="10" ht="113.4" customHeight="1" s="30">
      <c r="A10" s="44" t="n">
        <v>1</v>
      </c>
      <c r="B10" s="44" t="inlineStr">
        <is>
          <t>Customer submits the form</t>
        </is>
      </c>
      <c r="C10" s="44" t="inlineStr">
        <is>
          <t>Customer</t>
        </is>
      </c>
      <c r="D10" s="44" t="inlineStr">
        <is>
          <t>Help centre</t>
        </is>
      </c>
      <c r="E10" s="44" t="n">
        <v>2</v>
      </c>
      <c r="F10" s="44" t="n">
        <v>0</v>
      </c>
      <c r="G10" s="45" t="n">
        <v>0.92</v>
      </c>
      <c r="H10" s="44" t="inlineStr">
        <is>
          <t>Value-add</t>
        </is>
      </c>
      <c r="I10" s="44" t="inlineStr">
        <is>
          <t>No</t>
        </is>
      </c>
      <c r="J10" s="44" t="inlineStr">
        <is>
          <t>Form has 3 fields nobody reads</t>
        </is>
      </c>
    </row>
    <row r="11" ht="30" customHeight="1" s="30">
      <c r="A11" s="46" t="n">
        <v>2</v>
      </c>
      <c r="B11" s="47" t="n"/>
      <c r="C11" s="47" t="n"/>
      <c r="D11" s="47" t="n"/>
      <c r="E11" s="47" t="n"/>
      <c r="F11" s="47" t="n"/>
      <c r="G11" s="48" t="n"/>
      <c r="H11" s="47" t="n"/>
      <c r="I11" s="47" t="n"/>
      <c r="J11" s="47" t="n"/>
    </row>
    <row r="12" ht="30" customHeight="1" s="30">
      <c r="A12" s="46" t="n">
        <v>3</v>
      </c>
      <c r="B12" s="47" t="n"/>
      <c r="C12" s="47" t="n"/>
      <c r="D12" s="47" t="n"/>
      <c r="E12" s="47" t="n"/>
      <c r="F12" s="47" t="n"/>
      <c r="G12" s="48" t="n"/>
      <c r="H12" s="47" t="n"/>
      <c r="I12" s="47" t="n"/>
      <c r="J12" s="47" t="n"/>
    </row>
    <row r="13" ht="30" customHeight="1" s="30">
      <c r="A13" s="46" t="n">
        <v>4</v>
      </c>
      <c r="B13" s="47" t="n"/>
      <c r="C13" s="47" t="n"/>
      <c r="D13" s="47" t="n"/>
      <c r="E13" s="47" t="n"/>
      <c r="F13" s="47" t="n"/>
      <c r="G13" s="48" t="n"/>
      <c r="H13" s="47" t="n"/>
      <c r="I13" s="47" t="n"/>
      <c r="J13" s="47" t="n"/>
    </row>
    <row r="14" ht="30" customHeight="1" s="30">
      <c r="A14" s="46" t="n">
        <v>5</v>
      </c>
      <c r="B14" s="47" t="n"/>
      <c r="C14" s="47" t="n"/>
      <c r="D14" s="47" t="n"/>
      <c r="E14" s="47" t="n"/>
      <c r="F14" s="47" t="n"/>
      <c r="G14" s="48" t="n"/>
      <c r="H14" s="47" t="n"/>
      <c r="I14" s="47" t="n"/>
      <c r="J14" s="47" t="n"/>
    </row>
    <row r="15" ht="30" customHeight="1" s="30">
      <c r="A15" s="46" t="n">
        <v>6</v>
      </c>
      <c r="B15" s="47" t="n"/>
      <c r="C15" s="47" t="n"/>
      <c r="D15" s="47" t="n"/>
      <c r="E15" s="47" t="n"/>
      <c r="F15" s="47" t="n"/>
      <c r="G15" s="48" t="n"/>
      <c r="H15" s="47" t="n"/>
      <c r="I15" s="47" t="n"/>
      <c r="J15" s="47" t="n"/>
    </row>
    <row r="16" ht="30" customHeight="1" s="30">
      <c r="A16" s="46" t="n">
        <v>7</v>
      </c>
      <c r="B16" s="47" t="n"/>
      <c r="C16" s="47" t="n"/>
      <c r="D16" s="47" t="n"/>
      <c r="E16" s="47" t="n"/>
      <c r="F16" s="47" t="n"/>
      <c r="G16" s="48" t="n"/>
      <c r="H16" s="47" t="n"/>
      <c r="I16" s="47" t="n"/>
      <c r="J16" s="47" t="n"/>
    </row>
    <row r="17" ht="30" customHeight="1" s="30">
      <c r="A17" s="46" t="n">
        <v>8</v>
      </c>
      <c r="B17" s="47" t="n"/>
      <c r="C17" s="47" t="n"/>
      <c r="D17" s="47" t="n"/>
      <c r="E17" s="47" t="n"/>
      <c r="F17" s="47" t="n"/>
      <c r="G17" s="48" t="n"/>
      <c r="H17" s="47" t="n"/>
      <c r="I17" s="47" t="n"/>
      <c r="J17" s="47" t="n"/>
    </row>
    <row r="18" ht="30" customHeight="1" s="30">
      <c r="A18" s="46" t="n">
        <v>9</v>
      </c>
      <c r="B18" s="47" t="n"/>
      <c r="C18" s="47" t="n"/>
      <c r="D18" s="47" t="n"/>
      <c r="E18" s="47" t="n"/>
      <c r="F18" s="47" t="n"/>
      <c r="G18" s="48" t="n"/>
      <c r="H18" s="47" t="n"/>
      <c r="I18" s="47" t="n"/>
      <c r="J18" s="47" t="n"/>
    </row>
    <row r="19" ht="30" customHeight="1" s="30">
      <c r="A19" s="46" t="n">
        <v>10</v>
      </c>
      <c r="B19" s="47" t="n"/>
      <c r="C19" s="47" t="n"/>
      <c r="D19" s="47" t="n"/>
      <c r="E19" s="47" t="n"/>
      <c r="F19" s="47" t="n"/>
      <c r="G19" s="48" t="n"/>
      <c r="H19" s="47" t="n"/>
      <c r="I19" s="47" t="n"/>
      <c r="J19" s="47" t="n"/>
    </row>
    <row r="20" ht="30" customHeight="1" s="30">
      <c r="A20" s="46" t="n">
        <v>11</v>
      </c>
      <c r="B20" s="47" t="n"/>
      <c r="C20" s="47" t="n"/>
      <c r="D20" s="47" t="n"/>
      <c r="E20" s="47" t="n"/>
      <c r="F20" s="47" t="n"/>
      <c r="G20" s="48" t="n"/>
      <c r="H20" s="47" t="n"/>
      <c r="I20" s="47" t="n"/>
      <c r="J20" s="47" t="n"/>
    </row>
    <row r="21" ht="30" customHeight="1" s="30">
      <c r="A21" s="46" t="n">
        <v>12</v>
      </c>
      <c r="B21" s="47" t="n"/>
      <c r="C21" s="47" t="n"/>
      <c r="D21" s="47" t="n"/>
      <c r="E21" s="47" t="n"/>
      <c r="F21" s="47" t="n"/>
      <c r="G21" s="48" t="n"/>
      <c r="H21" s="47" t="n"/>
      <c r="I21" s="47" t="n"/>
      <c r="J21" s="47" t="n"/>
    </row>
    <row r="22" ht="30" customHeight="1" s="30">
      <c r="A22" s="46" t="n">
        <v>13</v>
      </c>
      <c r="B22" s="47" t="n"/>
      <c r="C22" s="47" t="n"/>
      <c r="D22" s="47" t="n"/>
      <c r="E22" s="47" t="n"/>
      <c r="F22" s="47" t="n"/>
      <c r="G22" s="48" t="n"/>
      <c r="H22" s="47" t="n"/>
      <c r="I22" s="47" t="n"/>
      <c r="J22" s="47" t="n"/>
    </row>
    <row r="23" ht="30" customHeight="1" s="30">
      <c r="A23" s="46" t="n">
        <v>14</v>
      </c>
      <c r="B23" s="47" t="n"/>
      <c r="C23" s="47" t="n"/>
      <c r="D23" s="47" t="n"/>
      <c r="E23" s="47" t="n"/>
      <c r="F23" s="47" t="n"/>
      <c r="G23" s="48" t="n"/>
      <c r="H23" s="47" t="n"/>
      <c r="I23" s="47" t="n"/>
      <c r="J23" s="47" t="n"/>
    </row>
    <row r="24" ht="30" customHeight="1" s="30">
      <c r="A24" s="46" t="n">
        <v>15</v>
      </c>
      <c r="B24" s="47" t="n"/>
      <c r="C24" s="47" t="n"/>
      <c r="D24" s="47" t="n"/>
      <c r="E24" s="47" t="n"/>
      <c r="F24" s="47" t="n"/>
      <c r="G24" s="48" t="n"/>
      <c r="H24" s="47" t="n"/>
      <c r="I24" s="47" t="n"/>
      <c r="J24" s="47" t="n"/>
    </row>
    <row r="25" ht="30" customHeight="1" s="30">
      <c r="A25" s="46" t="n">
        <v>16</v>
      </c>
      <c r="B25" s="47" t="n"/>
      <c r="C25" s="47" t="n"/>
      <c r="D25" s="47" t="n"/>
      <c r="E25" s="47" t="n"/>
      <c r="F25" s="47" t="n"/>
      <c r="G25" s="48" t="n"/>
      <c r="H25" s="47" t="n"/>
      <c r="I25" s="47" t="n"/>
      <c r="J25" s="47" t="n"/>
    </row>
    <row r="26" ht="30" customHeight="1" s="30">
      <c r="A26" s="46" t="n">
        <v>17</v>
      </c>
      <c r="B26" s="47" t="n"/>
      <c r="C26" s="47" t="n"/>
      <c r="D26" s="47" t="n"/>
      <c r="E26" s="47" t="n"/>
      <c r="F26" s="47" t="n"/>
      <c r="G26" s="48" t="n"/>
      <c r="H26" s="47" t="n"/>
      <c r="I26" s="47" t="n"/>
      <c r="J26" s="47" t="n"/>
    </row>
    <row r="27" ht="30" customHeight="1" s="30">
      <c r="A27" s="46" t="n">
        <v>18</v>
      </c>
      <c r="B27" s="47" t="n"/>
      <c r="C27" s="47" t="n"/>
      <c r="D27" s="47" t="n"/>
      <c r="E27" s="47" t="n"/>
      <c r="F27" s="47" t="n"/>
      <c r="G27" s="48" t="n"/>
      <c r="H27" s="47" t="n"/>
      <c r="I27" s="47" t="n"/>
      <c r="J27" s="47" t="n"/>
    </row>
    <row r="28" ht="30" customHeight="1" s="30">
      <c r="A28" s="46" t="n">
        <v>19</v>
      </c>
      <c r="B28" s="47" t="n"/>
      <c r="C28" s="47" t="n"/>
      <c r="D28" s="47" t="n"/>
      <c r="E28" s="47" t="n"/>
      <c r="F28" s="47" t="n"/>
      <c r="G28" s="48" t="n"/>
      <c r="H28" s="47" t="n"/>
      <c r="I28" s="47" t="n"/>
      <c r="J28" s="47" t="n"/>
    </row>
    <row r="30" ht="19.5" customHeight="1" s="30">
      <c r="A30" s="38" t="inlineStr">
        <is>
          <t>RESULTS  —  these calculate themselves</t>
        </is>
      </c>
    </row>
    <row r="31" ht="15" customHeight="1" s="30">
      <c r="A31" s="49" t="inlineStr">
        <is>
          <t>Total touch time (minutes)</t>
        </is>
      </c>
      <c r="E31" s="50">
        <f>SUM(E10:E28)</f>
        <v/>
      </c>
    </row>
    <row r="32" ht="15" customHeight="1" s="30">
      <c r="A32" s="49" t="inlineStr">
        <is>
          <t>Total waiting time (minutes)</t>
        </is>
      </c>
      <c r="E32" s="50">
        <f>SUM(F10:F28)</f>
        <v/>
      </c>
    </row>
    <row r="33" ht="15" customHeight="1" s="30">
      <c r="A33" s="49" t="inlineStr">
        <is>
          <t>Total lead time (minutes)</t>
        </is>
      </c>
      <c r="E33" s="50">
        <f>E31+E32</f>
        <v/>
      </c>
    </row>
    <row r="34" ht="15" customHeight="1" s="30">
      <c r="A34" s="49" t="inlineStr">
        <is>
          <t>Total lead time (hours)</t>
        </is>
      </c>
      <c r="E34" s="50">
        <f>(E31+E32)/60</f>
        <v/>
      </c>
    </row>
    <row r="35" ht="15" customHeight="1" s="30">
      <c r="A35" s="51" t="inlineStr">
        <is>
          <t>PROCESS CYCLE EFFICIENCY</t>
        </is>
      </c>
      <c r="E35" s="52">
        <f>IFERROR(E31/E33,"")</f>
        <v/>
      </c>
    </row>
    <row r="36" ht="15" customHeight="1" s="30">
      <c r="A36" s="49" t="inlineStr">
        <is>
          <t>Rolled throughput yield</t>
        </is>
      </c>
      <c r="E36" s="53">
        <f>IF(COUNT(G10:G28)=0,"",PRODUCT(G10:G28))</f>
        <v/>
      </c>
    </row>
    <row r="37" ht="15" customHeight="1" s="30">
      <c r="A37" s="49" t="inlineStr">
        <is>
          <t>Steps mapped</t>
        </is>
      </c>
      <c r="E37" s="54">
        <f>COUNTA(B10:B28)</f>
        <v/>
      </c>
    </row>
    <row r="38" ht="15" customHeight="1" s="30">
      <c r="A38" s="49" t="inlineStr">
        <is>
          <t>Non-value-add steps</t>
        </is>
      </c>
      <c r="E38" s="54">
        <f>COUNTIF(H10:H28,"Non-value-add")</f>
        <v/>
      </c>
    </row>
    <row r="39" ht="15" customHeight="1" s="30">
      <c r="A39" s="49" t="inlineStr">
        <is>
          <t>Rework loops</t>
        </is>
      </c>
      <c r="E39" s="54">
        <f>COUNTIF(I10:I28,"Yes")</f>
        <v/>
      </c>
    </row>
    <row r="40" ht="15" customHeight="1" s="30">
      <c r="A40" s="49" t="inlineStr">
        <is>
          <t>Distinct systems touched (count them yourself)</t>
        </is>
      </c>
      <c r="E40" s="55" t="n"/>
    </row>
    <row r="42" ht="19.5" customHeight="1" s="30">
      <c r="A42" s="38" t="inlineStr">
        <is>
          <t>WAITING STATES  —  rank them. The biggest one is your project.</t>
        </is>
      </c>
    </row>
    <row r="43" ht="31.5" customHeight="1" s="30">
      <c r="A43" s="43" t="inlineStr">
        <is>
          <t>Waiting state</t>
        </is>
      </c>
      <c r="B43" s="43" t="inlineStr">
        <is>
          <t>Minutes</t>
        </is>
      </c>
      <c r="C43" s="43" t="inlineStr">
        <is>
          <t>% of lead time</t>
        </is>
      </c>
      <c r="D43" s="43" t="inlineStr">
        <is>
          <t>Owner</t>
        </is>
      </c>
      <c r="E43" s="43" t="inlineStr">
        <is>
          <t>Why does it wait?</t>
        </is>
      </c>
      <c r="F43" s="43" t="n"/>
      <c r="G43" s="43" t="n"/>
      <c r="H43" s="43" t="n"/>
      <c r="I43" s="43" t="n"/>
      <c r="J43" s="43" t="n"/>
    </row>
    <row r="44" ht="15" customHeight="1" s="30">
      <c r="A44" s="56" t="inlineStr">
        <is>
          <t>Awaiting customer reply</t>
        </is>
      </c>
      <c r="B44" s="57" t="n"/>
      <c r="C44" s="58">
        <f>IFERROR(B44/$E$33,"")</f>
        <v/>
      </c>
      <c r="D44" s="57" t="n"/>
      <c r="E44" s="57" t="n"/>
    </row>
    <row r="45" ht="15" customHeight="1" s="30">
      <c r="A45" s="56" t="inlineStr">
        <is>
          <t>In queue, unassigned</t>
        </is>
      </c>
      <c r="B45" s="57" t="n"/>
      <c r="C45" s="58">
        <f>IFERROR(B45/$E$33,"")</f>
        <v/>
      </c>
      <c r="D45" s="57" t="n"/>
      <c r="E45" s="57" t="n"/>
    </row>
    <row r="46" ht="15" customHeight="1" s="30">
      <c r="A46" s="56" t="inlineStr">
        <is>
          <t>Awaiting Tier 2 / specialist</t>
        </is>
      </c>
      <c r="B46" s="57" t="n"/>
      <c r="C46" s="58">
        <f>IFERROR(B46/$E$33,"")</f>
        <v/>
      </c>
      <c r="D46" s="57" t="n"/>
      <c r="E46" s="57" t="n"/>
    </row>
    <row r="47" ht="15" customHeight="1" s="30">
      <c r="A47" s="56" t="inlineStr">
        <is>
          <t>Awaiting engineering triage</t>
        </is>
      </c>
      <c r="B47" s="57" t="n"/>
      <c r="C47" s="58">
        <f>IFERROR(B47/$E$33,"")</f>
        <v/>
      </c>
      <c r="D47" s="57" t="n"/>
      <c r="E47" s="57" t="n"/>
    </row>
    <row r="48" ht="15" customHeight="1" s="30">
      <c r="A48" s="56" t="inlineStr">
        <is>
          <t>Awaiting internal approval</t>
        </is>
      </c>
      <c r="B48" s="57" t="n"/>
      <c r="C48" s="58">
        <f>IFERROR(B48/$E$33,"")</f>
        <v/>
      </c>
      <c r="D48" s="57" t="n"/>
      <c r="E48" s="57" t="n"/>
    </row>
    <row r="49" ht="15" customHeight="1" s="30">
      <c r="A49" s="56" t="inlineStr">
        <is>
          <t>Awaiting external party</t>
        </is>
      </c>
      <c r="B49" s="57" t="n"/>
      <c r="C49" s="58">
        <f>IFERROR(B49/$E$33,"")</f>
        <v/>
      </c>
      <c r="D49" s="57" t="n"/>
      <c r="E49" s="57" t="n"/>
    </row>
  </sheetData>
  <mergeCells count="18">
    <mergeCell ref="A1:J1"/>
    <mergeCell ref="A37:D37"/>
    <mergeCell ref="B7:F7"/>
    <mergeCell ref="A31:D31"/>
    <mergeCell ref="B6:F6"/>
    <mergeCell ref="A40:D40"/>
    <mergeCell ref="A34:D34"/>
    <mergeCell ref="A35:D35"/>
    <mergeCell ref="A38:D38"/>
    <mergeCell ref="B5:F5"/>
    <mergeCell ref="A30:J30"/>
    <mergeCell ref="A39:D39"/>
    <mergeCell ref="A4:F4"/>
    <mergeCell ref="A2:J2"/>
    <mergeCell ref="A33:D33"/>
    <mergeCell ref="A42:J42"/>
    <mergeCell ref="A32:D32"/>
    <mergeCell ref="A36:D36"/>
  </mergeCells>
  <dataValidations count="2">
    <dataValidation sqref="H10:H28" showDropDown="0" showInputMessage="0" showErrorMessage="0" allowBlank="1" type="list" errorStyle="stop" operator="between">
      <formula1>"Value-add,Business-value-add,Non-value-add"</formula1>
      <formula2>0</formula2>
    </dataValidation>
    <dataValidation sqref="I10:I28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2026-07-31T15:37:50Z</dcterms:created>
  <dcterms:modified xsi:type="dcterms:W3CDTF">2026-07-31T17:06:48Z</dcterms:modified>
  <cp:revision>0</cp:revision>
</cp:coreProperties>
</file>