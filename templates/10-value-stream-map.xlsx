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Value stream"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657085"/>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1"/>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6">
    <border>
      <left/>
      <right/>
      <top/>
      <bottom/>
      <diagonal/>
    </border>
    <border>
      <left style="thin">
        <color rgb="FFD8DEE8"/>
      </left>
      <right style="thin">
        <color rgb="FFD8DEE8"/>
      </right>
      <top style="thin">
        <color rgb="FFD8DEE8"/>
      </top>
      <bottom style="thin">
        <color rgb="FFD8DEE8"/>
      </bottom>
      <diagonal/>
    </border>
    <border>
      <left/>
      <right/>
      <top style="thin">
        <color rgb="FFD8DEE8"/>
      </top>
      <bottom/>
      <diagonal/>
    </border>
    <border>
      <left/>
      <right style="thin">
        <color rgb="FFD8DEE8"/>
      </right>
      <top style="thin">
        <color rgb="FFD8DEE8"/>
      </top>
      <bottom/>
      <diagonal/>
    </border>
    <border>
      <left/>
      <right/>
      <top style="thin">
        <color rgb="FFD8DEE8"/>
      </top>
      <bottom style="thin">
        <color rgb="FFD8DEE8"/>
      </bottom>
      <diagonal/>
    </border>
    <border>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13" fillId="9" borderId="1" applyAlignment="1" pivotButton="0" quotePrefix="0" xfId="0">
      <alignment horizontal="general" vertical="top" wrapText="1"/>
    </xf>
    <xf numFmtId="9" fontId="13" fillId="9" borderId="1" applyAlignment="1" pivotButton="0" quotePrefix="0" xfId="0">
      <alignment horizontal="general" vertical="top" wrapText="1"/>
    </xf>
    <xf numFmtId="0" fontId="14" fillId="9" borderId="1" applyAlignment="1" pivotButton="0" quotePrefix="0" xfId="0">
      <alignment horizontal="center" vertical="bottom"/>
    </xf>
    <xf numFmtId="0" fontId="15" fillId="9" borderId="1" applyAlignment="1" pivotButton="0" quotePrefix="0" xfId="0">
      <alignment horizontal="general" vertical="top" wrapText="1"/>
    </xf>
    <xf numFmtId="9" fontId="15"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15" fillId="9" borderId="1" applyAlignment="1" pivotButton="0" quotePrefix="0" xfId="0">
      <alignment horizontal="general" vertical="bottom"/>
    </xf>
    <xf numFmtId="0" fontId="15" fillId="9" borderId="1" applyAlignment="1" pivotButton="0" quotePrefix="0" xfId="0">
      <alignment vertical="top" wrapText="1"/>
    </xf>
    <xf numFmtId="0" fontId="20" fillId="0" borderId="0" pivotButton="0" quotePrefix="0" xfId="0"/>
    <xf numFmtId="0" fontId="14" fillId="11" borderId="1" applyAlignment="1" pivotButton="0" quotePrefix="0" xfId="0">
      <alignment horizontal="center" vertical="bottom"/>
    </xf>
    <xf numFmtId="0" fontId="13" fillId="11" borderId="1" applyAlignment="1" pivotButton="0" quotePrefix="0" xfId="0">
      <alignment horizontal="general" vertical="top" wrapText="1"/>
    </xf>
    <xf numFmtId="9" fontId="13" fillId="11" borderId="1" applyAlignment="1" pivotButton="0" quotePrefix="0" xfId="0">
      <alignment horizontal="general" vertical="top" wrapText="1"/>
    </xf>
    <xf numFmtId="0" fontId="15" fillId="11" borderId="1" applyAlignment="1" pivotButton="0" quotePrefix="0" xfId="0">
      <alignment horizontal="general" vertical="top" wrapText="1"/>
    </xf>
    <xf numFmtId="9" fontId="15" fillId="11" borderId="1" applyAlignment="1" pivotButton="0" quotePrefix="0" xfId="0">
      <alignment horizontal="general" vertical="top" wrapText="1"/>
    </xf>
    <xf numFmtId="0" fontId="15" fillId="11" borderId="1" applyAlignment="1" pivotButton="0" quotePrefix="0" xfId="0">
      <alignment horizontal="general" vertical="bottom"/>
    </xf>
    <xf numFmtId="0" fontId="15" fillId="11" borderId="1" applyAlignment="1" pivotButton="0" quotePrefix="0" xfId="0">
      <alignment vertical="top" wrapText="1"/>
    </xf>
    <xf numFmtId="0" fontId="20" fillId="0" borderId="0" applyAlignment="1" pivotButton="0" quotePrefix="0" xfId="0">
      <alignment vertical="top" wrapText="1"/>
    </xf>
    <xf numFmtId="0" fontId="0" fillId="0" borderId="4" pivotButton="0" quotePrefix="0" xfId="0"/>
    <xf numFmtId="0" fontId="0" fillId="0" borderId="5" pivotButton="0" quotePrefix="0" xfId="0"/>
    <xf numFmtId="0" fontId="20" fillId="0" borderId="0" applyAlignment="1" pivotButton="0" quotePrefix="0" xfId="0">
      <alignment vertical="center" wrapText="1"/>
    </xf>
    <xf numFmtId="0" fontId="10" fillId="4" borderId="0" applyAlignment="1" pivotButton="0" quotePrefix="0" xfId="0">
      <alignment vertical="center" wrapText="1"/>
    </xf>
    <xf numFmtId="0" fontId="21"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time actually goes, step by step</a:t>
            </a:r>
          </a:p>
        </rich>
      </tx>
    </title>
    <plotArea>
      <barChart>
        <barDir val="col"/>
        <grouping val="stacked"/>
        <ser>
          <idx val="0"/>
          <order val="0"/>
          <tx>
            <v>Touch time</v>
          </tx>
          <spPr>
            <a:solidFill>
              <a:srgbClr val="3F8F5A"/>
            </a:solidFill>
            <a:ln>
              <a:prstDash val="solid"/>
            </a:ln>
          </spPr>
          <invertIfNegative val="0"/>
          <cat>
            <numRef>
              <f>'Value stream'!$B$10:$B$28</f>
            </numRef>
          </cat>
          <val>
            <numRef>
              <f>'Value stream'!$E$10:$E$28</f>
            </numRef>
          </val>
        </ser>
        <ser>
          <idx val="1"/>
          <order val="1"/>
          <tx>
            <v>Waiting</v>
          </tx>
          <spPr>
            <a:solidFill>
              <a:srgbClr val="C0392B"/>
            </a:solidFill>
            <a:ln>
              <a:prstDash val="solid"/>
            </a:ln>
          </spPr>
          <invertIfNegative val="0"/>
          <cat>
            <numRef>
              <f>'Value stream'!$B$10:$B$28</f>
            </numRef>
          </cat>
          <val>
            <numRef>
              <f>'Value stream'!$F$10:$F$28</f>
            </numRef>
          </val>
        </ser>
        <gapWidth val="150"/>
        <overlap val="100"/>
        <axId val="10"/>
        <axId val="100"/>
      </barChart>
      <lineChart>
        <grouping val="standard"/>
        <ser>
          <idx val="2"/>
          <order val="2"/>
          <tx>
            <v>Average wait per step</v>
          </tx>
          <spPr>
            <a:ln w="18000">
              <a:solidFill>
                <a:srgbClr val="C0392B"/>
              </a:solidFill>
              <a:prstDash val="dash"/>
            </a:ln>
          </spPr>
          <marker>
            <symbol val="none"/>
            <spPr>
              <a:ln>
                <a:prstDash val="solid"/>
              </a:ln>
            </spPr>
          </marker>
          <val>
            <numRef>
              <f>'Value stream'!$L$10:$L$28</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Minutes</a:t>
                </a:r>
              </a:p>
            </rich>
          </tx>
        </title>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Value Stream Map — where the customer's time actually goes</t>
        </is>
      </c>
    </row>
    <row r="3" ht="25.5" customHeight="1" s="30">
      <c r="B3" s="32" t="inlineStr">
        <is>
          <t>Support processes look busy but are mostly waiting. This sheet measures that precisely, and the number it produces changes almost every conversation about where to improve.</t>
        </is>
      </c>
    </row>
    <row r="4"/>
    <row r="5" ht="24" customHeight="1" s="30">
      <c r="B5" s="33" t="inlineStr">
        <is>
          <t>What to do</t>
        </is>
      </c>
    </row>
    <row r="6" ht="25.5" customHeight="1" s="30">
      <c r="B6" s="34" t="inlineStr">
        <is>
          <t>1.  Pull 20 to 30 completed cases of the same type and reconstruct their timeline from timestamps.</t>
        </is>
      </c>
    </row>
    <row r="7" ht="15" customHeight="1" s="30">
      <c r="B7" s="34" t="inlineStr">
        <is>
          <t>2.  List the steps in order down column B.</t>
        </is>
      </c>
    </row>
    <row r="8" ht="25.5" customHeight="1" s="30">
      <c r="B8" s="34" t="inlineStr">
        <is>
          <t>3.  For each step record the touch time — minutes anyone was actively working on it — and the waiting time BEFORE that step.</t>
        </is>
      </c>
    </row>
    <row r="9" ht="25.5" customHeight="1" s="30">
      <c r="B9" s="34" t="inlineStr">
        <is>
          <t>4.  Record % complete and accurate: the share arriving in good enough shape to work without going back.</t>
        </is>
      </c>
    </row>
    <row r="10" ht="15" customHeight="1" s="30">
      <c r="B10" s="34" t="inlineStr">
        <is>
          <t>5.  Read the results block. Process Cycle Efficiency is the headline.</t>
        </is>
      </c>
    </row>
    <row r="11"/>
    <row r="12" ht="24" customHeight="1" s="30">
      <c r="B12" s="33" t="inlineStr">
        <is>
          <t>How to read the result</t>
        </is>
      </c>
    </row>
    <row r="13" ht="39" customHeight="1" s="30">
      <c r="B13" s="32" t="inlineStr">
        <is>
          <t>In support, Process Cycle Efficiency is typically between 1% and 8%. That means 92% to 99% of the customer's wait is queue time, not work time. Making agents faster barely moves it; removing a waiting state moves it a lot.</t>
        </is>
      </c>
    </row>
    <row r="14" ht="25.5" customHeight="1" s="30">
      <c r="B14" s="32" t="inlineStr">
        <is>
          <t>Then rank the waiting states. Any single one taking more than about 10% of total lead time is a project in its own right.</t>
        </is>
      </c>
    </row>
    <row r="15"/>
    <row r="16" ht="25.5" customHeight="1" s="30">
      <c r="B16" s="35" t="inlineStr">
        <is>
          <t>Map what actually happens, not what the standard operating procedure says. Sit with an agent and watch. The gap between the two is usually where your problem lives.</t>
        </is>
      </c>
    </row>
    <row r="17"/>
    <row r="18"/>
    <row r="19" ht="26" customHeight="1" s="30">
      <c r="A19" s="82" t="inlineStr">
        <is>
          <t>WHAT THE COLUMNS MEAN — the short version sits above each table; this is the same thing with the worked example</t>
        </is>
      </c>
    </row>
    <row r="20" ht="44" customHeight="1" s="30">
      <c r="A20" s="81" t="inlineStr">
        <is>
          <t>Touch time = minutes anyone is actually working on the contact at that step, not the minutes it sits at that step. The whole map totals 26 minutes of touch inside 2,426 minutes of lead time (E31, E33) — 1.07% (E35). That ratio is the point of the map: the waste is almost never in the working</t>
        </is>
      </c>
    </row>
    <row r="21" ht="39" customHeight="1" s="30">
      <c r="A21" s="81" t="inlineStr">
        <is>
          <t>% of lead time = that wait as a percentage of the whole door-to-door lead time, 2,426 minutes here (E33), not of the total waiting. Measuring each wait against the other waits makes every one look large and tells you nothing about which to remove</t>
        </is>
      </c>
    </row>
    <row r="22"/>
    <row r="23"/>
    <row r="24"/>
    <row r="25"/>
    <row r="26"/>
    <row r="27"/>
    <row r="28"/>
    <row r="29"/>
    <row r="30"/>
    <row r="31"/>
    <row r="32"/>
    <row r="33"/>
    <row r="34"/>
    <row r="35"/>
    <row r="36"/>
    <row r="37"/>
    <row r="38"/>
    <row r="39"/>
    <row r="40"/>
  </sheetData>
  <mergeCells count="3">
    <mergeCell ref="A20:B20"/>
    <mergeCell ref="A21:B21"/>
    <mergeCell ref="A19:B19"/>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V50"/>
  <sheetViews>
    <sheetView showFormulas="0" showGridLines="1"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9" min="1" max="1"/>
    <col width="34" customWidth="1" style="29" min="2" max="2"/>
    <col width="15" customWidth="1" style="29" min="3" max="3"/>
    <col width="22" customWidth="1" style="29" min="4" max="4"/>
    <col width="13" customWidth="1" style="29" min="5" max="5"/>
    <col width="15" customWidth="1" style="29" min="6" max="10"/>
    <col width="13" customWidth="1" style="30" min="7" max="7"/>
    <col width="15" customWidth="1" style="30" min="8" max="8"/>
    <col width="11" customWidth="1" style="30" min="9" max="9"/>
    <col width="34" customWidth="1" style="30" min="10" max="10"/>
    <col width="13" customWidth="1" style="30" min="11" max="11"/>
    <col width="13" customWidth="1" style="30" min="12" max="12"/>
    <col width="13" customWidth="1" style="30" min="14" max="14"/>
    <col width="13" customWidth="1" style="30" min="15" max="15"/>
    <col width="13" customWidth="1" style="30" min="16" max="16"/>
    <col width="13" customWidth="1" style="30" min="17" max="17"/>
    <col width="13" customWidth="1" style="30" min="18" max="18"/>
    <col width="13" customWidth="1" style="30" min="19" max="19"/>
    <col width="13" customWidth="1" style="30" min="20" max="20"/>
    <col width="13" customWidth="1" style="30" min="21" max="21"/>
    <col width="13" customWidth="1" style="30" min="22" max="22"/>
  </cols>
  <sheetData>
    <row r="1" ht="25.5" customHeight="1" s="30">
      <c r="A1" s="36" t="inlineStr">
        <is>
          <t>Value Stream Map  —  where does the customer's time actually go?</t>
        </is>
      </c>
    </row>
    <row r="2" ht="27.75" customHeight="1" s="30">
      <c r="A2" s="37" t="inlineStr">
        <is>
          <t>Reconstruct 20–30 real cases from timestamps. Process Cycle Efficiency and rolled throughput yield calculate themselves.</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36" customHeight="1" s="30">
      <c r="A8" s="79" t="inlineStr">
        <is>
          <t xml:space="preserve">  ·  Key:
• Touch time = minutes anyone is actually working on the contact at that step, not the minutes it sits at that step.</t>
        </is>
      </c>
    </row>
    <row r="9" ht="31.5" customHeight="1" s="30">
      <c r="A9" s="43" t="inlineStr">
        <is>
          <t>#</t>
        </is>
      </c>
      <c r="B9" s="43" t="inlineStr">
        <is>
          <t>Step</t>
        </is>
      </c>
      <c r="C9" s="43" t="inlineStr">
        <is>
          <t>Who does it</t>
        </is>
      </c>
      <c r="D9" s="43" t="inlineStr">
        <is>
          <t>Systems used</t>
        </is>
      </c>
      <c r="E9" s="43" t="inlineStr">
        <is>
          <t>Touch time (min)</t>
        </is>
      </c>
      <c r="F9" s="43" t="inlineStr">
        <is>
          <t>Wait BEFORE this step (min)</t>
        </is>
      </c>
      <c r="G9" s="43" t="inlineStr">
        <is>
          <t>% complete &amp;amp; accurate</t>
        </is>
      </c>
      <c r="H9" s="43" t="inlineStr">
        <is>
          <t>Value type</t>
        </is>
      </c>
      <c r="I9" s="43" t="inlineStr">
        <is>
          <t>Rework loop?</t>
        </is>
      </c>
      <c r="J9" s="43" t="inlineStr">
        <is>
          <t>Notes</t>
        </is>
      </c>
      <c r="L9" s="64" t="inlineStr">
        <is>
          <t>Average wait</t>
        </is>
      </c>
    </row>
    <row r="10" ht="113.4" customHeight="1" s="30">
      <c r="A10" s="59" t="n">
        <v>1</v>
      </c>
      <c r="B10" s="59" t="inlineStr">
        <is>
          <t>Customer submits the form</t>
        </is>
      </c>
      <c r="C10" s="59" t="inlineStr">
        <is>
          <t>Customer</t>
        </is>
      </c>
      <c r="D10" s="59" t="inlineStr">
        <is>
          <t>Help centre</t>
        </is>
      </c>
      <c r="E10" s="59" t="n">
        <v>2</v>
      </c>
      <c r="F10" s="59" t="n">
        <v>0</v>
      </c>
      <c r="G10" s="60" t="n">
        <v>0.92</v>
      </c>
      <c r="H10" s="59" t="inlineStr">
        <is>
          <t>Value-add</t>
        </is>
      </c>
      <c r="I10" s="59" t="inlineStr">
        <is>
          <t>No</t>
        </is>
      </c>
      <c r="J10" s="59" t="inlineStr">
        <is>
          <t>Form has 3 fields nobody reads</t>
        </is>
      </c>
      <c r="L10" s="65">
        <f>IF(B10="","",AVERAGE($F$10:$F$28))</f>
        <v/>
      </c>
    </row>
    <row r="11" ht="30" customHeight="1" s="30">
      <c r="A11" s="61" t="n">
        <v>2</v>
      </c>
      <c r="B11" s="62" t="inlineStr">
        <is>
          <t>Sits in the unassigned queue</t>
        </is>
      </c>
      <c r="C11" s="62" t="inlineStr">
        <is>
          <t>—</t>
        </is>
      </c>
      <c r="D11" s="62" t="inlineStr">
        <is>
          <t>Zendesk</t>
        </is>
      </c>
      <c r="E11" s="62" t="n">
        <v>0</v>
      </c>
      <c r="F11" s="62" t="n">
        <v>240</v>
      </c>
      <c r="G11" s="63" t="n">
        <v>1</v>
      </c>
      <c r="H11" s="62" t="inlineStr">
        <is>
          <t>Non-value-add</t>
        </is>
      </c>
      <c r="I11" s="62" t="inlineStr">
        <is>
          <t>No</t>
        </is>
      </c>
      <c r="J11" s="62" t="inlineStr">
        <is>
          <t>Overnight arrivals wait until the morning shift</t>
        </is>
      </c>
      <c r="L11" s="65">
        <f>IF(B11="","",AVERAGE($F$10:$F$28))</f>
        <v/>
      </c>
    </row>
    <row r="12" ht="30" customHeight="1" s="30">
      <c r="A12" s="61" t="n">
        <v>3</v>
      </c>
      <c r="B12" s="62" t="inlineStr">
        <is>
          <t>Tier 1 triage and tagging</t>
        </is>
      </c>
      <c r="C12" s="62" t="inlineStr">
        <is>
          <t>Tier 1</t>
        </is>
      </c>
      <c r="D12" s="62" t="inlineStr">
        <is>
          <t>Zendesk</t>
        </is>
      </c>
      <c r="E12" s="62" t="n">
        <v>4</v>
      </c>
      <c r="F12" s="62" t="n">
        <v>0</v>
      </c>
      <c r="G12" s="63" t="n">
        <v>0.78</v>
      </c>
      <c r="H12" s="62" t="inlineStr">
        <is>
          <t>Business-value-add</t>
        </is>
      </c>
      <c r="I12" s="62" t="inlineStr">
        <is>
          <t>No</t>
        </is>
      </c>
      <c r="J12" s="62" t="inlineStr">
        <is>
          <t>22% get the wrong contact reason, which breaks routing</t>
        </is>
      </c>
      <c r="L12" s="65">
        <f>IF(B12="","",AVERAGE($F$10:$F$28))</f>
        <v/>
      </c>
    </row>
    <row r="13" ht="30" customHeight="1" s="30">
      <c r="A13" s="61" t="n">
        <v>4</v>
      </c>
      <c r="B13" s="62" t="inlineStr">
        <is>
          <t>Waits for the daily Billing Ops sweep</t>
        </is>
      </c>
      <c r="C13" s="62" t="inlineStr">
        <is>
          <t>—</t>
        </is>
      </c>
      <c r="D13" s="62" t="inlineStr">
        <is>
          <t>Zendesk</t>
        </is>
      </c>
      <c r="E13" s="62" t="n">
        <v>0</v>
      </c>
      <c r="F13" s="62" t="n">
        <v>480</v>
      </c>
      <c r="G13" s="63" t="n">
        <v>1</v>
      </c>
      <c r="H13" s="62" t="inlineStr">
        <is>
          <t>Non-value-add</t>
        </is>
      </c>
      <c r="I13" s="62" t="inlineStr">
        <is>
          <t>No</t>
        </is>
      </c>
      <c r="J13" s="62" t="inlineStr">
        <is>
          <t>Billing Ops pull the queue once a day at 10:00</t>
        </is>
      </c>
      <c r="L13" s="65">
        <f>IF(B13="","",AVERAGE($F$10:$F$28))</f>
        <v/>
      </c>
    </row>
    <row r="14" ht="30" customHeight="1" s="30">
      <c r="A14" s="61" t="n">
        <v>5</v>
      </c>
      <c r="B14" s="62" t="inlineStr">
        <is>
          <t>Billing Ops checks the posting</t>
        </is>
      </c>
      <c r="C14" s="62" t="inlineStr">
        <is>
          <t>Billing Ops</t>
        </is>
      </c>
      <c r="D14" s="62" t="inlineStr">
        <is>
          <t>Billing console + warehouse</t>
        </is>
      </c>
      <c r="E14" s="62" t="n">
        <v>11</v>
      </c>
      <c r="F14" s="62" t="n">
        <v>0</v>
      </c>
      <c r="G14" s="63" t="n">
        <v>0.85</v>
      </c>
      <c r="H14" s="62" t="inlineStr">
        <is>
          <t>Value-add</t>
        </is>
      </c>
      <c r="I14" s="62" t="inlineStr">
        <is>
          <t>Yes</t>
        </is>
      </c>
      <c r="J14" s="62" t="inlineStr">
        <is>
          <t>15% bounce back to Tier 1 for missing evidence</t>
        </is>
      </c>
      <c r="L14" s="65">
        <f>IF(B14="","",AVERAGE($F$10:$F$28))</f>
        <v/>
      </c>
    </row>
    <row r="15" ht="30" customHeight="1" s="30">
      <c r="A15" s="61" t="n">
        <v>6</v>
      </c>
      <c r="B15" s="62" t="inlineStr">
        <is>
          <t>Waits for the nightly adjustment batch</t>
        </is>
      </c>
      <c r="C15" s="62" t="inlineStr">
        <is>
          <t>—</t>
        </is>
      </c>
      <c r="D15" s="62" t="inlineStr">
        <is>
          <t>Billing platform</t>
        </is>
      </c>
      <c r="E15" s="62" t="n">
        <v>0</v>
      </c>
      <c r="F15" s="62" t="n">
        <v>720</v>
      </c>
      <c r="G15" s="63" t="n">
        <v>1</v>
      </c>
      <c r="H15" s="62" t="inlineStr">
        <is>
          <t>Non-value-add</t>
        </is>
      </c>
      <c r="I15" s="62" t="inlineStr">
        <is>
          <t>No</t>
        </is>
      </c>
      <c r="J15" s="62" t="inlineStr">
        <is>
          <t>Cut-off is 18:00; miss it and you wait another day</t>
        </is>
      </c>
      <c r="L15" s="65">
        <f>IF(B15="","",AVERAGE($F$10:$F$28))</f>
        <v/>
      </c>
    </row>
    <row r="16" ht="30" customHeight="1" s="30">
      <c r="A16" s="61" t="n">
        <v>7</v>
      </c>
      <c r="B16" s="62" t="inlineStr">
        <is>
          <t>Adjustment posts, agent verifies</t>
        </is>
      </c>
      <c r="C16" s="62" t="inlineStr">
        <is>
          <t>Billing Ops</t>
        </is>
      </c>
      <c r="D16" s="62" t="inlineStr">
        <is>
          <t>Billing console</t>
        </is>
      </c>
      <c r="E16" s="62" t="n">
        <v>6</v>
      </c>
      <c r="F16" s="62" t="n">
        <v>0</v>
      </c>
      <c r="G16" s="63" t="n">
        <v>0.9399999999999999</v>
      </c>
      <c r="H16" s="62" t="inlineStr">
        <is>
          <t>Value-add</t>
        </is>
      </c>
      <c r="I16" s="62" t="inlineStr">
        <is>
          <t>No</t>
        </is>
      </c>
      <c r="J16" s="72" t="inlineStr"/>
      <c r="L16" s="65">
        <f>IF(B16="","",AVERAGE($F$10:$F$28))</f>
        <v/>
      </c>
    </row>
    <row r="17" ht="30" customHeight="1" s="30">
      <c r="A17" s="61" t="n">
        <v>8</v>
      </c>
      <c r="B17" s="62" t="inlineStr">
        <is>
          <t>Waits for the customer to confirm</t>
        </is>
      </c>
      <c r="C17" s="62" t="inlineStr">
        <is>
          <t>Customer</t>
        </is>
      </c>
      <c r="D17" s="62" t="inlineStr">
        <is>
          <t>Email</t>
        </is>
      </c>
      <c r="E17" s="62" t="n">
        <v>0</v>
      </c>
      <c r="F17" s="62" t="n">
        <v>960</v>
      </c>
      <c r="G17" s="63" t="n">
        <v>1</v>
      </c>
      <c r="H17" s="62" t="inlineStr">
        <is>
          <t>Non-value-add</t>
        </is>
      </c>
      <c r="I17" s="62" t="inlineStr">
        <is>
          <t>No</t>
        </is>
      </c>
      <c r="J17" s="62" t="inlineStr">
        <is>
          <t>Nothing chases the customer; this is the longest single wait</t>
        </is>
      </c>
      <c r="L17" s="65">
        <f>IF(B17="","",AVERAGE($F$10:$F$28))</f>
        <v/>
      </c>
    </row>
    <row r="18" ht="30" customHeight="1" s="30">
      <c r="A18" s="61" t="n">
        <v>9</v>
      </c>
      <c r="B18" s="62" t="inlineStr">
        <is>
          <t>Agent closes and confirms</t>
        </is>
      </c>
      <c r="C18" s="62" t="inlineStr">
        <is>
          <t>Tier 1</t>
        </is>
      </c>
      <c r="D18" s="62" t="inlineStr">
        <is>
          <t>Zendesk</t>
        </is>
      </c>
      <c r="E18" s="62" t="n">
        <v>3</v>
      </c>
      <c r="F18" s="62" t="n">
        <v>0</v>
      </c>
      <c r="G18" s="63" t="n">
        <v>0.97</v>
      </c>
      <c r="H18" s="62" t="inlineStr">
        <is>
          <t>Value-add</t>
        </is>
      </c>
      <c r="I18" s="62" t="inlineStr">
        <is>
          <t>No</t>
        </is>
      </c>
      <c r="J18" s="72" t="inlineStr"/>
      <c r="L18" s="65">
        <f>IF(B18="","",AVERAGE($F$10:$F$28))</f>
        <v/>
      </c>
    </row>
    <row r="19" ht="30" customHeight="1" s="30">
      <c r="A19" s="69" t="n">
        <v>10</v>
      </c>
      <c r="B19" s="47" t="n"/>
      <c r="C19" s="47" t="n"/>
      <c r="D19" s="47" t="n"/>
      <c r="E19" s="47" t="n"/>
      <c r="F19" s="47" t="n"/>
      <c r="G19" s="48" t="n"/>
      <c r="H19" s="47" t="n"/>
      <c r="I19" s="47" t="n"/>
      <c r="J19" s="47" t="n"/>
      <c r="L19" s="65">
        <f>IF(B19="","",AVERAGE($F$10:$F$28))</f>
        <v/>
      </c>
    </row>
    <row r="20" ht="30" customHeight="1" s="30">
      <c r="A20" s="69" t="n">
        <v>11</v>
      </c>
      <c r="B20" s="47" t="n"/>
      <c r="C20" s="47" t="n"/>
      <c r="D20" s="47" t="n"/>
      <c r="E20" s="47" t="n"/>
      <c r="F20" s="47" t="n"/>
      <c r="G20" s="48" t="n"/>
      <c r="H20" s="47" t="n"/>
      <c r="I20" s="47" t="n"/>
      <c r="J20" s="47" t="n"/>
      <c r="L20" s="65">
        <f>IF(B20="","",AVERAGE($F$10:$F$28))</f>
        <v/>
      </c>
    </row>
    <row r="21" ht="30" customHeight="1" s="30">
      <c r="A21" s="69" t="n">
        <v>12</v>
      </c>
      <c r="B21" s="47" t="n"/>
      <c r="C21" s="47" t="n"/>
      <c r="D21" s="47" t="n"/>
      <c r="E21" s="47" t="n"/>
      <c r="F21" s="47" t="n"/>
      <c r="G21" s="48" t="n"/>
      <c r="H21" s="47" t="n"/>
      <c r="I21" s="47" t="n"/>
      <c r="J21" s="47" t="n"/>
      <c r="L21" s="65">
        <f>IF(B21="","",AVERAGE($F$10:$F$28))</f>
        <v/>
      </c>
    </row>
    <row r="22" ht="30" customHeight="1" s="30">
      <c r="A22" s="69" t="n">
        <v>13</v>
      </c>
      <c r="B22" s="47" t="n"/>
      <c r="C22" s="47" t="n"/>
      <c r="D22" s="47" t="n"/>
      <c r="E22" s="47" t="n"/>
      <c r="F22" s="47" t="n"/>
      <c r="G22" s="48" t="n"/>
      <c r="H22" s="47" t="n"/>
      <c r="I22" s="47" t="n"/>
      <c r="J22" s="47" t="n"/>
      <c r="L22" s="65">
        <f>IF(B22="","",AVERAGE($F$10:$F$28))</f>
        <v/>
      </c>
    </row>
    <row r="23" ht="30" customHeight="1" s="30">
      <c r="A23" s="69" t="n">
        <v>14</v>
      </c>
      <c r="B23" s="47" t="n"/>
      <c r="C23" s="47" t="n"/>
      <c r="D23" s="47" t="n"/>
      <c r="E23" s="47" t="n"/>
      <c r="F23" s="47" t="n"/>
      <c r="G23" s="48" t="n"/>
      <c r="H23" s="47" t="n"/>
      <c r="I23" s="47" t="n"/>
      <c r="J23" s="47" t="n"/>
      <c r="L23" s="65">
        <f>IF(B23="","",AVERAGE($F$10:$F$28))</f>
        <v/>
      </c>
    </row>
    <row r="24" ht="30" customHeight="1" s="30">
      <c r="A24" s="69" t="n">
        <v>15</v>
      </c>
      <c r="B24" s="47" t="n"/>
      <c r="C24" s="47" t="n"/>
      <c r="D24" s="47" t="n"/>
      <c r="E24" s="47" t="n"/>
      <c r="F24" s="47" t="n"/>
      <c r="G24" s="48" t="n"/>
      <c r="H24" s="47" t="n"/>
      <c r="I24" s="47" t="n"/>
      <c r="J24" s="47" t="n"/>
      <c r="L24" s="65">
        <f>IF(B24="","",AVERAGE($F$10:$F$28))</f>
        <v/>
      </c>
    </row>
    <row r="25" ht="30" customHeight="1" s="30">
      <c r="A25" s="69" t="n">
        <v>16</v>
      </c>
      <c r="B25" s="47" t="n"/>
      <c r="C25" s="47" t="n"/>
      <c r="D25" s="47" t="n"/>
      <c r="E25" s="47" t="n"/>
      <c r="F25" s="47" t="n"/>
      <c r="G25" s="48" t="n"/>
      <c r="H25" s="47" t="n"/>
      <c r="I25" s="47" t="n"/>
      <c r="J25" s="47" t="n"/>
      <c r="L25" s="65">
        <f>IF(B25="","",AVERAGE($F$10:$F$28))</f>
        <v/>
      </c>
    </row>
    <row r="26" ht="30" customHeight="1" s="30">
      <c r="A26" s="69" t="n">
        <v>17</v>
      </c>
      <c r="B26" s="47" t="n"/>
      <c r="C26" s="47" t="n"/>
      <c r="D26" s="47" t="n"/>
      <c r="E26" s="47" t="n"/>
      <c r="F26" s="47" t="n"/>
      <c r="G26" s="48" t="n"/>
      <c r="H26" s="47" t="n"/>
      <c r="I26" s="47" t="n"/>
      <c r="J26" s="47" t="n"/>
      <c r="L26" s="65">
        <f>IF(B26="","",AVERAGE($F$10:$F$28))</f>
        <v/>
      </c>
    </row>
    <row r="27" ht="30" customHeight="1" s="30">
      <c r="A27" s="69" t="n">
        <v>18</v>
      </c>
      <c r="B27" s="47" t="n"/>
      <c r="C27" s="47" t="n"/>
      <c r="D27" s="47" t="n"/>
      <c r="E27" s="47" t="n"/>
      <c r="F27" s="47" t="n"/>
      <c r="G27" s="48" t="n"/>
      <c r="H27" s="47" t="n"/>
      <c r="I27" s="47" t="n"/>
      <c r="J27" s="47" t="n"/>
      <c r="L27" s="65">
        <f>IF(B27="","",AVERAGE($F$10:$F$28))</f>
        <v/>
      </c>
    </row>
    <row r="28" ht="30" customHeight="1" s="30">
      <c r="A28" s="69" t="n">
        <v>19</v>
      </c>
      <c r="B28" s="47" t="n"/>
      <c r="C28" s="47" t="n"/>
      <c r="D28" s="47" t="n"/>
      <c r="E28" s="47" t="n"/>
      <c r="F28" s="47" t="n"/>
      <c r="G28" s="48" t="n"/>
      <c r="H28" s="47" t="n"/>
      <c r="I28" s="47" t="n"/>
      <c r="J28" s="47" t="n"/>
      <c r="L28" s="65">
        <f>IF(B28="","",AVERAGE($F$10:$F$28))</f>
        <v/>
      </c>
    </row>
    <row r="29" ht="66" customHeight="1" s="30">
      <c r="N29" s="81" t="inlineStr">
        <is>
          <t>HOW TO READ IT.  Working time and waiting time on the same axis, one pair per step. The worked example totals 26 minutes of touch inside 2,426 minutes of lead time — 1.07%. What should worry you is a tall wait bar next to a step nobody owns: that is the queue to attack, and it is almost never the step people expect.
SO:  Attack the waiting, not the working. At 1.07% efficiency, halving every touch time on the map would save 13 minutes of 2,426 — the queues are the project.</t>
        </is>
      </c>
    </row>
    <row r="30" ht="19.5" customHeight="1" s="30">
      <c r="A30" s="38" t="inlineStr">
        <is>
          <t>RESULTS  —  these calculate themselves</t>
        </is>
      </c>
    </row>
    <row r="31" ht="15" customHeight="1" s="30">
      <c r="A31" s="49" t="inlineStr">
        <is>
          <t>Total touch time (minutes)</t>
        </is>
      </c>
      <c r="E31" s="50">
        <f>SUM(E10:E28)</f>
        <v/>
      </c>
    </row>
    <row r="32" ht="15" customHeight="1" s="30">
      <c r="A32" s="49" t="inlineStr">
        <is>
          <t>Total waiting time (minutes)</t>
        </is>
      </c>
      <c r="E32" s="50">
        <f>SUM(F10:F28)</f>
        <v/>
      </c>
    </row>
    <row r="33" ht="15" customHeight="1" s="30">
      <c r="A33" s="49" t="inlineStr">
        <is>
          <t>Total lead time (minutes)</t>
        </is>
      </c>
      <c r="E33" s="50">
        <f>E31+E32</f>
        <v/>
      </c>
    </row>
    <row r="34" ht="15" customHeight="1" s="30">
      <c r="A34" s="49" t="inlineStr">
        <is>
          <t>Total lead time (hours)</t>
        </is>
      </c>
      <c r="E34" s="50">
        <f>(E31+E32)/60</f>
        <v/>
      </c>
    </row>
    <row r="35" ht="15" customHeight="1" s="30">
      <c r="A35" s="51" t="inlineStr">
        <is>
          <t>PROCESS CYCLE EFFICIENCY</t>
        </is>
      </c>
      <c r="E35" s="52">
        <f>IFERROR(E31/E33,"")</f>
        <v/>
      </c>
    </row>
    <row r="36" ht="15" customHeight="1" s="30">
      <c r="A36" s="49" t="inlineStr">
        <is>
          <t>Rolled throughput yield</t>
        </is>
      </c>
      <c r="E36" s="53">
        <f>IF(COUNT(G10:G28)=0,"",PRODUCT(G10:G28))</f>
        <v/>
      </c>
    </row>
    <row r="37" ht="15" customHeight="1" s="30">
      <c r="A37" s="49" t="inlineStr">
        <is>
          <t>Steps mapped</t>
        </is>
      </c>
      <c r="E37" s="54">
        <f>COUNTA(B10:B28)</f>
        <v/>
      </c>
    </row>
    <row r="38" ht="15" customHeight="1" s="30">
      <c r="A38" s="49" t="inlineStr">
        <is>
          <t>Non-value-add steps</t>
        </is>
      </c>
      <c r="E38" s="54">
        <f>COUNTIF(H10:H28,"Non-value-add")</f>
        <v/>
      </c>
    </row>
    <row r="39" ht="15" customHeight="1" s="30">
      <c r="A39" s="49" t="inlineStr">
        <is>
          <t>Rework loops</t>
        </is>
      </c>
      <c r="E39" s="54">
        <f>COUNTIF(I10:I28,"Yes")</f>
        <v/>
      </c>
    </row>
    <row r="40" ht="15" customHeight="1" s="30">
      <c r="A40" s="49" t="inlineStr">
        <is>
          <t>Distinct systems touched (count them yourself)</t>
        </is>
      </c>
      <c r="E40" s="55" t="n"/>
    </row>
    <row r="41"/>
    <row r="42" ht="36" customHeight="1" s="30">
      <c r="A42" s="80" t="inlineStr">
        <is>
          <t>WAITING STATES  —  rank them. The biggest one is your project.  ·  Key:
• % of lead time = that wait as a percentage of the whole door-to-door lead time, 2,426 minutes here (E33), not of the total waiting.</t>
        </is>
      </c>
    </row>
    <row r="43" ht="31.5" customHeight="1" s="30">
      <c r="A43" s="43" t="inlineStr">
        <is>
          <t>Waiting state</t>
        </is>
      </c>
      <c r="B43" s="43" t="inlineStr">
        <is>
          <t>Minutes</t>
        </is>
      </c>
      <c r="C43" s="43" t="inlineStr">
        <is>
          <t>% of lead time</t>
        </is>
      </c>
      <c r="D43" s="43" t="inlineStr">
        <is>
          <t>Owner</t>
        </is>
      </c>
      <c r="E43" s="43" t="inlineStr">
        <is>
          <t>Why does it wait?</t>
        </is>
      </c>
      <c r="F43" s="43" t="n"/>
      <c r="G43" s="43" t="n"/>
      <c r="H43" s="43" t="n"/>
      <c r="I43" s="43" t="n"/>
      <c r="J43" s="43" t="n"/>
    </row>
    <row r="44" ht="44" customHeight="1" s="30">
      <c r="A44" s="56" t="inlineStr">
        <is>
          <t>Awaiting customer reply</t>
        </is>
      </c>
      <c r="B44" s="66" t="n">
        <v>960</v>
      </c>
      <c r="C44" s="58">
        <f>IFERROR(B44/$E$33,"")</f>
        <v/>
      </c>
      <c r="D44" s="67" t="inlineStr">
        <is>
          <t>Nobody — the case sits until the customer replies</t>
        </is>
      </c>
      <c r="E44" s="67" t="inlineStr">
        <is>
          <t>One email goes out and no reminder ever follows. The clock is not paused, so this wait is the single largest block of lead time in the whole stream.</t>
        </is>
      </c>
      <c r="F44" s="77" t="n"/>
      <c r="G44" s="77" t="n"/>
      <c r="H44" s="77" t="n"/>
      <c r="I44" s="77" t="n"/>
      <c r="J44" s="77" t="n"/>
      <c r="K44" s="77" t="n"/>
      <c r="L44" s="78" t="n"/>
    </row>
    <row r="45" ht="15" customHeight="1" s="30">
      <c r="A45" s="56" t="inlineStr">
        <is>
          <t>In queue, unassigned</t>
        </is>
      </c>
      <c r="B45" s="57" t="n"/>
      <c r="C45" s="58">
        <f>IFERROR(B45/$E$33,"")</f>
        <v/>
      </c>
      <c r="D45" s="57" t="n"/>
      <c r="E45" s="57" t="n"/>
    </row>
    <row r="46" ht="15" customHeight="1" s="30">
      <c r="A46" s="56" t="inlineStr">
        <is>
          <t>Awaiting Tier 2 / specialist</t>
        </is>
      </c>
      <c r="B46" s="57" t="n"/>
      <c r="C46" s="58">
        <f>IFERROR(B46/$E$33,"")</f>
        <v/>
      </c>
      <c r="D46" s="57" t="n"/>
      <c r="E46" s="57" t="n"/>
    </row>
    <row r="47" ht="15" customHeight="1" s="30">
      <c r="A47" s="56" t="inlineStr">
        <is>
          <t>Awaiting engineering triage</t>
        </is>
      </c>
      <c r="B47" s="57" t="n"/>
      <c r="C47" s="58">
        <f>IFERROR(B47/$E$33,"")</f>
        <v/>
      </c>
      <c r="D47" s="57" t="n"/>
      <c r="E47" s="57" t="n"/>
    </row>
    <row r="48" ht="15" customHeight="1" s="30">
      <c r="A48" s="56" t="inlineStr">
        <is>
          <t>Awaiting internal approval</t>
        </is>
      </c>
      <c r="B48" s="57" t="n"/>
      <c r="C48" s="58">
        <f>IFERROR(B48/$E$33,"")</f>
        <v/>
      </c>
      <c r="D48" s="57" t="n"/>
      <c r="E48" s="57" t="n"/>
    </row>
    <row r="49" ht="15" customHeight="1" s="30">
      <c r="A49" s="56" t="inlineStr">
        <is>
          <t>Awaiting external party</t>
        </is>
      </c>
      <c r="B49" s="57" t="n"/>
      <c r="C49" s="58">
        <f>IFERROR(B49/$E$33,"")</f>
        <v/>
      </c>
      <c r="D49" s="57" t="n"/>
      <c r="E49" s="57" t="n"/>
    </row>
    <row r="50" ht="39" customHeight="1" s="30">
      <c r="A50" s="76" t="inlineStr">
        <is>
          <t>How to fill this block. Take the minutes from the same extract that produced the step table above — the median, not the mean, because a handful of week-long waits will otherwise set your whole plan. OWNER is whoever can shorten it; if the honest answer is nobody, write that, because an unowned wait is the finding. WHY DOES IT WAIT should name the mechanism, not the symptom: 'no reminder is sent' is actionable, 'the customer is slow' is not. Row 44 is a worked example.</t>
        </is>
      </c>
    </row>
  </sheetData>
  <mergeCells count="22">
    <mergeCell ref="B7:F7"/>
    <mergeCell ref="A8:J8"/>
    <mergeCell ref="A35:D35"/>
    <mergeCell ref="A38:D38"/>
    <mergeCell ref="A50:L50"/>
    <mergeCell ref="A40:D40"/>
    <mergeCell ref="N29:V29"/>
    <mergeCell ref="A31:D31"/>
    <mergeCell ref="E44:L44"/>
    <mergeCell ref="A34:D34"/>
    <mergeCell ref="A30:J30"/>
    <mergeCell ref="A39:D39"/>
    <mergeCell ref="A4:F4"/>
    <mergeCell ref="A36:D36"/>
    <mergeCell ref="A1:J1"/>
    <mergeCell ref="A37:D37"/>
    <mergeCell ref="B6:F6"/>
    <mergeCell ref="B5:F5"/>
    <mergeCell ref="A33:D33"/>
    <mergeCell ref="A2:J2"/>
    <mergeCell ref="A42:J42"/>
    <mergeCell ref="A32:D32"/>
  </mergeCells>
  <dataValidations count="2">
    <dataValidation sqref="H10:H28" showDropDown="0" showInputMessage="0" showErrorMessage="0" allowBlank="1" type="list" errorStyle="stop" operator="between">
      <formula1>"Value-add,Business-value-add,Non-value-add"</formula1>
      <formula2>0</formula2>
    </dataValidation>
    <dataValidation sqref="I10:I28"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