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5">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spPr>
            <a:ln>
              <a:prstDash val="solid"/>
            </a:ln>
          </spPr>
          <cat>
            <numRef>
              <f>'2^3 design'!$A$20:$A$25</f>
            </numRef>
          </cat>
          <val>
            <numRef>
              <f>'2^3 design'!$D$20:$D$25</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I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row r="9" ht="30" customHeight="1">
      <c r="A9" s="11" t="inlineStr">
        <is>
          <t>Run</t>
        </is>
      </c>
      <c r="B9" s="11" t="inlineStr">
        <is>
          <t>A</t>
        </is>
      </c>
      <c r="C9" s="11" t="inlineStr">
        <is>
          <t>B</t>
        </is>
      </c>
      <c r="D9" s="11" t="inlineStr">
        <is>
          <t>C</t>
        </is>
      </c>
      <c r="E9" s="11" t="inlineStr">
        <is>
          <t>AB</t>
        </is>
      </c>
      <c r="F9" s="11" t="inlineStr">
        <is>
          <t>AC</t>
        </is>
      </c>
      <c r="G9" s="11" t="inlineStr">
        <is>
          <t>BC</t>
        </is>
      </c>
      <c r="H9" s="11" t="inlineStr">
        <is>
          <t>Response</t>
        </is>
      </c>
      <c r="I9" s="11" t="inlineStr">
        <is>
          <t>Notes</t>
        </is>
      </c>
    </row>
    <row r="10">
      <c r="A10" s="8" t="n">
        <v>1</v>
      </c>
      <c r="B10" s="12" t="n">
        <v>-1</v>
      </c>
      <c r="C10" s="12" t="n">
        <v>-1</v>
      </c>
      <c r="D10" s="12" t="n">
        <v>-1</v>
      </c>
      <c r="E10" s="13">
        <f>B10*C10</f>
        <v/>
      </c>
      <c r="F10" s="13">
        <f>B10*D10</f>
        <v/>
      </c>
      <c r="G10" s="13">
        <f>C10*D10</f>
        <v/>
      </c>
      <c r="H10" s="14" t="n">
        <v>412</v>
      </c>
      <c r="I10" s="9" t="n"/>
    </row>
    <row r="11">
      <c r="A11" s="8" t="n">
        <v>2</v>
      </c>
      <c r="B11" s="12" t="n">
        <v>1</v>
      </c>
      <c r="C11" s="12" t="n">
        <v>-1</v>
      </c>
      <c r="D11" s="12" t="n">
        <v>-1</v>
      </c>
      <c r="E11" s="13">
        <f>B11*C11</f>
        <v/>
      </c>
      <c r="F11" s="13">
        <f>B11*D11</f>
        <v/>
      </c>
      <c r="G11" s="13">
        <f>C11*D11</f>
        <v/>
      </c>
      <c r="H11" s="14" t="n">
        <v>388</v>
      </c>
      <c r="I11" s="9" t="n"/>
    </row>
    <row r="12">
      <c r="A12" s="8" t="n">
        <v>3</v>
      </c>
      <c r="B12" s="12" t="n">
        <v>-1</v>
      </c>
      <c r="C12" s="12" t="n">
        <v>1</v>
      </c>
      <c r="D12" s="12" t="n">
        <v>-1</v>
      </c>
      <c r="E12" s="13">
        <f>B12*C12</f>
        <v/>
      </c>
      <c r="F12" s="13">
        <f>B12*D12</f>
        <v/>
      </c>
      <c r="G12" s="13">
        <f>C12*D12</f>
        <v/>
      </c>
      <c r="H12" s="14" t="n">
        <v>401</v>
      </c>
      <c r="I12" s="9" t="n"/>
    </row>
    <row r="13">
      <c r="A13" s="8" t="n">
        <v>4</v>
      </c>
      <c r="B13" s="12" t="n">
        <v>1</v>
      </c>
      <c r="C13" s="12" t="n">
        <v>1</v>
      </c>
      <c r="D13" s="12" t="n">
        <v>-1</v>
      </c>
      <c r="E13" s="13">
        <f>B13*C13</f>
        <v/>
      </c>
      <c r="F13" s="13">
        <f>B13*D13</f>
        <v/>
      </c>
      <c r="G13" s="13">
        <f>C13*D13</f>
        <v/>
      </c>
      <c r="H13" s="14" t="n">
        <v>372</v>
      </c>
      <c r="I13" s="9" t="n"/>
    </row>
    <row r="14">
      <c r="A14" s="8" t="n">
        <v>5</v>
      </c>
      <c r="B14" s="12" t="n">
        <v>-1</v>
      </c>
      <c r="C14" s="12" t="n">
        <v>-1</v>
      </c>
      <c r="D14" s="12" t="n">
        <v>1</v>
      </c>
      <c r="E14" s="13">
        <f>B14*C14</f>
        <v/>
      </c>
      <c r="F14" s="13">
        <f>B14*D14</f>
        <v/>
      </c>
      <c r="G14" s="13">
        <f>C14*D14</f>
        <v/>
      </c>
      <c r="H14" s="14" t="n">
        <v>395</v>
      </c>
      <c r="I14" s="9" t="n"/>
    </row>
    <row r="15">
      <c r="A15" s="8" t="n">
        <v>6</v>
      </c>
      <c r="B15" s="12" t="n">
        <v>1</v>
      </c>
      <c r="C15" s="12" t="n">
        <v>-1</v>
      </c>
      <c r="D15" s="12" t="n">
        <v>1</v>
      </c>
      <c r="E15" s="13">
        <f>B15*C15</f>
        <v/>
      </c>
      <c r="F15" s="13">
        <f>B15*D15</f>
        <v/>
      </c>
      <c r="G15" s="13">
        <f>C15*D15</f>
        <v/>
      </c>
      <c r="H15" s="14" t="n">
        <v>366</v>
      </c>
      <c r="I15" s="9" t="n"/>
    </row>
    <row r="16">
      <c r="A16" s="8" t="n">
        <v>7</v>
      </c>
      <c r="B16" s="12" t="n">
        <v>-1</v>
      </c>
      <c r="C16" s="12" t="n">
        <v>1</v>
      </c>
      <c r="D16" s="12" t="n">
        <v>1</v>
      </c>
      <c r="E16" s="13">
        <f>B16*C16</f>
        <v/>
      </c>
      <c r="F16" s="13">
        <f>B16*D16</f>
        <v/>
      </c>
      <c r="G16" s="13">
        <f>C16*D16</f>
        <v/>
      </c>
      <c r="H16" s="14" t="n">
        <v>380</v>
      </c>
      <c r="I16" s="9" t="n"/>
    </row>
    <row r="17">
      <c r="A17" s="8" t="n">
        <v>8</v>
      </c>
      <c r="B17" s="12" t="n">
        <v>1</v>
      </c>
      <c r="C17" s="12" t="n">
        <v>1</v>
      </c>
      <c r="D17" s="12" t="n">
        <v>1</v>
      </c>
      <c r="E17" s="13">
        <f>B17*C17</f>
        <v/>
      </c>
      <c r="F17" s="13">
        <f>B17*D17</f>
        <v/>
      </c>
      <c r="G17" s="13">
        <f>C17*D17</f>
        <v/>
      </c>
      <c r="H17" s="14" t="n">
        <v>344</v>
      </c>
      <c r="I17" s="9" t="n"/>
    </row>
    <row r="19">
      <c r="A19" s="6" t="inlineStr">
        <is>
          <t>EFFECTS — how much each factor moves the response</t>
        </is>
      </c>
      <c r="B19" s="7" t="n"/>
      <c r="C19" s="7" t="n"/>
      <c r="D19" s="7" t="n"/>
      <c r="E19" s="7" t="n"/>
      <c r="F19" s="7" t="n"/>
      <c r="G19" s="7" t="n"/>
      <c r="H19" s="7" t="n"/>
      <c r="I19" s="7" t="n"/>
    </row>
    <row r="20">
      <c r="A20" s="8" t="inlineStr">
        <is>
          <t>Effect of A</t>
        </is>
      </c>
      <c r="D20" s="13">
        <f>SUMPRODUCT(B10:B17,$H$10:$H$17)/4</f>
        <v/>
      </c>
      <c r="E20" s="5" t="inlineStr">
        <is>
          <t>Bigger absolute value = bigger effect. A large interaction means the two factors cannot be set independently.</t>
        </is>
      </c>
    </row>
    <row r="21">
      <c r="A21" s="8" t="inlineStr">
        <is>
          <t>Effect of B</t>
        </is>
      </c>
      <c r="D21" s="13">
        <f>SUMPRODUCT(C10:C17,$H$10:$H$17)/4</f>
        <v/>
      </c>
      <c r="E21" s="5" t="inlineStr">
        <is>
          <t>Bigger absolute value = bigger effect. A large interaction means the two factors cannot be set independently.</t>
        </is>
      </c>
    </row>
    <row r="22">
      <c r="A22" s="8" t="inlineStr">
        <is>
          <t>Effect of C</t>
        </is>
      </c>
      <c r="D22" s="13">
        <f>SUMPRODUCT(D10:D17,$H$10:$H$17)/4</f>
        <v/>
      </c>
      <c r="E22" s="5" t="inlineStr">
        <is>
          <t>Bigger absolute value = bigger effect. A large interaction means the two factors cannot be set independently.</t>
        </is>
      </c>
    </row>
    <row r="23">
      <c r="A23" s="8" t="inlineStr">
        <is>
          <t>Interaction AB</t>
        </is>
      </c>
      <c r="D23" s="13">
        <f>SUMPRODUCT(E10:E17,$H$10:$H$17)/4</f>
        <v/>
      </c>
      <c r="E23" s="5" t="inlineStr">
        <is>
          <t>Bigger absolute value = bigger effect. A large interaction means the two factors cannot be set independently.</t>
        </is>
      </c>
    </row>
    <row r="24">
      <c r="A24" s="8" t="inlineStr">
        <is>
          <t>Interaction AC</t>
        </is>
      </c>
      <c r="D24" s="13">
        <f>SUMPRODUCT(F10:F17,$H$10:$H$17)/4</f>
        <v/>
      </c>
      <c r="E24" s="5" t="inlineStr">
        <is>
          <t>Bigger absolute value = bigger effect. A large interaction means the two factors cannot be set independently.</t>
        </is>
      </c>
    </row>
    <row r="25">
      <c r="A25" s="8" t="inlineStr">
        <is>
          <t>Interaction BC</t>
        </is>
      </c>
      <c r="D25" s="13">
        <f>SUMPRODUCT(G10:G17,$H$10:$H$17)/4</f>
        <v/>
      </c>
      <c r="E25" s="5" t="inlineStr">
        <is>
          <t>Bigger absolute value = bigger effect. A large interaction means the two factors cannot be set independently.</t>
        </is>
      </c>
    </row>
    <row r="27">
      <c r="A27" s="5" t="inlineStr">
        <is>
          <t>Randomise the run order before you execute, and repeat the whole design if you can afford it. Eight runs with no replication tells you about size, not about noise.</t>
        </is>
      </c>
    </row>
  </sheetData>
  <mergeCells count="20">
    <mergeCell ref="A25:C25"/>
    <mergeCell ref="E21:I21"/>
    <mergeCell ref="E24:I24"/>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2026-07-31T23:10:38Z</dcterms:created>
  <dcterms:modified xsi:type="dcterms:W3CDTF">2026-07-31T23:10:38Z</dcterms:modified>
</cp:coreProperties>
</file>