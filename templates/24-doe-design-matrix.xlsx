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20">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7" borderId="1" applyAlignment="1" pivotButton="0" quotePrefix="0" xfId="0">
      <alignment horizontal="center"/>
    </xf>
    <xf numFmtId="0" fontId="2" fillId="7" borderId="1" applyAlignment="1" pivotButton="0" quotePrefix="0" xfId="0">
      <alignment vertical="center" wrapText="1"/>
    </xf>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7" t="n">
        <v>388</v>
      </c>
      <c r="I11" s="18" t="inlineStr">
        <is>
          <t>Skill-based routing alone</t>
        </is>
      </c>
    </row>
    <row r="12">
      <c r="A12" s="8" t="n">
        <v>3</v>
      </c>
      <c r="B12" s="13" t="n">
        <v>-1</v>
      </c>
      <c r="C12" s="13" t="n">
        <v>1</v>
      </c>
      <c r="D12" s="13" t="n">
        <v>-1</v>
      </c>
      <c r="E12" s="14">
        <f>B12*C12</f>
        <v/>
      </c>
      <c r="F12" s="14">
        <f>B12*D12</f>
        <v/>
      </c>
      <c r="G12" s="14">
        <f>C12*D12</f>
        <v/>
      </c>
      <c r="H12" s="17" t="n">
        <v>401</v>
      </c>
      <c r="I12" s="18" t="inlineStr">
        <is>
          <t>Higher authority alone — fewer transfers to a supervisor</t>
        </is>
      </c>
    </row>
    <row r="13">
      <c r="A13" s="8" t="n">
        <v>4</v>
      </c>
      <c r="B13" s="13" t="n">
        <v>1</v>
      </c>
      <c r="C13" s="13" t="n">
        <v>1</v>
      </c>
      <c r="D13" s="13" t="n">
        <v>-1</v>
      </c>
      <c r="E13" s="14">
        <f>B13*C13</f>
        <v/>
      </c>
      <c r="F13" s="14">
        <f>B13*D13</f>
        <v/>
      </c>
      <c r="G13" s="14">
        <f>C13*D13</f>
        <v/>
      </c>
      <c r="H13" s="17" t="n">
        <v>372</v>
      </c>
      <c r="I13" s="18" t="inlineStr">
        <is>
          <t>Routing and authority together; the biggest single drop</t>
        </is>
      </c>
    </row>
    <row r="14">
      <c r="A14" s="8" t="n">
        <v>5</v>
      </c>
      <c r="B14" s="13" t="n">
        <v>-1</v>
      </c>
      <c r="C14" s="13" t="n">
        <v>-1</v>
      </c>
      <c r="D14" s="13" t="n">
        <v>1</v>
      </c>
      <c r="E14" s="14">
        <f>B14*C14</f>
        <v/>
      </c>
      <c r="F14" s="14">
        <f>B14*D14</f>
        <v/>
      </c>
      <c r="G14" s="14">
        <f>C14*D14</f>
        <v/>
      </c>
      <c r="H14" s="17" t="n">
        <v>395</v>
      </c>
      <c r="I14" s="18" t="inlineStr">
        <is>
          <t>Article shown alone — small effect on its own</t>
        </is>
      </c>
    </row>
    <row r="15">
      <c r="A15" s="8" t="n">
        <v>6</v>
      </c>
      <c r="B15" s="13" t="n">
        <v>1</v>
      </c>
      <c r="C15" s="13" t="n">
        <v>-1</v>
      </c>
      <c r="D15" s="13" t="n">
        <v>1</v>
      </c>
      <c r="E15" s="14">
        <f>B15*C15</f>
        <v/>
      </c>
      <c r="F15" s="14">
        <f>B15*D15</f>
        <v/>
      </c>
      <c r="G15" s="14">
        <f>C15*D15</f>
        <v/>
      </c>
      <c r="H15" s="17" t="n">
        <v>366</v>
      </c>
      <c r="I15" s="18" t="inlineStr">
        <is>
          <t>Routing plus article</t>
        </is>
      </c>
    </row>
    <row r="16">
      <c r="A16" s="8" t="n">
        <v>7</v>
      </c>
      <c r="B16" s="13" t="n">
        <v>-1</v>
      </c>
      <c r="C16" s="13" t="n">
        <v>1</v>
      </c>
      <c r="D16" s="13" t="n">
        <v>1</v>
      </c>
      <c r="E16" s="14">
        <f>B16*C16</f>
        <v/>
      </c>
      <c r="F16" s="14">
        <f>B16*D16</f>
        <v/>
      </c>
      <c r="G16" s="14">
        <f>C16*D16</f>
        <v/>
      </c>
      <c r="H16" s="17" t="n">
        <v>380</v>
      </c>
      <c r="I16" s="18" t="inlineStr">
        <is>
          <t>Authority plus article</t>
        </is>
      </c>
    </row>
    <row r="17">
      <c r="A17" s="8" t="n">
        <v>8</v>
      </c>
      <c r="B17" s="13" t="n">
        <v>1</v>
      </c>
      <c r="C17" s="13" t="n">
        <v>1</v>
      </c>
      <c r="D17" s="13" t="n">
        <v>1</v>
      </c>
      <c r="E17" s="14">
        <f>B17*C17</f>
        <v/>
      </c>
      <c r="F17" s="14">
        <f>B17*D17</f>
        <v/>
      </c>
      <c r="G17" s="14">
        <f>C17*D17</f>
        <v/>
      </c>
      <c r="H17" s="17" t="n">
        <v>344</v>
      </c>
      <c r="I17" s="18"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9">
        <f>-AVERAGE(ABS($D$23),ABS($D$24),ABS($D$25))</f>
        <v/>
      </c>
    </row>
    <row r="21">
      <c r="A21" s="8" t="inlineStr">
        <is>
          <t>Effect of B</t>
        </is>
      </c>
      <c r="D21" s="14">
        <f>SUMPRODUCT(C10:C17,$H$10:$H$17)/4</f>
        <v/>
      </c>
      <c r="E21" s="5" t="inlineStr">
        <is>
          <t>Raising the authority limit from $50 to $250 takes off about 16 seconds — fewer calls escalated to a supervisor.</t>
        </is>
      </c>
      <c r="K21" s="19">
        <f>-AVERAGE(ABS($D$23),ABS($D$24),ABS($D$25))</f>
        <v/>
      </c>
    </row>
    <row r="22">
      <c r="A22" s="8" t="inlineStr">
        <is>
          <t>Effect of C</t>
        </is>
      </c>
      <c r="D22" s="14">
        <f>SUMPRODUCT(D10:D17,$H$10:$H$17)/4</f>
        <v/>
      </c>
      <c r="E22" s="5" t="inlineStr">
        <is>
          <t>Showing the article takes off about 22 seconds.</t>
        </is>
      </c>
      <c r="K22" s="19">
        <f>-AVERAGE(ABS($D$23),ABS($D$24),ABS($D$25))</f>
        <v/>
      </c>
    </row>
    <row r="23">
      <c r="A23" s="8" t="inlineStr">
        <is>
          <t>Interaction AB</t>
        </is>
      </c>
      <c r="D23" s="14">
        <f>SUMPRODUCT(E10:E17,$H$10:$H$17)/4</f>
        <v/>
      </c>
      <c r="E23" s="5" t="inlineStr">
        <is>
          <t>Routing and authority together. Small against the main effects, so the two can be decided independently.</t>
        </is>
      </c>
      <c r="K23" s="19">
        <f>-AVERAGE(ABS($D$23),ABS($D$24),ABS($D$25))</f>
        <v/>
      </c>
    </row>
    <row r="24">
      <c r="A24" s="8" t="inlineStr">
        <is>
          <t>Interaction AC</t>
        </is>
      </c>
      <c r="D24" s="14">
        <f>SUMPRODUCT(F10:F17,$H$10:$H$17)/4</f>
        <v/>
      </c>
      <c r="E24" s="5" t="inlineStr">
        <is>
          <t>Routing and article together. Also small.</t>
        </is>
      </c>
      <c r="K24" s="19">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9">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