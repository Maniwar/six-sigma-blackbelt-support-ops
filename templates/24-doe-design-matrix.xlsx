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2^3 design"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FFFFFFFF"/>
      <sz val="15"/>
    </font>
    <font>
      <i val="1"/>
      <color rgb="FF6B7280"/>
      <sz val="9"/>
    </font>
    <font>
      <b val="1"/>
      <sz val="11"/>
    </font>
    <font>
      <b val="1"/>
      <color rgb="FFFFFFFF"/>
      <sz val="10"/>
    </font>
    <font>
      <color rgb="FF1D4ED8"/>
      <sz val="11"/>
    </font>
    <font>
      <sz val="11"/>
    </font>
  </fonts>
  <fills count="8">
    <fill>
      <patternFill/>
    </fill>
    <fill>
      <patternFill patternType="gray125"/>
    </fill>
    <fill>
      <patternFill patternType="solid">
        <fgColor rgb="FF151B24"/>
      </patternFill>
    </fill>
    <fill>
      <patternFill patternType="solid">
        <fgColor rgb="FFEEF1F6"/>
      </patternFill>
    </fill>
    <fill>
      <patternFill patternType="solid">
        <fgColor rgb="FFFFF9E3"/>
      </patternFill>
    </fill>
    <fill>
      <patternFill patternType="solid">
        <fgColor rgb="FF333C49"/>
      </patternFill>
    </fill>
    <fill>
      <patternFill patternType="solid">
        <fgColor rgb="FFF2F7FF"/>
      </patternFill>
    </fill>
    <fill>
      <patternFill patternType="solid">
        <fgColor rgb="FFECFAEF"/>
      </patternFill>
    </fill>
  </fills>
  <borders count="3">
    <border>
      <left/>
      <right/>
      <top/>
      <bottom/>
      <diagonal/>
    </border>
    <border>
      <bottom style="thin">
        <color rgb="FFD8DEE7"/>
      </bottom>
    </border>
    <border>
      <left/>
      <right/>
      <top/>
      <bottom style="thin">
        <color rgb="FFD8DEE7"/>
      </bottom>
      <diagonal/>
    </border>
  </borders>
  <cellStyleXfs count="1">
    <xf numFmtId="0" fontId="0" fillId="0" borderId="0"/>
  </cellStyleXfs>
  <cellXfs count="18">
    <xf numFmtId="0" fontId="0"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3" fillId="0" borderId="0" pivotButton="0" quotePrefix="0" xfId="0"/>
    <xf numFmtId="0" fontId="0" fillId="4" borderId="1" pivotButton="0" quotePrefix="0" xfId="0"/>
    <xf numFmtId="0" fontId="0" fillId="0" borderId="2" pivotButton="0" quotePrefix="0" xfId="0"/>
    <xf numFmtId="0" fontId="2" fillId="0" borderId="0" applyAlignment="1" pivotButton="0" quotePrefix="0" xfId="0">
      <alignment vertical="center" wrapText="1"/>
    </xf>
    <xf numFmtId="0" fontId="4" fillId="5" borderId="0" applyAlignment="1" pivotButton="0" quotePrefix="0" xfId="0">
      <alignment vertical="center" wrapText="1"/>
    </xf>
    <xf numFmtId="0" fontId="5" fillId="6" borderId="1" applyAlignment="1" pivotButton="0" quotePrefix="0" xfId="0">
      <alignment horizontal="center"/>
    </xf>
    <xf numFmtId="0" fontId="5" fillId="6" borderId="1" pivotButton="0" quotePrefix="0" xfId="0"/>
    <xf numFmtId="0" fontId="0" fillId="7" borderId="1" applyAlignment="1" pivotButton="0" quotePrefix="0" xfId="0">
      <alignment horizontal="center"/>
    </xf>
    <xf numFmtId="0" fontId="2" fillId="7" borderId="1" applyAlignment="1" pivotButton="0" quotePrefix="0" xfId="0">
      <alignment vertical="center" wrapText="1"/>
    </xf>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roundedCorners val="0"/>
  <style val="10"/>
  <chart>
    <title>
      <tx>
        <rich>
          <a:bodyPr/>
          <a:p>
            <a:pPr>
              <a:defRPr/>
            </a:pPr>
            <a:r>
              <a:t>Effect size — which factor actually moved the response</a:t>
            </a:r>
          </a:p>
        </rich>
      </tx>
    </title>
    <plotArea>
      <barChart>
        <barDir val="bar"/>
        <grouping val="clustered"/>
        <ser>
          <idx val="0"/>
          <order val="0"/>
          <tx>
            <v>Effect on the response</v>
          </tx>
          <spPr>
            <a:solidFill>
              <a:srgbClr val="1F4E79"/>
            </a:solidFill>
            <a:ln>
              <a:solidFill>
                <a:srgbClr val="1F4E79"/>
              </a:solidFill>
              <a:prstDash val="solid"/>
            </a:ln>
          </spPr>
          <invertIfNegative val="0"/>
          <cat>
            <numRef>
              <f>'2^3 design'!$A$20:$A$25</f>
            </numRef>
          </cat>
          <val>
            <numRef>
              <f>'2^3 design'!$D$20:$D$25</f>
            </numRef>
          </val>
        </ser>
        <gapWidth val="60"/>
        <axId val="10"/>
        <axId val="100"/>
      </barChart>
      <lineChart>
        <grouping val="standard"/>
        <ser>
          <idx val="1"/>
          <order val="1"/>
          <tx>
            <v>Noise floor — the mean interaction, anything smaller is nothing</v>
          </tx>
          <spPr>
            <a:ln w="18000">
              <a:solidFill>
                <a:srgbClr val="C0392B"/>
              </a:solidFill>
              <a:prstDash val="dash"/>
            </a:ln>
          </spPr>
          <marker>
            <symbol val="none"/>
            <spPr>
              <a:ln>
                <a:prstDash val="solid"/>
              </a:ln>
            </spPr>
          </marker>
          <val>
            <numRef>
              <f>'2^3 design'!$K$20:$K$25</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TickMark val="none"/>
        <minorTickMark val="none"/>
        <tickLblPos val="nextTo"/>
        <crossAx val="10"/>
      </valAx>
    </plotArea>
    <legend>
      <legendPos val="b"/>
    </legend>
    <plotVisOnly val="1"/>
    <dispBlanksAs val="gap"/>
  </chart>
</chartSpace>
</file>

<file path=xl/comments/comment1.xml><?xml version="1.0" encoding="utf-8"?>
<comments xmlns="http://schemas.openxmlformats.org/spreadsheetml/2006/main">
  <authors>
    <author>Template</author>
  </authors>
  <commentList>
    <comment ref="B5" authorId="0" shapeId="0">
      <text>
        <t>Name the factor as the team says it out loud. It must be something you can actually set to either level for the whole run — if you cannot control it, it is noise to block or stratify, not a factor.</t>
      </text>
    </comment>
    <comment ref="F5" authorId="0" shapeId="0">
      <text>
        <t>The level you run today. Keep one arm at current practice so the experiment still tells you whether changing anything was worth it.</t>
      </text>
    </comment>
    <comment ref="H5" authorId="0" shapeId="0">
      <text>
        <t>The level you are testing. Push it far enough to move the response — a timid high level is the most common reason a DOE returns nothing.</t>
      </text>
    </comment>
    <comment ref="B6" authorId="0" shapeId="0">
      <text>
        <t>Name the factor as the team says it out loud. It must be something you can actually set to either level for the whole run — if you cannot control it, it is noise to block or stratify, not a factor.</t>
      </text>
    </comment>
    <comment ref="F6" authorId="0" shapeId="0">
      <text>
        <t>The level you run today. Keep one arm at current practice so the experiment still tells you whether changing anything was worth it.</t>
      </text>
    </comment>
    <comment ref="H6" authorId="0" shapeId="0">
      <text>
        <t>The level you are testing. Push it far enough to move the response — a timid high level is the most common reason a DOE returns nothing.</t>
      </text>
    </comment>
    <comment ref="B7" authorId="0" shapeId="0">
      <text>
        <t>Name the factor as the team says it out loud. It must be something you can actually set to either level for the whole run — if you cannot control it, it is noise to block or stratify, not a factor.</t>
      </text>
    </comment>
    <comment ref="F7" authorId="0" shapeId="0">
      <text>
        <t>The level you run today. Keep one arm at current practice so the experiment still tells you whether changing anything was worth it.</t>
      </text>
    </comment>
    <comment ref="H7" authorId="0" shapeId="0">
      <text>
        <t>The level you are testing. Push it far enough to move the response — a timid high level is the most common reason a DOE returns nothing.</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B40"/>
  <sheetViews>
    <sheetView showGridLines="0" workbookViewId="0">
      <selection activeCell="A1" sqref="A1"/>
    </sheetView>
  </sheetViews>
  <sheetFormatPr baseColWidth="8" defaultRowHeight="15"/>
  <cols>
    <col width="2" customWidth="1" min="1" max="1"/>
    <col width="108" customWidth="1" min="2" max="2"/>
  </cols>
  <sheetData>
    <row r="1"/>
    <row r="2">
      <c r="B2" s="1" t="inlineStr">
        <is>
          <t>Yellow cells</t>
        </is>
      </c>
    </row>
    <row r="3" ht="15" customHeight="1">
      <c r="B3" s="2" t="inlineStr">
        <is>
          <t>You fill these in.</t>
        </is>
      </c>
    </row>
    <row r="4">
      <c r="B4" s="1" t="inlineStr">
        <is>
          <t>Blue cells</t>
        </is>
      </c>
    </row>
    <row r="5" ht="15" customHeight="1">
      <c r="B5" s="2" t="inlineStr">
        <is>
          <t>Calculated for you. Do not type over them — they contain formulas.</t>
        </is>
      </c>
    </row>
    <row r="6">
      <c r="B6" s="1" t="inlineStr">
        <is>
          <t>Green cells</t>
        </is>
      </c>
    </row>
    <row r="7" ht="30" customHeight="1">
      <c r="B7" s="2" t="inlineStr">
        <is>
          <t>A worked example, so you can see the expected format and the charts say something the moment you open the file. Replace it with your own data when you start.</t>
        </is>
      </c>
    </row>
    <row r="8">
      <c r="B8" s="1" t="inlineStr">
        <is>
          <t>What this is for</t>
        </is>
      </c>
    </row>
    <row r="9" ht="30" customHeight="1">
      <c r="B9" s="2" t="inlineStr">
        <is>
          <t>Finding the best combination of settings, and detecting interactions — where two changes together do something neither does alone. One-factor-at-a-time testing cannot see those at all.</t>
        </is>
      </c>
    </row>
    <row r="10">
      <c r="B10" s="1" t="inlineStr">
        <is>
          <t>How to use it</t>
        </is>
      </c>
    </row>
    <row r="11" ht="30" customHeight="1">
      <c r="B11" s="2" t="inlineStr">
        <is>
          <t>Name three factors and their two levels. Run all eight combinations in randomised order and enter the response you measured. The effects table then tells you which factor moved it and by how much.</t>
        </is>
      </c>
    </row>
    <row r="12">
      <c r="B12" s="1" t="inlineStr">
        <is>
          <t>In support</t>
        </is>
      </c>
    </row>
    <row r="13" ht="30" customHeight="1">
      <c r="B13" s="2" t="inlineStr">
        <is>
          <t>Factors are things like routing rule, authority limit, whether an article is shown, script version. The response is handle time, resolution rate or satisfaction.</t>
        </is>
      </c>
    </row>
    <row r="14">
      <c r="B14" s="1" t="inlineStr">
        <is>
          <t>The trap</t>
        </is>
      </c>
    </row>
    <row r="15" ht="30" customHeight="1">
      <c r="B15" s="2" t="inlineStr">
        <is>
          <t>Run the design as designed. Dropping the combinations that look silly destroys the balance the whole method depends on and the effects become uninterpretable.</t>
        </is>
      </c>
    </row>
    <row r="16"/>
    <row r="17"/>
    <row r="18"/>
    <row r="19"/>
    <row r="20"/>
    <row r="21"/>
    <row r="22"/>
    <row r="23"/>
    <row r="24"/>
    <row r="25"/>
    <row r="26"/>
    <row r="27"/>
    <row r="28"/>
    <row r="29"/>
    <row r="30"/>
    <row r="31"/>
    <row r="32"/>
    <row r="33"/>
    <row r="34"/>
    <row r="35"/>
    <row r="36"/>
    <row r="37"/>
    <row r="38"/>
    <row r="39"/>
    <row r="40"/>
  </sheetData>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7"/>
  <sheetViews>
    <sheetView showGridLines="0" workbookViewId="0">
      <pane ySplit="9" topLeftCell="A10" activePane="bottomLeft" state="frozen"/>
      <selection pane="bottomLeft" activeCell="A1" sqref="A1"/>
    </sheetView>
  </sheetViews>
  <sheetFormatPr baseColWidth="8" defaultRowHeight="15"/>
  <cols>
    <col width="8" customWidth="1" min="1" max="1"/>
    <col width="14" customWidth="1" min="2" max="2"/>
    <col width="14" customWidth="1" min="3" max="3"/>
    <col width="14" customWidth="1" min="4" max="4"/>
    <col width="18" customWidth="1" min="5" max="5"/>
    <col width="18" customWidth="1" min="6" max="6"/>
    <col width="18" customWidth="1" min="7" max="7"/>
    <col width="16" customWidth="1" min="8" max="8"/>
    <col width="30" customWidth="1" min="9" max="9"/>
    <col width="11" customWidth="1" min="11" max="11"/>
  </cols>
  <sheetData>
    <row r="1" ht="26" customHeight="1">
      <c r="A1" s="3" t="inlineStr">
        <is>
          <t>Design of Experiments — 2³ full factorial</t>
        </is>
      </c>
      <c r="B1" s="4" t="n"/>
      <c r="C1" s="4" t="n"/>
      <c r="D1" s="4" t="n"/>
      <c r="E1" s="4" t="n"/>
      <c r="F1" s="4" t="n"/>
      <c r="G1" s="4" t="n"/>
      <c r="H1" s="4" t="n"/>
      <c r="I1" s="4" t="n"/>
    </row>
    <row r="2">
      <c r="A2" s="5" t="inlineStr">
        <is>
          <t>Change several things at once in a planned pattern, so you can see interactions one-at-a-time testing can never find.</t>
        </is>
      </c>
    </row>
    <row r="3"/>
    <row r="4">
      <c r="A4" s="6" t="inlineStr">
        <is>
          <t>YOUR FACTORS — name them and set the two levels you will actually run</t>
        </is>
      </c>
      <c r="B4" s="7" t="n"/>
      <c r="C4" s="7" t="n"/>
      <c r="D4" s="7" t="n"/>
      <c r="E4" s="7" t="n"/>
      <c r="F4" s="7" t="n"/>
      <c r="G4" s="7" t="n"/>
      <c r="H4" s="7" t="n"/>
      <c r="I4" s="7" t="n"/>
    </row>
    <row r="5">
      <c r="A5" s="8" t="inlineStr">
        <is>
          <t>Factor A</t>
        </is>
      </c>
      <c r="B5" s="9" t="inlineStr">
        <is>
          <t>Routing rule</t>
        </is>
      </c>
      <c r="C5" s="10" t="n"/>
      <c r="D5" s="10" t="n"/>
      <c r="E5" s="5" t="inlineStr">
        <is>
          <t>Low (−1)</t>
        </is>
      </c>
      <c r="F5" s="9" t="inlineStr">
        <is>
          <t>Current</t>
        </is>
      </c>
      <c r="G5" s="5" t="inlineStr">
        <is>
          <t>High (+1)</t>
        </is>
      </c>
      <c r="H5" s="9" t="inlineStr">
        <is>
          <t>Skill-based</t>
        </is>
      </c>
    </row>
    <row r="6">
      <c r="A6" s="8" t="inlineStr">
        <is>
          <t>Factor B</t>
        </is>
      </c>
      <c r="B6" s="9" t="inlineStr">
        <is>
          <t>Authority limit</t>
        </is>
      </c>
      <c r="C6" s="10" t="n"/>
      <c r="D6" s="10" t="n"/>
      <c r="E6" s="5" t="inlineStr">
        <is>
          <t>Low (−1)</t>
        </is>
      </c>
      <c r="F6" s="9" t="inlineStr">
        <is>
          <t>$50</t>
        </is>
      </c>
      <c r="G6" s="5" t="inlineStr">
        <is>
          <t>High (+1)</t>
        </is>
      </c>
      <c r="H6" s="9" t="inlineStr">
        <is>
          <t>$250</t>
        </is>
      </c>
    </row>
    <row r="7">
      <c r="A7" s="8" t="inlineStr">
        <is>
          <t>Factor C</t>
        </is>
      </c>
      <c r="B7" s="9" t="inlineStr">
        <is>
          <t>Article shown</t>
        </is>
      </c>
      <c r="C7" s="10" t="n"/>
      <c r="D7" s="10" t="n"/>
      <c r="E7" s="5" t="inlineStr">
        <is>
          <t>Low (−1)</t>
        </is>
      </c>
      <c r="F7" s="9" t="inlineStr">
        <is>
          <t>No</t>
        </is>
      </c>
      <c r="G7" s="5" t="inlineStr">
        <is>
          <t>High (+1)</t>
        </is>
      </c>
      <c r="H7" s="9" t="inlineStr">
        <is>
          <t>Yes</t>
        </is>
      </c>
    </row>
    <row r="8" ht="24" customHeight="1">
      <c r="B8" s="11" t="inlineStr">
        <is>
          <t>−1 = the low level you set above · +1 = the high level  ·  Key:
• AB, AC, BC = interaction columns: the product of two factor columns, +1 or -1</t>
        </is>
      </c>
    </row>
    <row r="9" ht="30" customHeight="1">
      <c r="A9" s="12" t="inlineStr">
        <is>
          <t>Run</t>
        </is>
      </c>
      <c r="B9" s="12">
        <f>IF($B$5="","A","A: "&amp;$B$5)</f>
        <v/>
      </c>
      <c r="C9" s="12">
        <f>IF($B$6="","B","B: "&amp;$B$6)</f>
        <v/>
      </c>
      <c r="D9" s="12">
        <f>IF($B$7="","C","C: "&amp;$B$7)</f>
        <v/>
      </c>
      <c r="E9" s="12" t="inlineStr">
        <is>
          <t>AB</t>
        </is>
      </c>
      <c r="F9" s="12" t="inlineStr">
        <is>
          <t>AC</t>
        </is>
      </c>
      <c r="G9" s="12" t="inlineStr">
        <is>
          <t>BC</t>
        </is>
      </c>
      <c r="H9" s="12" t="inlineStr">
        <is>
          <t>Response (mean AHT, seconds)</t>
        </is>
      </c>
      <c r="I9" s="12" t="inlineStr">
        <is>
          <t>What you observed on the day</t>
        </is>
      </c>
    </row>
    <row r="10">
      <c r="A10" s="8" t="n">
        <v>1</v>
      </c>
      <c r="B10" s="13" t="n">
        <v>-1</v>
      </c>
      <c r="C10" s="13" t="n">
        <v>-1</v>
      </c>
      <c r="D10" s="13" t="n">
        <v>-1</v>
      </c>
      <c r="E10" s="14">
        <f>B10*C10</f>
        <v/>
      </c>
      <c r="F10" s="14">
        <f>B10*D10</f>
        <v/>
      </c>
      <c r="G10" s="14">
        <f>C10*D10</f>
        <v/>
      </c>
      <c r="H10" s="15" t="n">
        <v>412</v>
      </c>
      <c r="I10" s="16" t="inlineStr">
        <is>
          <t>Baseline: current routing, $50 authority, no article</t>
        </is>
      </c>
    </row>
    <row r="11">
      <c r="A11" s="8" t="n">
        <v>2</v>
      </c>
      <c r="B11" s="13" t="n">
        <v>1</v>
      </c>
      <c r="C11" s="13" t="n">
        <v>-1</v>
      </c>
      <c r="D11" s="13" t="n">
        <v>-1</v>
      </c>
      <c r="E11" s="14">
        <f>B11*C11</f>
        <v/>
      </c>
      <c r="F11" s="14">
        <f>B11*D11</f>
        <v/>
      </c>
      <c r="G11" s="14">
        <f>C11*D11</f>
        <v/>
      </c>
      <c r="H11" s="15" t="n">
        <v>388</v>
      </c>
      <c r="I11" s="16" t="inlineStr">
        <is>
          <t>Skill-based routing alone</t>
        </is>
      </c>
    </row>
    <row r="12">
      <c r="A12" s="8" t="n">
        <v>3</v>
      </c>
      <c r="B12" s="13" t="n">
        <v>-1</v>
      </c>
      <c r="C12" s="13" t="n">
        <v>1</v>
      </c>
      <c r="D12" s="13" t="n">
        <v>-1</v>
      </c>
      <c r="E12" s="14">
        <f>B12*C12</f>
        <v/>
      </c>
      <c r="F12" s="14">
        <f>B12*D12</f>
        <v/>
      </c>
      <c r="G12" s="14">
        <f>C12*D12</f>
        <v/>
      </c>
      <c r="H12" s="15" t="n">
        <v>401</v>
      </c>
      <c r="I12" s="16" t="inlineStr">
        <is>
          <t>Higher authority alone — fewer transfers to a supervisor</t>
        </is>
      </c>
    </row>
    <row r="13">
      <c r="A13" s="8" t="n">
        <v>4</v>
      </c>
      <c r="B13" s="13" t="n">
        <v>1</v>
      </c>
      <c r="C13" s="13" t="n">
        <v>1</v>
      </c>
      <c r="D13" s="13" t="n">
        <v>-1</v>
      </c>
      <c r="E13" s="14">
        <f>B13*C13</f>
        <v/>
      </c>
      <c r="F13" s="14">
        <f>B13*D13</f>
        <v/>
      </c>
      <c r="G13" s="14">
        <f>C13*D13</f>
        <v/>
      </c>
      <c r="H13" s="15" t="n">
        <v>372</v>
      </c>
      <c r="I13" s="16" t="inlineStr">
        <is>
          <t>Routing and authority together; the biggest single drop</t>
        </is>
      </c>
    </row>
    <row r="14">
      <c r="A14" s="8" t="n">
        <v>5</v>
      </c>
      <c r="B14" s="13" t="n">
        <v>-1</v>
      </c>
      <c r="C14" s="13" t="n">
        <v>-1</v>
      </c>
      <c r="D14" s="13" t="n">
        <v>1</v>
      </c>
      <c r="E14" s="14">
        <f>B14*C14</f>
        <v/>
      </c>
      <c r="F14" s="14">
        <f>B14*D14</f>
        <v/>
      </c>
      <c r="G14" s="14">
        <f>C14*D14</f>
        <v/>
      </c>
      <c r="H14" s="15" t="n">
        <v>395</v>
      </c>
      <c r="I14" s="16" t="inlineStr">
        <is>
          <t>Article shown alone — small effect on its own</t>
        </is>
      </c>
    </row>
    <row r="15">
      <c r="A15" s="8" t="n">
        <v>6</v>
      </c>
      <c r="B15" s="13" t="n">
        <v>1</v>
      </c>
      <c r="C15" s="13" t="n">
        <v>-1</v>
      </c>
      <c r="D15" s="13" t="n">
        <v>1</v>
      </c>
      <c r="E15" s="14">
        <f>B15*C15</f>
        <v/>
      </c>
      <c r="F15" s="14">
        <f>B15*D15</f>
        <v/>
      </c>
      <c r="G15" s="14">
        <f>C15*D15</f>
        <v/>
      </c>
      <c r="H15" s="15" t="n">
        <v>366</v>
      </c>
      <c r="I15" s="16" t="inlineStr">
        <is>
          <t>Routing plus article</t>
        </is>
      </c>
    </row>
    <row r="16">
      <c r="A16" s="8" t="n">
        <v>7</v>
      </c>
      <c r="B16" s="13" t="n">
        <v>-1</v>
      </c>
      <c r="C16" s="13" t="n">
        <v>1</v>
      </c>
      <c r="D16" s="13" t="n">
        <v>1</v>
      </c>
      <c r="E16" s="14">
        <f>B16*C16</f>
        <v/>
      </c>
      <c r="F16" s="14">
        <f>B16*D16</f>
        <v/>
      </c>
      <c r="G16" s="14">
        <f>C16*D16</f>
        <v/>
      </c>
      <c r="H16" s="15" t="n">
        <v>380</v>
      </c>
      <c r="I16" s="16" t="inlineStr">
        <is>
          <t>Authority plus article</t>
        </is>
      </c>
    </row>
    <row r="17">
      <c r="A17" s="8" t="n">
        <v>8</v>
      </c>
      <c r="B17" s="13" t="n">
        <v>1</v>
      </c>
      <c r="C17" s="13" t="n">
        <v>1</v>
      </c>
      <c r="D17" s="13" t="n">
        <v>1</v>
      </c>
      <c r="E17" s="14">
        <f>B17*C17</f>
        <v/>
      </c>
      <c r="F17" s="14">
        <f>B17*D17</f>
        <v/>
      </c>
      <c r="G17" s="14">
        <f>C17*D17</f>
        <v/>
      </c>
      <c r="H17" s="15" t="n">
        <v>344</v>
      </c>
      <c r="I17" s="16" t="inlineStr">
        <is>
          <t>All three at the high level. Best result, and the one to confirm.</t>
        </is>
      </c>
    </row>
    <row r="18"/>
    <row r="19">
      <c r="A19" s="6" t="inlineStr">
        <is>
          <t>EFFECTS — how much each factor moves the response</t>
        </is>
      </c>
      <c r="B19" s="7" t="n"/>
      <c r="C19" s="7" t="n"/>
      <c r="D19" s="7" t="n"/>
      <c r="E19" s="7" t="n"/>
      <c r="F19" s="7" t="n"/>
      <c r="G19" s="7" t="n"/>
      <c r="H19" s="7" t="n"/>
      <c r="I19" s="7" t="n"/>
      <c r="K19" s="5" t="inlineStr">
        <is>
          <t>Noise floor</t>
        </is>
      </c>
    </row>
    <row r="20">
      <c r="A20" s="8" t="inlineStr">
        <is>
          <t>Effect of A</t>
        </is>
      </c>
      <c r="D20" s="14">
        <f>SUMPRODUCT(B10:B17,$H$10:$H$17)/4</f>
        <v/>
      </c>
      <c r="E20" s="5" t="inlineStr">
        <is>
          <t>Negative means the HIGH level lowers handle time. Biggest single effect here: skill-based routing takes about 29 seconds off the average.</t>
        </is>
      </c>
      <c r="K20" s="17">
        <f>-AVERAGE(ABS($D$23),ABS($D$24),ABS($D$25))</f>
        <v/>
      </c>
    </row>
    <row r="21">
      <c r="A21" s="8" t="inlineStr">
        <is>
          <t>Effect of B</t>
        </is>
      </c>
      <c r="D21" s="14">
        <f>SUMPRODUCT(C10:C17,$H$10:$H$17)/4</f>
        <v/>
      </c>
      <c r="E21" s="5" t="inlineStr">
        <is>
          <t>Raising the authority limit from $50 to $250 takes off about 16 seconds — fewer calls escalated to a supervisor.</t>
        </is>
      </c>
      <c r="K21" s="17">
        <f>-AVERAGE(ABS($D$23),ABS($D$24),ABS($D$25))</f>
        <v/>
      </c>
    </row>
    <row r="22">
      <c r="A22" s="8" t="inlineStr">
        <is>
          <t>Effect of C</t>
        </is>
      </c>
      <c r="D22" s="14">
        <f>SUMPRODUCT(D10:D17,$H$10:$H$17)/4</f>
        <v/>
      </c>
      <c r="E22" s="5" t="inlineStr">
        <is>
          <t>Showing the article takes off about 22 seconds.</t>
        </is>
      </c>
      <c r="K22" s="17">
        <f>-AVERAGE(ABS($D$23),ABS($D$24),ABS($D$25))</f>
        <v/>
      </c>
    </row>
    <row r="23">
      <c r="A23" s="8" t="inlineStr">
        <is>
          <t>Interaction AB</t>
        </is>
      </c>
      <c r="D23" s="14">
        <f>SUMPRODUCT(E10:E17,$H$10:$H$17)/4</f>
        <v/>
      </c>
      <c r="E23" s="5" t="inlineStr">
        <is>
          <t>Routing and authority together. Small against the main effects, so the two can be decided independently.</t>
        </is>
      </c>
      <c r="K23" s="17">
        <f>-AVERAGE(ABS($D$23),ABS($D$24),ABS($D$25))</f>
        <v/>
      </c>
    </row>
    <row r="24">
      <c r="A24" s="8" t="inlineStr">
        <is>
          <t>Interaction AC</t>
        </is>
      </c>
      <c r="D24" s="14">
        <f>SUMPRODUCT(F10:F17,$H$10:$H$17)/4</f>
        <v/>
      </c>
      <c r="E24" s="5" t="inlineStr">
        <is>
          <t>Routing and article together. Also small.</t>
        </is>
      </c>
      <c r="K24" s="17">
        <f>-AVERAGE(ABS($D$23),ABS($D$24),ABS($D$25))</f>
        <v/>
      </c>
    </row>
    <row r="25">
      <c r="A25" s="8" t="inlineStr">
        <is>
          <t>Interaction BC</t>
        </is>
      </c>
      <c r="D25" s="14">
        <f>SUMPRODUCT(G10:G17,$H$10:$H$17)/4</f>
        <v/>
      </c>
      <c r="E25" s="5" t="inlineStr">
        <is>
          <t>Authority and article together. Also small — which is the useful finding: none of these has to be rolled out as a package.</t>
        </is>
      </c>
      <c r="K25" s="17">
        <f>-AVERAGE(ABS($D$23),ABS($D$24),ABS($D$25))</f>
        <v/>
      </c>
    </row>
    <row r="26"/>
    <row r="27">
      <c r="A27" s="5" t="inlineStr">
        <is>
          <t>Randomise the run order before you execute, and repeat the whole design if you can afford it. Eight runs with no replication tells you about size, not about noise.</t>
        </is>
      </c>
    </row>
  </sheetData>
  <mergeCells count="21">
    <mergeCell ref="A25:C25"/>
    <mergeCell ref="E21:I21"/>
    <mergeCell ref="E24:I24"/>
    <mergeCell ref="B8:G8"/>
    <mergeCell ref="A27:I27"/>
    <mergeCell ref="A21:C21"/>
    <mergeCell ref="E23:I23"/>
    <mergeCell ref="A2:I2"/>
    <mergeCell ref="E20:I20"/>
    <mergeCell ref="A23:C23"/>
    <mergeCell ref="A22:C22"/>
    <mergeCell ref="A4:I4"/>
    <mergeCell ref="A20:C20"/>
    <mergeCell ref="B6:D6"/>
    <mergeCell ref="B5:D5"/>
    <mergeCell ref="A19:I19"/>
    <mergeCell ref="B7:D7"/>
    <mergeCell ref="A24:C24"/>
    <mergeCell ref="E25:I25"/>
    <mergeCell ref="A1:I1"/>
    <mergeCell ref="E22:I22"/>
  </mergeCell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terms:created xsi:type="dcterms:W3CDTF">2026-01-01T00:00:00Z</dcterms:created>
  <dcterms:modified xsi:type="dcterms:W3CDTF">2026-01-01T00:00:00Z</dcterms:modified>
  <cp:lastModifiedBy>six-sigma-blackbelt-support-ops</cp:lastModifiedBy>
</cp:coreProperties>
</file>