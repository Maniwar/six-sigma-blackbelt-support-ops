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keholders" sheetId="2" state="visible" r:id="rId2"/>
    <sheet name="RACI"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
      <i val="1"/>
      <color rgb="FF4B5563"/>
      <sz val="9"/>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17">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applyAlignment="1" pivotButton="0" quotePrefix="0" xfId="0">
      <alignment vertical="center" wrapText="1"/>
    </xf>
    <xf numFmtId="0" fontId="0" fillId="4" borderId="1" applyAlignment="1" pivotButton="0" quotePrefix="0" xfId="0">
      <alignment vertical="top" wrapText="1"/>
    </xf>
    <xf numFmtId="0" fontId="4" fillId="5" borderId="1" pivotButton="0" quotePrefix="0" xfId="0"/>
    <xf numFmtId="0" fontId="0" fillId="6" borderId="1" applyAlignment="1" pivotButton="0" quotePrefix="0" xfId="0">
      <alignment vertical="top" wrapText="1"/>
    </xf>
    <xf numFmtId="0" fontId="5" fillId="7" borderId="0" pivotButton="0" quotePrefix="0" xfId="0"/>
    <xf numFmtId="0" fontId="0" fillId="7" borderId="0" pivotButton="0" quotePrefix="0" xfId="0"/>
    <xf numFmtId="0" fontId="5" fillId="0" borderId="0" pivotButton="0" quotePrefix="0" xfId="0"/>
    <xf numFmtId="0" fontId="7" fillId="0" borderId="0" applyAlignment="1" pivotButton="0" quotePrefix="0" xfId="0">
      <alignment vertical="top" wrapText="1"/>
    </xf>
    <xf numFmtId="0" fontId="2" fillId="0" borderId="0" applyAlignment="1" pivotButton="0" quotePrefix="0" xfId="0">
      <alignment vertical="center" wrapText="1"/>
    </xf>
    <xf numFmtId="0" fontId="0" fillId="4" borderId="1" applyAlignment="1" pivotButton="0" quotePrefix="0" xfId="0">
      <alignment vertical="center" wrapText="1"/>
    </xf>
    <xf numFmtId="0"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3"/>
  <chart>
    <title>
      <tx>
        <rich>
          <a:bodyPr/>
          <a:p>
            <a:pPr>
              <a:defRPr/>
            </a:pPr>
            <a:r>
              <a:t>Stakeholder map — influence against support</a:t>
            </a:r>
          </a:p>
        </rich>
      </tx>
    </title>
    <plotArea>
      <scatterChart>
        <scatterStyle val="lineMarker"/>
        <ser>
          <idx val="0"/>
          <order val="0"/>
          <tx>
            <v>Stakeholders</v>
          </tx>
          <spPr>
            <a:ln>
              <a:noFill/>
              <a:prstDash val="solid"/>
            </a:ln>
          </spPr>
          <marker>
            <symbol val="circle"/>
            <size val="9"/>
            <spPr>
              <a:solidFill>
                <a:srgbClr val="1F4E79"/>
              </a:solidFill>
              <a:ln>
                <a:prstDash val="solid"/>
              </a:ln>
            </spPr>
          </marker>
          <xVal>
            <numRef>
              <f>'Stakeholders'!$D$5:$D$12</f>
            </numRef>
          </xVal>
          <yVal>
            <numRef>
              <f>'Stakeholders'!$C$5:$C$12</f>
            </numRef>
          </yVal>
        </ser>
        <ser>
          <idx val="1"/>
          <order val="1"/>
          <tx>
            <v>High influence threshold</v>
          </tx>
          <spPr>
            <a:ln>
              <a:solidFill>
                <a:srgbClr val="C0392B"/>
              </a:solidFill>
              <a:prstDash val="dash"/>
            </a:ln>
          </spPr>
          <marker>
            <symbol val="none"/>
            <spPr>
              <a:ln>
                <a:prstDash val="solid"/>
              </a:ln>
            </spPr>
          </marker>
          <xVal>
            <numRef>
              <f>'Stakeholders'!$I$5:$I$6</f>
            </numRef>
          </xVal>
          <yVal>
            <numRef>
              <f>'Stakeholders'!$J$5:$J$6</f>
            </numRef>
          </yVal>
        </ser>
        <ser>
          <idx val="2"/>
          <order val="2"/>
          <tx>
            <v>Opposed / supportive threshold</v>
          </tx>
          <spPr>
            <a:ln>
              <a:solidFill>
                <a:srgbClr val="C0392B"/>
              </a:solidFill>
              <a:prstDash val="dash"/>
            </a:ln>
          </spPr>
          <marker>
            <symbol val="none"/>
            <spPr>
              <a:ln>
                <a:prstDash val="solid"/>
              </a:ln>
            </spPr>
          </marker>
          <xVal>
            <numRef>
              <f>'Stakeholders'!$K$5:$K$6</f>
            </numRef>
          </xVal>
          <yVal>
            <numRef>
              <f>'Stakeholders'!$L$5:$L$6</f>
            </numRef>
          </yVal>
        </ser>
        <axId val="10"/>
        <axId val="20"/>
      </scatterChart>
      <valAx>
        <axId val="10"/>
        <scaling>
          <orientation val="minMax"/>
          <max val="2.5"/>
          <min val="-2.5"/>
        </scaling>
        <delete val="0"/>
        <axPos val="l"/>
        <majorGridlines/>
        <title>
          <tx>
            <rich>
              <a:bodyPr/>
              <a:p>
                <a:pPr>
                  <a:defRPr/>
                </a:pPr>
                <a:r>
                  <a:t>Support:  -2 opposed  →  +2 advocate</a:t>
                </a:r>
              </a:p>
            </rich>
          </tx>
        </title>
        <majorTickMark val="none"/>
        <minorTickMark val="none"/>
        <tickLblPos val="low"/>
        <crossAx val="20"/>
      </valAx>
      <valAx>
        <axId val="20"/>
        <scaling>
          <orientation val="minMax"/>
          <max val="6"/>
          <min val="0"/>
        </scaling>
        <delete val="0"/>
        <axPos val="l"/>
        <majorGridlines/>
        <title>
          <tx>
            <rich>
              <a:bodyPr/>
              <a:p>
                <a:pPr>
                  <a:defRPr/>
                </a:pPr>
                <a:r>
                  <a:t>Influence over the outcome</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Finding the person who can stop your project before they do, and settling who owns what while it is cheap.</t>
        </is>
      </c>
    </row>
    <row r="10">
      <c r="B10" s="1" t="inlineStr">
        <is>
          <t>Stakeholders tab</t>
        </is>
      </c>
    </row>
    <row r="11" ht="30" customHeight="1">
      <c r="B11" s="2" t="inlineStr">
        <is>
          <t>Score influence 1-5 and support -2 to +2 honestly. The Action column works out who to deal with first: high influence and opposed is where projects die.</t>
        </is>
      </c>
    </row>
    <row r="12">
      <c r="B12" s="1" t="inlineStr">
        <is>
          <t>RACI tab</t>
        </is>
      </c>
    </row>
    <row r="13" ht="30" customHeight="1">
      <c r="B13" s="2" t="inlineStr">
        <is>
          <t>The count column flags any row that does not have exactly one Accountable. Fix every flag before you leave the tollgate — 'we are both accountable' means nobody is.</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V28"/>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14" customWidth="1" min="3" max="3"/>
    <col width="14" customWidth="1" min="4" max="4"/>
    <col width="16" customWidth="1" min="5" max="5"/>
    <col width="30" customWidth="1" min="6" max="6"/>
    <col width="30" customWidth="1" min="7" max="7"/>
    <col width="6" customWidth="1" min="9" max="9"/>
    <col width="6" customWidth="1" min="10" max="10"/>
    <col width="6" customWidth="1" min="11" max="11"/>
    <col width="6" customWidth="1" min="12" max="12"/>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26" customHeight="1">
      <c r="A1" s="3" t="inlineStr">
        <is>
          <t>Stakeholder analysis — who can stop this, and who will</t>
        </is>
      </c>
      <c r="B1" s="4" t="n"/>
      <c r="C1" s="4" t="n"/>
      <c r="D1" s="4" t="n"/>
      <c r="E1" s="4" t="n"/>
      <c r="F1" s="4" t="n"/>
      <c r="G1" s="4" t="n"/>
    </row>
    <row r="2">
      <c r="A2" s="5" t="inlineStr">
        <is>
          <t>Projects rarely fail on the statistics. They fail because someone with influence was never asked.</t>
        </is>
      </c>
    </row>
    <row r="3"/>
    <row r="4" ht="30" customHeight="1">
      <c r="A4" s="6" t="inlineStr">
        <is>
          <t>Name</t>
        </is>
      </c>
      <c r="B4" s="6" t="inlineStr">
        <is>
          <t>Role</t>
        </is>
      </c>
      <c r="C4" s="6" t="inlineStr">
        <is>
          <t>Influence 1-5</t>
        </is>
      </c>
      <c r="D4" s="6" t="inlineStr">
        <is>
          <t>Support -2..+2</t>
        </is>
      </c>
      <c r="E4" s="6" t="inlineStr">
        <is>
          <t>Action needed</t>
        </is>
      </c>
      <c r="F4" s="6" t="inlineStr">
        <is>
          <t>What they need from you</t>
        </is>
      </c>
      <c r="G4" s="6" t="inlineStr">
        <is>
          <t>Owner</t>
        </is>
      </c>
      <c r="I4" s="5" t="inlineStr">
        <is>
          <t>quadrant dividers — the chart reads these</t>
        </is>
      </c>
    </row>
    <row r="5" ht="26" customHeight="1">
      <c r="A5" s="7" t="inlineStr">
        <is>
          <t>A. Okafor</t>
        </is>
      </c>
      <c r="B5" s="7" t="inlineStr">
        <is>
          <t>Billing Ops Manager</t>
        </is>
      </c>
      <c r="C5" s="7" t="n">
        <v>5</v>
      </c>
      <c r="D5" s="7" t="n">
        <v>-1</v>
      </c>
      <c r="E5" s="8">
        <f>IF(COUNT(C5:D5)&lt;2,"",IF(AND(C5&gt;=4,D5&lt;0),"ENGAGE NOW",IF(C5&gt;=4,"KEEP CLOSE",IF(D5&lt;0,"MONITOR","INFORM"))))</f>
        <v/>
      </c>
      <c r="F5" s="7" t="inlineStr">
        <is>
          <t>Proof this will not add work to her team</t>
        </is>
      </c>
      <c r="G5" s="7" t="inlineStr">
        <is>
          <t>Black Belt</t>
        </is>
      </c>
      <c r="I5" s="5" t="n">
        <v>-2.5</v>
      </c>
      <c r="J5" s="5" t="n">
        <v>3.5</v>
      </c>
      <c r="K5" s="5" t="n">
        <v>0</v>
      </c>
      <c r="L5" s="5" t="n">
        <v>0</v>
      </c>
    </row>
    <row r="6" ht="26" customHeight="1">
      <c r="A6" s="7" t="inlineStr">
        <is>
          <t>R. Mehta</t>
        </is>
      </c>
      <c r="B6" s="7" t="inlineStr">
        <is>
          <t>Support Director</t>
        </is>
      </c>
      <c r="C6" s="7" t="n">
        <v>5</v>
      </c>
      <c r="D6" s="7" t="n">
        <v>2</v>
      </c>
      <c r="E6" s="8">
        <f>IF(COUNT(C6:D6)&lt;2,"",IF(AND(C6&gt;=4,D6&lt;0),"ENGAGE NOW",IF(C6&gt;=4,"KEEP CLOSE",IF(D6&lt;0,"MONITOR","INFORM"))))</f>
        <v/>
      </c>
      <c r="F6" s="7" t="inlineStr">
        <is>
          <t>A monthly number she can take to the exec review</t>
        </is>
      </c>
      <c r="G6" s="7" t="inlineStr">
        <is>
          <t>Champion</t>
        </is>
      </c>
      <c r="I6" s="5" t="n">
        <v>2.5</v>
      </c>
      <c r="J6" s="5" t="n">
        <v>3.5</v>
      </c>
      <c r="K6" s="5" t="n">
        <v>0</v>
      </c>
      <c r="L6" s="5" t="n">
        <v>6</v>
      </c>
    </row>
    <row r="7" ht="26" customHeight="1">
      <c r="A7" s="7" t="inlineStr">
        <is>
          <t>J. Lindqvist</t>
        </is>
      </c>
      <c r="B7" s="7" t="inlineStr">
        <is>
          <t>Finance Business Partner</t>
        </is>
      </c>
      <c r="C7" s="7" t="n">
        <v>4</v>
      </c>
      <c r="D7" s="7" t="n">
        <v>0</v>
      </c>
      <c r="E7" s="8">
        <f>IF(COUNT(C7:D7)&lt;2,"",IF(AND(C7&gt;=4,D7&lt;0),"ENGAGE NOW",IF(C7&gt;=4,"KEEP CLOSE",IF(D7&lt;0,"MONITOR","INFORM"))))</f>
        <v/>
      </c>
      <c r="F7" s="7" t="inlineStr">
        <is>
          <t>The benefit accounting policy agreed before baseline</t>
        </is>
      </c>
      <c r="G7" s="7" t="inlineStr">
        <is>
          <t>Black Belt</t>
        </is>
      </c>
    </row>
    <row r="8" ht="26" customHeight="1">
      <c r="A8" s="7" t="inlineStr">
        <is>
          <t>S. Duarte</t>
        </is>
      </c>
      <c r="B8" s="7" t="inlineStr">
        <is>
          <t>WFM Lead</t>
        </is>
      </c>
      <c r="C8" s="7" t="n">
        <v>4</v>
      </c>
      <c r="D8" s="7" t="n">
        <v>-2</v>
      </c>
      <c r="E8" s="8">
        <f>IF(COUNT(C8:D8)&lt;2,"",IF(AND(C8&gt;=4,D8&lt;0),"ENGAGE NOW",IF(C8&gt;=4,"KEEP CLOSE",IF(D8&lt;0,"MONITOR","INFORM"))))</f>
        <v/>
      </c>
      <c r="F8" s="7" t="inlineStr">
        <is>
          <t>Assurance the harvest is scheduled, not assumed</t>
        </is>
      </c>
      <c r="G8" s="7" t="inlineStr">
        <is>
          <t>Champion</t>
        </is>
      </c>
    </row>
    <row r="9" ht="26" customHeight="1">
      <c r="A9" s="7" t="inlineStr">
        <is>
          <t>P. Nwosu</t>
        </is>
      </c>
      <c r="B9" s="7" t="inlineStr">
        <is>
          <t>Platform Engineering Manager</t>
        </is>
      </c>
      <c r="C9" s="7" t="n">
        <v>3</v>
      </c>
      <c r="D9" s="7" t="n">
        <v>1</v>
      </c>
      <c r="E9" s="8">
        <f>IF(COUNT(C9:D9)&lt;2,"",IF(AND(C9&gt;=4,D9&lt;0),"ENGAGE NOW",IF(C9&gt;=4,"KEEP CLOSE",IF(D9&lt;0,"MONITOR","INFORM"))))</f>
        <v/>
      </c>
      <c r="F9" s="7" t="inlineStr">
        <is>
          <t>A scoped ticket, not a standing request</t>
        </is>
      </c>
      <c r="G9" s="7" t="inlineStr">
        <is>
          <t>Black Belt</t>
        </is>
      </c>
    </row>
    <row r="10" ht="26" customHeight="1">
      <c r="A10" s="7" t="inlineStr">
        <is>
          <t>K. Tanaka</t>
        </is>
      </c>
      <c r="B10" s="7" t="inlineStr">
        <is>
          <t>QA Lead</t>
        </is>
      </c>
      <c r="C10" s="7" t="n">
        <v>3</v>
      </c>
      <c r="D10" s="7" t="n">
        <v>2</v>
      </c>
      <c r="E10" s="8">
        <f>IF(COUNT(C10:D10)&lt;2,"",IF(AND(C10&gt;=4,D10&lt;0),"ENGAGE NOW",IF(C10&gt;=4,"KEEP CLOSE",IF(D10&lt;0,"MONITOR","INFORM"))))</f>
        <v/>
      </c>
      <c r="F10" s="7" t="inlineStr">
        <is>
          <t>Involvement in the operational definition</t>
        </is>
      </c>
      <c r="G10" s="7" t="inlineStr">
        <is>
          <t>Black Belt</t>
        </is>
      </c>
    </row>
    <row r="11" ht="26" customHeight="1">
      <c r="A11" s="7" t="inlineStr">
        <is>
          <t>M. Alvarez</t>
        </is>
      </c>
      <c r="B11" s="7" t="inlineStr">
        <is>
          <t>Tier 1 Team Lead</t>
        </is>
      </c>
      <c r="C11" s="7" t="n">
        <v>2</v>
      </c>
      <c r="D11" s="7" t="n">
        <v>1</v>
      </c>
      <c r="E11" s="8">
        <f>IF(COUNT(C11:D11)&lt;2,"",IF(AND(C11&gt;=4,D11&lt;0),"ENGAGE NOW",IF(C11&gt;=4,"KEEP CLOSE",IF(D11&lt;0,"MONITOR","INFORM"))))</f>
        <v/>
      </c>
      <c r="F11" s="7" t="inlineStr">
        <is>
          <t>Her agents consulted before the process changes</t>
        </is>
      </c>
      <c r="G11" s="7" t="inlineStr">
        <is>
          <t>Process owner</t>
        </is>
      </c>
    </row>
    <row r="12" ht="26" customHeight="1">
      <c r="A12" s="7" t="inlineStr">
        <is>
          <t>D. Byrne</t>
        </is>
      </c>
      <c r="B12" s="7" t="inlineStr">
        <is>
          <t>Compliance</t>
        </is>
      </c>
      <c r="C12" s="7" t="n">
        <v>2</v>
      </c>
      <c r="D12" s="7" t="n">
        <v>0</v>
      </c>
      <c r="E12" s="8">
        <f>IF(COUNT(C12:D12)&lt;2,"",IF(AND(C12&gt;=4,D12&lt;0),"ENGAGE NOW",IF(C12&gt;=4,"KEEP CLOSE",IF(D12&lt;0,"MONITOR","INFORM"))))</f>
        <v/>
      </c>
      <c r="F12" s="7" t="inlineStr">
        <is>
          <t>Sight of anything touching retention or consent</t>
        </is>
      </c>
      <c r="G12" s="7" t="inlineStr">
        <is>
          <t>Champion</t>
        </is>
      </c>
    </row>
    <row r="13">
      <c r="A13" s="9" t="n"/>
      <c r="B13" s="9" t="n"/>
      <c r="C13" s="9" t="n"/>
      <c r="D13" s="9" t="n"/>
      <c r="E13" s="8">
        <f>IF(COUNT(C13:D13)&lt;2,"",IF(AND(C13&gt;=4,D13&lt;0),"ENGAGE NOW",IF(C13&gt;=4,"KEEP CLOSE",IF(D13&lt;0,"MONITOR","INFORM"))))</f>
        <v/>
      </c>
      <c r="F13" s="9" t="n"/>
      <c r="G13" s="9" t="n"/>
    </row>
    <row r="14">
      <c r="A14" s="9" t="n"/>
      <c r="B14" s="9" t="n"/>
      <c r="C14" s="9" t="n"/>
      <c r="D14" s="9" t="n"/>
      <c r="E14" s="8">
        <f>IF(COUNT(C14:D14)&lt;2,"",IF(AND(C14&gt;=4,D14&lt;0),"ENGAGE NOW",IF(C14&gt;=4,"KEEP CLOSE",IF(D14&lt;0,"MONITOR","INFORM"))))</f>
        <v/>
      </c>
      <c r="F14" s="9" t="n"/>
      <c r="G14" s="9" t="n"/>
    </row>
    <row r="15">
      <c r="A15" s="9" t="n"/>
      <c r="B15" s="9" t="n"/>
      <c r="C15" s="9" t="n"/>
      <c r="D15" s="9" t="n"/>
      <c r="E15" s="8">
        <f>IF(COUNT(C15:D15)&lt;2,"",IF(AND(C15&gt;=4,D15&lt;0),"ENGAGE NOW",IF(C15&gt;=4,"KEEP CLOSE",IF(D15&lt;0,"MONITOR","INFORM"))))</f>
        <v/>
      </c>
      <c r="F15" s="9" t="n"/>
      <c r="G15" s="9" t="n"/>
    </row>
    <row r="16">
      <c r="A16" s="9" t="n"/>
      <c r="B16" s="9" t="n"/>
      <c r="C16" s="9" t="n"/>
      <c r="D16" s="9" t="n"/>
      <c r="E16" s="8">
        <f>IF(COUNT(C16:D16)&lt;2,"",IF(AND(C16&gt;=4,D16&lt;0),"ENGAGE NOW",IF(C16&gt;=4,"KEEP CLOSE",IF(D16&lt;0,"MONITOR","INFORM"))))</f>
        <v/>
      </c>
      <c r="F16" s="9" t="n"/>
      <c r="G16" s="9" t="n"/>
    </row>
    <row r="17">
      <c r="A17" s="9" t="n"/>
      <c r="B17" s="9" t="n"/>
      <c r="C17" s="9" t="n"/>
      <c r="D17" s="9" t="n"/>
      <c r="E17" s="8">
        <f>IF(COUNT(C17:D17)&lt;2,"",IF(AND(C17&gt;=4,D17&lt;0),"ENGAGE NOW",IF(C17&gt;=4,"KEEP CLOSE",IF(D17&lt;0,"MONITOR","INFORM"))))</f>
        <v/>
      </c>
      <c r="F17" s="9" t="n"/>
      <c r="G17" s="9" t="n"/>
    </row>
    <row r="18">
      <c r="A18" s="9" t="n"/>
      <c r="B18" s="9" t="n"/>
      <c r="C18" s="9" t="n"/>
      <c r="D18" s="9" t="n"/>
      <c r="E18" s="8">
        <f>IF(COUNT(C18:D18)&lt;2,"",IF(AND(C18&gt;=4,D18&lt;0),"ENGAGE NOW",IF(C18&gt;=4,"KEEP CLOSE",IF(D18&lt;0,"MONITOR","INFORM"))))</f>
        <v/>
      </c>
      <c r="F18" s="9" t="n"/>
      <c r="G18" s="9" t="n"/>
    </row>
    <row r="19">
      <c r="A19" s="9" t="n"/>
      <c r="B19" s="9" t="n"/>
      <c r="C19" s="9" t="n"/>
      <c r="D19" s="9" t="n"/>
      <c r="E19" s="8">
        <f>IF(COUNT(C19:D19)&lt;2,"",IF(AND(C19&gt;=4,D19&lt;0),"ENGAGE NOW",IF(C19&gt;=4,"KEEP CLOSE",IF(D19&lt;0,"MONITOR","INFORM"))))</f>
        <v/>
      </c>
      <c r="F19" s="9" t="n"/>
      <c r="G19" s="9" t="n"/>
    </row>
    <row r="20">
      <c r="A20" s="9" t="n"/>
      <c r="B20" s="9" t="n"/>
      <c r="C20" s="9" t="n"/>
      <c r="D20" s="9" t="n"/>
      <c r="E20" s="8">
        <f>IF(COUNT(C20:D20)&lt;2,"",IF(AND(C20&gt;=4,D20&lt;0),"ENGAGE NOW",IF(C20&gt;=4,"KEEP CLOSE",IF(D20&lt;0,"MONITOR","INFORM"))))</f>
        <v/>
      </c>
      <c r="F20" s="9" t="n"/>
      <c r="G20" s="9" t="n"/>
    </row>
    <row r="21">
      <c r="A21" s="9" t="n"/>
      <c r="B21" s="9" t="n"/>
      <c r="C21" s="9" t="n"/>
      <c r="D21" s="9" t="n"/>
      <c r="E21" s="8">
        <f>IF(COUNT(C21:D21)&lt;2,"",IF(AND(C21&gt;=4,D21&lt;0),"ENGAGE NOW",IF(C21&gt;=4,"KEEP CLOSE",IF(D21&lt;0,"MONITOR","INFORM"))))</f>
        <v/>
      </c>
      <c r="F21" s="9" t="n"/>
      <c r="G21" s="9" t="n"/>
    </row>
    <row r="22">
      <c r="A22" s="9" t="n"/>
      <c r="B22" s="9" t="n"/>
      <c r="C22" s="9" t="n"/>
      <c r="D22" s="9" t="n"/>
      <c r="E22" s="8">
        <f>IF(COUNT(C22:D22)&lt;2,"",IF(AND(C22&gt;=4,D22&lt;0),"ENGAGE NOW",IF(C22&gt;=4,"KEEP CLOSE",IF(D22&lt;0,"MONITOR","INFORM"))))</f>
        <v/>
      </c>
      <c r="F22" s="9" t="n"/>
      <c r="G22" s="9" t="n"/>
    </row>
    <row r="23">
      <c r="A23" s="9" t="n"/>
      <c r="B23" s="9" t="n"/>
      <c r="C23" s="9" t="n"/>
      <c r="D23" s="9" t="n"/>
      <c r="E23" s="8">
        <f>IF(COUNT(C23:D23)&lt;2,"",IF(AND(C23&gt;=4,D23&lt;0),"ENGAGE NOW",IF(C23&gt;=4,"KEEP CLOSE",IF(D23&lt;0,"MONITOR","INFORM"))))</f>
        <v/>
      </c>
      <c r="F23" s="9" t="n"/>
      <c r="G23" s="9" t="n"/>
    </row>
    <row r="24"/>
    <row r="25">
      <c r="A25" s="10" t="inlineStr">
        <is>
          <t>SUMMARY</t>
        </is>
      </c>
      <c r="B25" s="11" t="n"/>
      <c r="C25" s="11" t="n"/>
      <c r="D25" s="11" t="n"/>
      <c r="E25" s="11" t="n"/>
      <c r="F25" s="11" t="n"/>
      <c r="G25" s="11" t="n"/>
    </row>
    <row r="26" ht="66" customHeight="1">
      <c r="A26" s="12" t="inlineStr">
        <is>
          <t>Stakeholders mapped</t>
        </is>
      </c>
      <c r="E26" s="8">
        <f>COUNTA(A5:A23)</f>
        <v/>
      </c>
      <c r="N26" s="13" t="inlineStr">
        <is>
          <t>HOW TO READ IT.  Position is what matters, not the dots. High influence with low support is the quadrant that kills projects, and it is the one people leave until last. Anyone up and to the left needs a named plan and a date before Improve starts.
SO:  Name an owner and a date for everyone in the high-influence, low-support quadrant, and do it before Improve. That quadrant does not resolve itself and it decides the project.</t>
        </is>
      </c>
    </row>
    <row r="27">
      <c r="A27" s="12" t="inlineStr">
        <is>
          <t>High influence and opposed — deal with these first</t>
        </is>
      </c>
      <c r="E27" s="8">
        <f>COUNTIF(E5:E23,"ENGAGE NOW")</f>
        <v/>
      </c>
    </row>
    <row r="28">
      <c r="A28" s="12" t="inlineStr">
        <is>
          <t>High influence and supportive — your sponsors</t>
        </is>
      </c>
      <c r="E28" s="8">
        <f>COUNTIF(E5:E23,"KEEP CLOSE")</f>
        <v/>
      </c>
    </row>
  </sheetData>
  <mergeCells count="7">
    <mergeCell ref="A27:D27"/>
    <mergeCell ref="A1:G1"/>
    <mergeCell ref="N26:V26"/>
    <mergeCell ref="A26:D26"/>
    <mergeCell ref="A2:G2"/>
    <mergeCell ref="A25:G25"/>
    <mergeCell ref="A28:D28"/>
  </mergeCells>
  <dataValidations count="2">
    <dataValidation sqref="C5:C23" showDropDown="0" showInputMessage="0" showErrorMessage="0" allowBlank="1" type="whole" operator="between">
      <formula1>1</formula1>
      <formula2>5</formula2>
    </dataValidation>
    <dataValidation sqref="D5:D23" showDropDown="0" showInputMessage="0" showErrorMessage="0" allowBlank="1" type="whole" operator="between">
      <formula1>-2</formula1>
      <formula2>2</formula2>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23"/>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6" customWidth="1" min="6" max="6"/>
    <col width="26" customWidth="1" min="7" max="7"/>
  </cols>
  <sheetData>
    <row r="1" ht="26" customHeight="1">
      <c r="A1" s="3" t="inlineStr">
        <is>
          <t>RACI — exactly one Accountable per row</t>
        </is>
      </c>
      <c r="B1" s="4" t="n"/>
      <c r="C1" s="4" t="n"/>
      <c r="D1" s="4" t="n"/>
      <c r="E1" s="4" t="n"/>
      <c r="F1" s="4" t="n"/>
      <c r="G1" s="4" t="n"/>
    </row>
    <row r="2">
      <c r="A2" s="5" t="inlineStr">
        <is>
          <t>Two names in the Accountable column is the most common reason a control plan quietly stops being executed.</t>
        </is>
      </c>
    </row>
    <row r="3" ht="48" customHeight="1">
      <c r="A3" s="14" t="inlineStr">
        <is>
          <t>Key:
• Black Belt = the person running the project day to day
• Champion = the executive who owns the problem and clears the obstacles
• WFM = Workforce Management, the team that owns schedules and headcount</t>
        </is>
      </c>
    </row>
    <row r="4" ht="30" customHeight="1">
      <c r="A4" s="6" t="inlineStr">
        <is>
          <t>Activity / decision</t>
        </is>
      </c>
      <c r="B4" s="6" t="inlineStr">
        <is>
          <t>Black Belt</t>
        </is>
      </c>
      <c r="C4" s="6" t="inlineStr">
        <is>
          <t>Champion</t>
        </is>
      </c>
      <c r="D4" s="6" t="inlineStr">
        <is>
          <t>Process owner</t>
        </is>
      </c>
      <c r="E4" s="6" t="inlineStr">
        <is>
          <t>WFM</t>
        </is>
      </c>
      <c r="F4" s="6" t="inlineStr">
        <is>
          <t>Finance</t>
        </is>
      </c>
      <c r="G4" s="6" t="inlineStr">
        <is>
          <t>Accountable count</t>
        </is>
      </c>
    </row>
    <row r="5">
      <c r="A5" s="15" t="inlineStr">
        <is>
          <t>Sign the benefit and harvest mechanism</t>
        </is>
      </c>
      <c r="B5" s="15" t="inlineStr">
        <is>
          <t>C</t>
        </is>
      </c>
      <c r="C5" s="15" t="inlineStr">
        <is>
          <t>A</t>
        </is>
      </c>
      <c r="D5" s="15" t="inlineStr">
        <is>
          <t>C</t>
        </is>
      </c>
      <c r="E5" s="15" t="inlineStr">
        <is>
          <t>C</t>
        </is>
      </c>
      <c r="F5" s="15" t="inlineStr">
        <is>
          <t>R</t>
        </is>
      </c>
      <c r="G5" s="8">
        <f>IF(COUNTIF(B5:F5,"A")=1,"OK",IF(COUNTIF(B5:F5,"A")=0,"NO OWNER","MORE THAN ONE"))</f>
        <v/>
      </c>
    </row>
    <row r="6">
      <c r="A6" s="15" t="inlineStr">
        <is>
          <t>Agree the operational definition of a defect</t>
        </is>
      </c>
      <c r="B6" s="15" t="inlineStr">
        <is>
          <t>R</t>
        </is>
      </c>
      <c r="C6" s="15" t="inlineStr">
        <is>
          <t>I</t>
        </is>
      </c>
      <c r="D6" s="15" t="inlineStr">
        <is>
          <t>A</t>
        </is>
      </c>
      <c r="E6" s="15" t="inlineStr">
        <is>
          <t>I</t>
        </is>
      </c>
      <c r="F6" s="15" t="inlineStr">
        <is>
          <t>C</t>
        </is>
      </c>
      <c r="G6" s="8">
        <f>IF(COUNTIF(B6:F6,"A")=1,"OK",IF(COUNTIF(B6:F6,"A")=0,"NO OWNER","MORE THAN ONE"))</f>
        <v/>
      </c>
    </row>
    <row r="7">
      <c r="A7" s="15" t="inlineStr">
        <is>
          <t>Approve the pilot design and stopping rule</t>
        </is>
      </c>
      <c r="B7" s="15" t="inlineStr">
        <is>
          <t>R</t>
        </is>
      </c>
      <c r="C7" s="15" t="inlineStr">
        <is>
          <t>A</t>
        </is>
      </c>
      <c r="D7" s="15" t="inlineStr">
        <is>
          <t>C</t>
        </is>
      </c>
      <c r="E7" s="15" t="inlineStr">
        <is>
          <t>C</t>
        </is>
      </c>
      <c r="F7" s="15" t="inlineStr">
        <is>
          <t>I</t>
        </is>
      </c>
      <c r="G7" s="8">
        <f>IF(COUNTIF(B7:F7,"A")=1,"OK",IF(COUNTIF(B7:F7,"A")=0,"NO OWNER","MORE THAN ONE"))</f>
        <v/>
      </c>
    </row>
    <row r="8">
      <c r="A8" s="15" t="inlineStr">
        <is>
          <t>Change the routing rules in production</t>
        </is>
      </c>
      <c r="B8" s="15" t="inlineStr">
        <is>
          <t>C</t>
        </is>
      </c>
      <c r="C8" s="15" t="inlineStr">
        <is>
          <t>I</t>
        </is>
      </c>
      <c r="D8" s="15" t="inlineStr">
        <is>
          <t>A</t>
        </is>
      </c>
      <c r="E8" s="15" t="inlineStr">
        <is>
          <t>C</t>
        </is>
      </c>
      <c r="F8" s="15" t="inlineStr">
        <is>
          <t>I</t>
        </is>
      </c>
      <c r="G8" s="8">
        <f>IF(COUNTIF(B8:F8,"A")=1,"OK",IF(COUNTIF(B8:F8,"A")=0,"NO OWNER","MORE THAN ONE"))</f>
        <v/>
      </c>
    </row>
    <row r="9">
      <c r="A9" s="15" t="inlineStr">
        <is>
          <t>Own the control chart and its reaction plan</t>
        </is>
      </c>
      <c r="B9" s="15" t="inlineStr">
        <is>
          <t>C</t>
        </is>
      </c>
      <c r="C9" s="15" t="inlineStr">
        <is>
          <t>I</t>
        </is>
      </c>
      <c r="D9" s="15" t="inlineStr">
        <is>
          <t>A</t>
        </is>
      </c>
      <c r="E9" s="15" t="inlineStr">
        <is>
          <t>R</t>
        </is>
      </c>
      <c r="F9" s="15" t="inlineStr">
        <is>
          <t>I</t>
        </is>
      </c>
      <c r="G9" s="8">
        <f>IF(COUNTIF(B9:F9,"A")=1,"OK",IF(COUNTIF(B9:F9,"A")=0,"NO OWNER","MORE THAN ONE"))</f>
        <v/>
      </c>
    </row>
    <row r="10">
      <c r="A10" s="15" t="inlineStr">
        <is>
          <t>Release the headcount the project frees</t>
        </is>
      </c>
      <c r="B10" s="15" t="inlineStr">
        <is>
          <t>I</t>
        </is>
      </c>
      <c r="C10" s="15" t="inlineStr">
        <is>
          <t>C</t>
        </is>
      </c>
      <c r="D10" s="15" t="inlineStr">
        <is>
          <t>C</t>
        </is>
      </c>
      <c r="E10" s="15" t="inlineStr">
        <is>
          <t>R</t>
        </is>
      </c>
      <c r="F10" s="15" t="inlineStr">
        <is>
          <t>A</t>
        </is>
      </c>
      <c r="G10" s="8">
        <f>IF(COUNTIF(B10:F10,"A")=1,"OK",IF(COUNTIF(B10:F10,"A")=0,"NO OWNER","MORE THAN ONE"))</f>
        <v/>
      </c>
    </row>
    <row r="11">
      <c r="A11" s="16" t="n"/>
      <c r="B11" s="16" t="n"/>
      <c r="C11" s="16" t="n"/>
      <c r="D11" s="16" t="n"/>
      <c r="E11" s="16" t="n"/>
      <c r="F11" s="16" t="n"/>
      <c r="G11" s="8">
        <f>IF(COUNTA(A11)=0,"",IF(COUNTIF(B11:F11,"A")=1,"OK",IF(COUNTIF(B11:F11,"A")=0,"NO OWNER","MORE THAN ONE")))</f>
        <v/>
      </c>
    </row>
    <row r="12">
      <c r="A12" s="16" t="n"/>
      <c r="B12" s="16" t="n"/>
      <c r="C12" s="16" t="n"/>
      <c r="D12" s="16" t="n"/>
      <c r="E12" s="16" t="n"/>
      <c r="F12" s="16" t="n"/>
      <c r="G12" s="8">
        <f>IF(COUNTA(A12)=0,"",IF(COUNTIF(B12:F12,"A")=1,"OK",IF(COUNTIF(B12:F12,"A")=0,"NO OWNER","MORE THAN ONE")))</f>
        <v/>
      </c>
    </row>
    <row r="13">
      <c r="A13" s="16" t="n"/>
      <c r="B13" s="16" t="n"/>
      <c r="C13" s="16" t="n"/>
      <c r="D13" s="16" t="n"/>
      <c r="E13" s="16" t="n"/>
      <c r="F13" s="16" t="n"/>
      <c r="G13" s="8">
        <f>IF(COUNTA(A13)=0,"",IF(COUNTIF(B13:F13,"A")=1,"OK",IF(COUNTIF(B13:F13,"A")=0,"NO OWNER","MORE THAN ONE")))</f>
        <v/>
      </c>
    </row>
    <row r="14">
      <c r="A14" s="16" t="n"/>
      <c r="B14" s="16" t="n"/>
      <c r="C14" s="16" t="n"/>
      <c r="D14" s="16" t="n"/>
      <c r="E14" s="16" t="n"/>
      <c r="F14" s="16" t="n"/>
      <c r="G14" s="8">
        <f>IF(COUNTA(A14)=0,"",IF(COUNTIF(B14:F14,"A")=1,"OK",IF(COUNTIF(B14:F14,"A")=0,"NO OWNER","MORE THAN ONE")))</f>
        <v/>
      </c>
    </row>
    <row r="15">
      <c r="A15" s="16" t="n"/>
      <c r="B15" s="16" t="n"/>
      <c r="C15" s="16" t="n"/>
      <c r="D15" s="16" t="n"/>
      <c r="E15" s="16" t="n"/>
      <c r="F15" s="16" t="n"/>
      <c r="G15" s="8">
        <f>IF(COUNTA(A15)=0,"",IF(COUNTIF(B15:F15,"A")=1,"OK",IF(COUNTIF(B15:F15,"A")=0,"NO OWNER","MORE THAN ONE")))</f>
        <v/>
      </c>
    </row>
    <row r="16">
      <c r="A16" s="16" t="n"/>
      <c r="B16" s="16" t="n"/>
      <c r="C16" s="16" t="n"/>
      <c r="D16" s="16" t="n"/>
      <c r="E16" s="16" t="n"/>
      <c r="F16" s="16" t="n"/>
      <c r="G16" s="8">
        <f>IF(COUNTA(A16)=0,"",IF(COUNTIF(B16:F16,"A")=1,"OK",IF(COUNTIF(B16:F16,"A")=0,"NO OWNER","MORE THAN ONE")))</f>
        <v/>
      </c>
    </row>
    <row r="17">
      <c r="A17" s="16" t="n"/>
      <c r="B17" s="16" t="n"/>
      <c r="C17" s="16" t="n"/>
      <c r="D17" s="16" t="n"/>
      <c r="E17" s="16" t="n"/>
      <c r="F17" s="16" t="n"/>
      <c r="G17" s="8">
        <f>IF(COUNTA(A17)=0,"",IF(COUNTIF(B17:F17,"A")=1,"OK",IF(COUNTIF(B17:F17,"A")=0,"NO OWNER","MORE THAN ONE")))</f>
        <v/>
      </c>
    </row>
    <row r="18">
      <c r="A18" s="16" t="n"/>
      <c r="B18" s="16" t="n"/>
      <c r="C18" s="16" t="n"/>
      <c r="D18" s="16" t="n"/>
      <c r="E18" s="16" t="n"/>
      <c r="F18" s="16" t="n"/>
      <c r="G18" s="8">
        <f>IF(COUNTA(A18)=0,"",IF(COUNTIF(B18:F18,"A")=1,"OK",IF(COUNTIF(B18:F18,"A")=0,"NO OWNER","MORE THAN ONE")))</f>
        <v/>
      </c>
    </row>
    <row r="19">
      <c r="A19" s="16" t="n"/>
      <c r="B19" s="16" t="n"/>
      <c r="C19" s="16" t="n"/>
      <c r="D19" s="16" t="n"/>
      <c r="E19" s="16" t="n"/>
      <c r="F19" s="16" t="n"/>
      <c r="G19" s="8">
        <f>IF(COUNTA(A19)=0,"",IF(COUNTIF(B19:F19,"A")=1,"OK",IF(COUNTIF(B19:F19,"A")=0,"NO OWNER","MORE THAN ONE")))</f>
        <v/>
      </c>
    </row>
    <row r="20">
      <c r="A20" s="16" t="n"/>
      <c r="B20" s="16" t="n"/>
      <c r="C20" s="16" t="n"/>
      <c r="D20" s="16" t="n"/>
      <c r="E20" s="16" t="n"/>
      <c r="F20" s="16" t="n"/>
      <c r="G20" s="8">
        <f>IF(COUNTA(A20)=0,"",IF(COUNTIF(B20:F20,"A")=1,"OK",IF(COUNTIF(B20:F20,"A")=0,"NO OWNER","MORE THAN ONE")))</f>
        <v/>
      </c>
    </row>
    <row r="21">
      <c r="A21" s="16" t="n"/>
      <c r="B21" s="16" t="n"/>
      <c r="C21" s="16" t="n"/>
      <c r="D21" s="16" t="n"/>
      <c r="E21" s="16" t="n"/>
      <c r="F21" s="16" t="n"/>
      <c r="G21" s="8">
        <f>IF(COUNTA(A21)=0,"",IF(COUNTIF(B21:F21,"A")=1,"OK",IF(COUNTIF(B21:F21,"A")=0,"NO OWNER","MORE THAN ONE")))</f>
        <v/>
      </c>
    </row>
    <row r="22"/>
    <row r="23">
      <c r="A23" s="5" t="inlineStr">
        <is>
          <t>R = does the work · A = owns the outcome (exactly one) · C = asked before the decision · I = told after it.</t>
        </is>
      </c>
    </row>
  </sheetData>
  <mergeCells count="4">
    <mergeCell ref="A3:G3"/>
    <mergeCell ref="A2:G2"/>
    <mergeCell ref="A1:G1"/>
    <mergeCell ref="A23:G23"/>
  </mergeCells>
  <dataValidations count="1">
    <dataValidation sqref="B5:F21" showDropDown="0" showInputMessage="0" showErrorMessage="0" allowBlank="1" type="list">
      <formula1>"R,A,C,I"</formula1>
    </dataValidation>
  </dataValidations>
  <printOptions horizontalCentered="1"/>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