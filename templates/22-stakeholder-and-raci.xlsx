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5" borderId="1" pivotButton="0" quotePrefix="0" xfId="0"/>
    <xf numFmtId="0" fontId="0" fillId="6" borderId="1" applyAlignment="1" pivotButton="0" quotePrefix="0" xfId="0">
      <alignment vertical="top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8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8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8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8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8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8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8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8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8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8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8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0" t="inlineStr">
        <is>
          <t>SUMMARY</t>
        </is>
      </c>
      <c r="B25" s="11" t="n"/>
      <c r="C25" s="11" t="n"/>
      <c r="D25" s="11" t="n"/>
      <c r="E25" s="11" t="n"/>
      <c r="F25" s="11" t="n"/>
      <c r="G25" s="11" t="n"/>
    </row>
    <row r="26">
      <c r="A26" s="12" t="inlineStr">
        <is>
          <t>Stakeholders mapped</t>
        </is>
      </c>
      <c r="E26" s="8">
        <f>COUNTA(A5:A23)</f>
        <v/>
      </c>
    </row>
    <row r="27">
      <c r="A27" s="12" t="inlineStr">
        <is>
          <t>High influence and opposed — deal with these first</t>
        </is>
      </c>
      <c r="E27" s="8">
        <f>COUNTIF(E5:E23,"ENGAGE NOW")</f>
        <v/>
      </c>
    </row>
    <row r="28">
      <c r="A28" s="12" t="inlineStr">
        <is>
          <t>High influence and supportive — your sponsors</t>
        </is>
      </c>
      <c r="E28" s="8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3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8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8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8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8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8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8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8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8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8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8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8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