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use this" sheetId="1" state="visible" r:id="rId1"/>
    <sheet name="Simple linear" sheetId="2" state="visible" r:id="rId2"/>
    <sheet name="Multiple regression" sheetId="3" state="visible" r:id="rId3"/>
    <sheet name="Logistic regression" sheetId="4" state="visible" r:id="rId4"/>
  </sheets>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000"/>
  </numFmts>
  <fonts count="7">
    <font>
      <name val="Calibri"/>
      <family val="2"/>
      <color theme="1"/>
      <sz val="11"/>
      <scheme val="minor"/>
    </font>
    <font>
      <b val="1"/>
      <color rgb="FFFFFFFF"/>
      <sz val="15"/>
    </font>
    <font>
      <i val="1"/>
      <color rgb="FF6B7280"/>
      <sz val="9"/>
    </font>
    <font>
      <b val="1"/>
      <sz val="11"/>
    </font>
    <font>
      <b val="1"/>
      <color rgb="FFFFFFFF"/>
      <sz val="10"/>
    </font>
    <font>
      <color rgb="FF1D4ED8"/>
      <sz val="11"/>
    </font>
    <font>
      <sz val="11"/>
    </font>
  </fonts>
  <fills count="8">
    <fill>
      <patternFill/>
    </fill>
    <fill>
      <patternFill patternType="gray125"/>
    </fill>
    <fill>
      <patternFill patternType="solid">
        <fgColor rgb="FF151B24"/>
      </patternFill>
    </fill>
    <fill>
      <patternFill patternType="solid">
        <fgColor rgb="FFEEF1F6"/>
      </patternFill>
    </fill>
    <fill>
      <patternFill patternType="solid">
        <fgColor rgb="FFFFF9E3"/>
      </patternFill>
    </fill>
    <fill>
      <patternFill patternType="solid">
        <fgColor rgb="FF333C49"/>
      </patternFill>
    </fill>
    <fill>
      <patternFill patternType="solid">
        <fgColor rgb="FFECFAEF"/>
      </patternFill>
    </fill>
    <fill>
      <patternFill patternType="solid">
        <fgColor rgb="FFF2F7FF"/>
      </patternFill>
    </fill>
  </fills>
  <borders count="2">
    <border>
      <left/>
      <right/>
      <top/>
      <bottom/>
      <diagonal/>
    </border>
    <border>
      <bottom style="thin">
        <color rgb="FFD8DEE7"/>
      </bottom>
    </border>
  </borders>
  <cellStyleXfs count="1">
    <xf numFmtId="0" fontId="0" fillId="0" borderId="0"/>
  </cellStyleXfs>
  <cellXfs count="44">
    <xf numFmtId="0" fontId="0" fillId="0" borderId="0" pivotButton="0" quotePrefix="0" xfId="0"/>
    <xf numFmtId="0" fontId="3" fillId="0" borderId="0" applyAlignment="1" pivotButton="0" quotePrefix="0" xfId="0">
      <alignment vertical="top" wrapText="1"/>
    </xf>
    <xf numFmtId="0" fontId="6" fillId="0" borderId="0" applyAlignment="1" pivotButton="0" quotePrefix="0" xfId="0">
      <alignment vertical="top" wrapText="1"/>
    </xf>
    <xf numFmtId="0" fontId="1" fillId="2" borderId="0" pivotButton="0" quotePrefix="0" xfId="0"/>
    <xf numFmtId="0" fontId="0" fillId="2" borderId="0" pivotButton="0" quotePrefix="0" xfId="0"/>
    <xf numFmtId="0" fontId="2" fillId="0" borderId="0" pivotButton="0" quotePrefix="0" xfId="0"/>
    <xf numFmtId="0" fontId="3" fillId="3" borderId="0" pivotButton="0" quotePrefix="0" xfId="0"/>
    <xf numFmtId="0" fontId="0" fillId="3" borderId="0" pivotButton="0" quotePrefix="0" xfId="0"/>
    <xf numFmtId="0" fontId="3" fillId="0" borderId="0" pivotButton="0" quotePrefix="0" xfId="0"/>
    <xf numFmtId="0" fontId="0" fillId="4" borderId="1" pivotButton="0" quotePrefix="0" xfId="0"/>
    <xf numFmtId="0" fontId="2" fillId="0" borderId="0" applyAlignment="1" pivotButton="0" quotePrefix="0" xfId="0">
      <alignment vertical="center" wrapText="1"/>
    </xf>
    <xf numFmtId="0" fontId="3" fillId="3" borderId="0" applyAlignment="1" pivotButton="0" quotePrefix="0" xfId="0">
      <alignment vertical="center" wrapText="1"/>
    </xf>
    <xf numFmtId="0" fontId="4" fillId="5" borderId="0" applyAlignment="1" pivotButton="0" quotePrefix="0" xfId="0">
      <alignment vertical="center" wrapText="1"/>
    </xf>
    <xf numFmtId="0" fontId="0" fillId="6" borderId="1" pivotButton="0" quotePrefix="0" xfId="0"/>
    <xf numFmtId="1" fontId="0" fillId="6" borderId="1" pivotButton="0" quotePrefix="0" xfId="0"/>
    <xf numFmtId="3" fontId="0" fillId="6" borderId="1" pivotButton="0" quotePrefix="0" xfId="0"/>
    <xf numFmtId="3" fontId="5" fillId="6" borderId="1" pivotButton="0" quotePrefix="0" xfId="0"/>
    <xf numFmtId="0" fontId="5" fillId="6" borderId="1" pivotButton="0" quotePrefix="0" xfId="0"/>
    <xf numFmtId="2" fontId="0" fillId="0" borderId="0" pivotButton="0" quotePrefix="0" xfId="0"/>
    <xf numFmtId="3" fontId="0" fillId="0" borderId="0" pivotButton="0" quotePrefix="0" xfId="0"/>
    <xf numFmtId="3" fontId="5" fillId="7" borderId="1" pivotButton="0" quotePrefix="0" xfId="0"/>
    <xf numFmtId="0" fontId="5" fillId="7" borderId="1" pivotButton="0" quotePrefix="0" xfId="0"/>
    <xf numFmtId="1" fontId="5" fillId="7" borderId="1" pivotButton="0" quotePrefix="0" xfId="0"/>
    <xf numFmtId="2" fontId="5" fillId="7" borderId="1" pivotButton="0" quotePrefix="0" xfId="0"/>
    <xf numFmtId="164" fontId="5" fillId="7" borderId="1" pivotButton="0" quotePrefix="0" xfId="0"/>
    <xf numFmtId="165" fontId="5" fillId="7" borderId="1" pivotButton="0" quotePrefix="0" xfId="0"/>
    <xf numFmtId="166" fontId="5" fillId="7" borderId="1" pivotButton="0" quotePrefix="0" xfId="0"/>
    <xf numFmtId="0" fontId="5" fillId="7" borderId="1" applyAlignment="1" pivotButton="0" quotePrefix="0" xfId="0">
      <alignment vertical="center" wrapText="1"/>
    </xf>
    <xf numFmtId="3" fontId="0" fillId="4" borderId="1" pivotButton="0" quotePrefix="0" xfId="0"/>
    <xf numFmtId="0" fontId="0" fillId="0" borderId="0" applyAlignment="1" pivotButton="0" quotePrefix="0" xfId="0">
      <alignment vertical="center" wrapText="1"/>
    </xf>
    <xf numFmtId="2" fontId="5" fillId="7" borderId="1" applyAlignment="1" pivotButton="0" quotePrefix="0" xfId="0">
      <alignment vertical="center"/>
    </xf>
    <xf numFmtId="166" fontId="5" fillId="7" borderId="1" applyAlignment="1" pivotButton="0" quotePrefix="0" xfId="0">
      <alignment vertical="center"/>
    </xf>
    <xf numFmtId="0" fontId="5" fillId="7" borderId="1" applyAlignment="1" pivotButton="0" quotePrefix="0" xfId="0">
      <alignment vertical="top" wrapText="1"/>
    </xf>
    <xf numFmtId="3" fontId="5" fillId="7" borderId="1" applyAlignment="1" pivotButton="0" quotePrefix="0" xfId="0">
      <alignment vertical="center"/>
    </xf>
    <xf numFmtId="165" fontId="0" fillId="6" borderId="1" applyAlignment="1" pivotButton="0" quotePrefix="0" xfId="0">
      <alignment vertical="center"/>
    </xf>
    <xf numFmtId="0" fontId="0" fillId="6" borderId="1" applyAlignment="1" pivotButton="0" quotePrefix="0" xfId="0">
      <alignment vertical="center"/>
    </xf>
    <xf numFmtId="165" fontId="5" fillId="6" borderId="1" applyAlignment="1" pivotButton="0" quotePrefix="0" xfId="0">
      <alignment vertical="center"/>
    </xf>
    <xf numFmtId="0" fontId="5" fillId="6" borderId="1" applyAlignment="1" pivotButton="0" quotePrefix="0" xfId="0">
      <alignment vertical="top" wrapText="1"/>
    </xf>
    <xf numFmtId="165" fontId="5" fillId="7" borderId="1" applyAlignment="1" pivotButton="0" quotePrefix="0" xfId="0">
      <alignment vertical="center"/>
    </xf>
    <xf numFmtId="165" fontId="5" fillId="6" borderId="1" pivotButton="0" quotePrefix="0" xfId="0"/>
    <xf numFmtId="164" fontId="5" fillId="6" borderId="1" pivotButton="0" quotePrefix="0" xfId="0"/>
    <xf numFmtId="1" fontId="5" fillId="6" borderId="1" pivotButton="0" quotePrefix="0" xfId="0"/>
    <xf numFmtId="9" fontId="0" fillId="4" borderId="1" pivotButton="0" quotePrefix="0" xfId="0"/>
    <xf numFmtId="2"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roundedCorners val="0"/>
  <style val="13"/>
  <chart>
    <title>
      <tx>
        <rich>
          <a:bodyPr/>
          <a:p>
            <a:pPr>
              <a:defRPr/>
            </a:pPr>
            <a:r>
              <a:t>Handle time against transfers — the line is the model, the scatter is what it misses</a:t>
            </a:r>
          </a:p>
        </rich>
      </tx>
    </title>
    <plotArea>
      <scatterChart>
        <scatterStyle val="lineMarker"/>
        <ser>
          <idx val="0"/>
          <order val="0"/>
          <tx>
            <v>Contacts — one dot each</v>
          </tx>
          <spPr>
            <a:ln>
              <a:noFill/>
              <a:prstDash val="solid"/>
            </a:ln>
          </spPr>
          <marker>
            <symbol val="circle"/>
            <size val="8"/>
            <spPr>
              <a:solidFill>
                <a:srgbClr val="1F4E79"/>
              </a:solidFill>
              <a:ln>
                <a:prstDash val="solid"/>
              </a:ln>
            </spPr>
          </marker>
          <xVal>
            <numRef>
              <f>'Simple linear'!$B$11:$B$34</f>
            </numRef>
          </xVal>
          <yVal>
            <numRef>
              <f>'Simple linear'!$C$11:$C$34</f>
            </numRef>
          </yVal>
        </ser>
        <ser>
          <idx val="1"/>
          <order val="1"/>
          <tx>
            <v>Fitted line — the model's average</v>
          </tx>
          <spPr>
            <a:ln w="22000">
              <a:solidFill>
                <a:srgbClr val="C0392B"/>
              </a:solidFill>
              <a:prstDash val="solid"/>
            </a:ln>
          </spPr>
          <marker>
            <symbol val="none"/>
            <spPr>
              <a:ln>
                <a:prstDash val="solid"/>
              </a:ln>
            </spPr>
          </marker>
          <xVal>
            <numRef>
              <f>'Simple linear'!$G$11:$G$12</f>
            </numRef>
          </xVal>
          <yVal>
            <numRef>
              <f>'Simple linear'!$H$11:$H$12</f>
            </numRef>
          </yVal>
        </ser>
        <axId val="10"/>
        <axId val="20"/>
      </scatterChart>
      <valAx>
        <axId val="10"/>
        <scaling>
          <orientation val="minMax"/>
        </scaling>
        <delete val="0"/>
        <axPos val="l"/>
        <majorGridlines/>
        <title>
          <tx>
            <rich>
              <a:bodyPr/>
              <a:p>
                <a:pPr>
                  <a:defRPr/>
                </a:pPr>
                <a:r>
                  <a:t>Transfers before resolution</a:t>
                </a:r>
              </a:p>
            </rich>
          </tx>
        </title>
        <majorTickMark val="none"/>
        <minorTickMark val="none"/>
        <tickLblPos val="low"/>
        <crossAx val="20"/>
      </valAx>
      <valAx>
        <axId val="20"/>
        <scaling>
          <orientation val="minMax"/>
        </scaling>
        <delete val="0"/>
        <axPos val="l"/>
        <majorGridlines/>
        <title>
          <tx>
            <rich>
              <a:bodyPr/>
              <a:p>
                <a:pPr>
                  <a:defRPr/>
                </a:pPr>
                <a:r>
                  <a:t>Handle time (seconds)</a:t>
                </a:r>
              </a:p>
            </rich>
          </tx>
        </title>
        <majorTickMark val="none"/>
        <minorTickMark val="none"/>
        <tickLblPos val="nextTo"/>
        <crossAx val="10"/>
      </valAx>
    </plotArea>
    <legend>
      <legendPos val="b"/>
    </legend>
    <plotVisOnly val="1"/>
    <dispBlanksAs val="gap"/>
  </chart>
</chartSpace>
</file>

<file path=xl/charts/chart2.xml><?xml version="1.0" encoding="utf-8"?>
<chartSpace xmlns:a="http://schemas.openxmlformats.org/drawingml/2006/main" xmlns="http://schemas.openxmlformats.org/drawingml/2006/chart">
  <roundedCorners val="0"/>
  <style val="13"/>
  <chart>
    <title>
      <tx>
        <rich>
          <a:bodyPr/>
          <a:p>
            <a:pPr>
              <a:defRPr/>
            </a:pPr>
            <a:r>
              <a:t>Residuals against fitted — a shapeless cloud is the only shape you can use</a:t>
            </a:r>
          </a:p>
        </rich>
      </tx>
    </title>
    <plotArea>
      <scatterChart>
        <scatterStyle val="lineMarker"/>
        <ser>
          <idx val="0"/>
          <order val="0"/>
          <tx>
            <v>Residual for each contact</v>
          </tx>
          <spPr>
            <a:ln>
              <a:noFill/>
              <a:prstDash val="solid"/>
            </a:ln>
          </spPr>
          <marker>
            <symbol val="circle"/>
            <size val="8"/>
            <spPr>
              <a:solidFill>
                <a:srgbClr val="1F4E79"/>
              </a:solidFill>
              <a:ln>
                <a:prstDash val="solid"/>
              </a:ln>
            </spPr>
          </marker>
          <xVal>
            <numRef>
              <f>'Multiple regression'!$G$11:$G$34</f>
            </numRef>
          </xVal>
          <yVal>
            <numRef>
              <f>'Multiple regression'!$H$11:$H$34</f>
            </numRef>
          </yVal>
        </ser>
        <ser>
          <idx val="1"/>
          <order val="1"/>
          <tx>
            <v>Zero — residuals should average out along it</v>
          </tx>
          <spPr>
            <a:ln w="20000">
              <a:solidFill>
                <a:srgbClr val="C0392B"/>
              </a:solidFill>
              <a:prstDash val="dash"/>
            </a:ln>
          </spPr>
          <marker>
            <symbol val="none"/>
            <spPr>
              <a:ln>
                <a:prstDash val="solid"/>
              </a:ln>
            </spPr>
          </marker>
          <xVal>
            <numRef>
              <f>'Multiple regression'!$V$11:$V$12</f>
            </numRef>
          </xVal>
          <yVal>
            <numRef>
              <f>'Multiple regression'!$W$11:$W$12</f>
            </numRef>
          </yVal>
        </ser>
        <axId val="10"/>
        <axId val="20"/>
      </scatterChart>
      <valAx>
        <axId val="10"/>
        <scaling>
          <orientation val="minMax"/>
        </scaling>
        <delete val="0"/>
        <axPos val="l"/>
        <majorGridlines/>
        <title>
          <tx>
            <rich>
              <a:bodyPr/>
              <a:p>
                <a:pPr>
                  <a:defRPr/>
                </a:pPr>
                <a:r>
                  <a:t>Fitted handle time (seconds)</a:t>
                </a:r>
              </a:p>
            </rich>
          </tx>
        </title>
        <majorTickMark val="none"/>
        <minorTickMark val="none"/>
        <tickLblPos val="low"/>
        <crossAx val="20"/>
      </valAx>
      <valAx>
        <axId val="20"/>
        <scaling>
          <orientation val="minMax"/>
        </scaling>
        <delete val="0"/>
        <axPos val="l"/>
        <majorGridlines/>
        <title>
          <tx>
            <rich>
              <a:bodyPr/>
              <a:p>
                <a:pPr>
                  <a:defRPr/>
                </a:pPr>
                <a:r>
                  <a:t>Residual (seconds)</a:t>
                </a:r>
              </a:p>
            </rich>
          </tx>
        </title>
        <majorTickMark val="none"/>
        <minorTickMark val="none"/>
        <tickLblPos val="nextTo"/>
        <crossAx val="10"/>
      </valAx>
    </plotArea>
    <legend>
      <legendPos val="b"/>
    </legend>
    <plotVisOnly val="1"/>
    <dispBlanksAs val="gap"/>
  </chart>
</chartSpace>
</file>

<file path=xl/comments/comment1.xml><?xml version="1.0" encoding="utf-8"?>
<comments xmlns="http://schemas.openxmlformats.org/spreadsheetml/2006/main">
  <authors>
    <author>Template</author>
  </authors>
  <commentList>
    <comment ref="B5" authorId="0" shapeId="0">
      <text>
        <t>Name the measurement, not the ambition. 'Handle time from CRM open to CRM close, in seconds' is a column you can pull; 'efficiency' is not.</t>
      </text>
    </comment>
    <comment ref="B6" authorId="0" shapeId="0">
      <text>
        <t>One column, and one you could actually change. Start with the driver the process owner already believes in; you are testing their belief, not replacing it.</t>
      </text>
    </comment>
    <comment ref="B7" authorId="0" shapeId="0">
      <text>
        <t>Say the population and the sampling method. A convenience sample of the contacts you happened to remember will produce a slope, and the slope will be of your memory.</t>
      </text>
    </comment>
  </commentList>
</comments>
</file>

<file path=xl/comments/comment2.xml><?xml version="1.0" encoding="utf-8"?>
<comments xmlns="http://schemas.openxmlformats.org/spreadsheetml/2006/main">
  <authors>
    <author>Template</author>
  </authors>
  <commentList>
    <comment ref="B5" authorId="0" shapeId="0">
      <text>
        <t>One continuous column. If your outcome is yes/no — reopened, escalated, breached — this is the wrong tab: go to Logistic regression.</t>
      </text>
    </comment>
    <comment ref="B6" authorId="0" shapeId="0">
      <text>
        <t>Population and sampling method. A model fitted on the contacts somebody escalated is a model of escalation, whatever you name the outcome.</t>
      </text>
    </comment>
    <comment ref="B7" authorId="0" shapeId="0">
      <text>
        <t>The smallest change in the outcome that would actually change a decision. Ask the process owner, before you see the coefficients. Twenty seconds a contact across 966 contacts a month is about five and a half hours of handling — enough to bother with; two seconds is not.</t>
      </text>
    </comment>
  </commentList>
</comments>
</file>

<file path=xl/comments/comment3.xml><?xml version="1.0" encoding="utf-8"?>
<comments xmlns="http://schemas.openxmlformats.org/spreadsheetml/2006/main">
  <authors>
    <author>Template</author>
  </authors>
  <commentList>
    <comment ref="B46" authorId="0" shapeId="0">
      <text>
        <t>Not 0.5. Roughly one billing adjustment in seven reopens, so at 0.5 the model flags nobody and still beats the base rate by predicting 'no' every time. Set the threshold from what a flag COSTS you: a quality check on a flagged contact takes about four minutes, so you can afford to be wrong often.</t>
      </text>
    </comment>
    <comment ref="B47" authorId="0" shapeId="0">
      <text>
        <t>Straight off the tool's output — Minitab calls it the concordance or the area under the ROC curve. It is threshold-free: 0.5 is a coin toss, 0.7 is useful for targeting, 0.8 is strong for support data. It says nothing about whether the probabilities themselves are calibrated.</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2</row>
      <rowOff>0</rowOff>
    </from>
    <ext cx="612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24</col>
      <colOff>0</colOff>
      <row>2</row>
      <rowOff>0</rowOff>
    </from>
    <ext cx="612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drawing" Target="/xl/drawings/drawing2.xml" Id="rId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fitToPage="1"/>
  </sheetPr>
  <dimension ref="A1:B40"/>
  <sheetViews>
    <sheetView showGridLines="0" workbookViewId="0">
      <selection activeCell="A1" sqref="A1"/>
    </sheetView>
  </sheetViews>
  <sheetFormatPr baseColWidth="8" defaultRowHeight="15"/>
  <cols>
    <col width="2" customWidth="1" min="1" max="1"/>
    <col width="108" customWidth="1" min="2" max="2"/>
  </cols>
  <sheetData>
    <row r="1"/>
    <row r="2">
      <c r="B2" s="1" t="inlineStr">
        <is>
          <t>Yellow cells</t>
        </is>
      </c>
    </row>
    <row r="3" ht="15" customHeight="1">
      <c r="B3" s="2" t="inlineStr">
        <is>
          <t>You fill these in.</t>
        </is>
      </c>
    </row>
    <row r="4">
      <c r="B4" s="1" t="inlineStr">
        <is>
          <t>Blue cells</t>
        </is>
      </c>
    </row>
    <row r="5" ht="15" customHeight="1">
      <c r="B5" s="2" t="inlineStr">
        <is>
          <t>Calculated for you. Do not type over them — they contain formulas.</t>
        </is>
      </c>
    </row>
    <row r="6">
      <c r="B6" s="1" t="inlineStr">
        <is>
          <t>Green cells</t>
        </is>
      </c>
    </row>
    <row r="7" ht="30" customHeight="1">
      <c r="B7" s="2" t="inlineStr">
        <is>
          <t>A worked example, so you can see the expected format and the charts say something the moment you open the file. Replace it with your own data when you start.</t>
        </is>
      </c>
    </row>
    <row r="8">
      <c r="B8" s="1" t="inlineStr">
        <is>
          <t>What this workbook is for</t>
        </is>
      </c>
    </row>
    <row r="9" ht="75" customHeight="1">
      <c r="B9" s="2" t="inlineStr">
        <is>
          <t>Two of the tools in the library — linear/multiple regression and logistic regression — had nowhere to write anything down. This is that place. It carries one worked case all the way through: billing adjustments, a 7-day reopen rate of 14.2% against a target of 8%, 966 contacts in the baseline month, mean handle time 412 seconds, and four drivers the team had already named. The same 24 sampled contacts appear on all three tabs, so you can paste your own extract once and reuse the columns.</t>
        </is>
      </c>
    </row>
    <row r="10">
      <c r="B10" s="1" t="inlineStr">
        <is>
          <t>Which tab, and in what order</t>
        </is>
      </c>
    </row>
    <row r="11" ht="60" customHeight="1">
      <c r="B11" s="2" t="inlineStr">
        <is>
          <t>Simple linear first, always — one driver against the outcome, plotted, so you see curvature, clusters and outliers before any coefficient hides them. Then Multiple regression, which fits all four drivers together and shows which of them the data cannot tell apart. Logistic regression last, and only when the outcome is yes/no.</t>
        </is>
      </c>
    </row>
    <row r="12">
      <c r="B12" s="1" t="inlineStr">
        <is>
          <t>What the logistic tab does not do</t>
        </is>
      </c>
    </row>
    <row r="13" ht="75" customHeight="1">
      <c r="B13" s="2" t="inlineStr">
        <is>
          <t>It does not fit the model. Maximum likelihood is an iterative search with no closed form, so no plain spreadsheet formula can do it honestly. Fit it in Minitab, statsmodels or R, paste the coefficient table into the yellow cells, and this tab does the interpretation: odds ratios with confidence intervals, a predicted probability per contact, and a classification table at whatever threshold you choose.</t>
        </is>
      </c>
    </row>
    <row r="14">
      <c r="B14" s="1" t="inlineStr">
        <is>
          <t>How good is good enough, for support data</t>
        </is>
      </c>
    </row>
    <row r="15" ht="60" customHeight="1">
      <c r="B15" s="2" t="inlineStr">
        <is>
          <t>Lower than a manufacturing course will tell you. A single driver explaining 20-40% of a duration is a normal, useful result; an adjusted R² of 0.3 to 0.6 across several drivers is a good model. Anything above 0.85 usually means a component of the outcome has crept in as a predictor. Judge a model on the size of the effects it hands you and on the residual plot, not on R².</t>
        </is>
      </c>
    </row>
    <row r="16">
      <c r="B16" s="1" t="inlineStr">
        <is>
          <t>The trap that catches everybody</t>
        </is>
      </c>
    </row>
    <row r="17" ht="60" customHeight="1">
      <c r="B17" s="2" t="inlineStr">
        <is>
          <t>A significant coefficient is not a coefficient worth acting on. Significance only says the effect is probably not zero. The 'Act on it?' column multiplies each coefficient by the range that driver actually covers in your data and compares it with the smallest effect you said would matter — and it refuses to say yes on a p-value alone.</t>
        </is>
      </c>
    </row>
    <row r="18">
      <c r="B18" s="1" t="inlineStr">
        <is>
          <t>And the one that ends projects</t>
        </is>
      </c>
    </row>
    <row r="19" ht="60" customHeight="1">
      <c r="B19" s="2" t="inlineStr">
        <is>
          <t>Correlation here is not causation. No regression on observed data can tell you whether transfers lengthen contacts or whether hard contacts get transferred. Regression ranks your suspects. A designed experiment (24-doe-design-matrix.xlsx) or a controlled pilot (16-pilot-protocol.md) convicts one. Write the association down here, then go and test it.</t>
        </is>
      </c>
    </row>
    <row r="20">
      <c r="B20" s="1" t="inlineStr">
        <is>
          <t>Where the numbers go next</t>
        </is>
      </c>
    </row>
    <row r="21" ht="45" customHeight="1">
      <c r="B21" s="2" t="inlineStr">
        <is>
          <t>The coefficients, their intervals and the residual verdict belong in 14-root-cause-evidence-pack.md, next to the mechanism you observed. The driver you decide to act on becomes a candidate solution in 15-solution-selection-matrix.xlsx.</t>
        </is>
      </c>
    </row>
    <row r="22"/>
    <row r="23"/>
    <row r="24"/>
    <row r="25"/>
    <row r="26"/>
    <row r="27"/>
    <row r="28"/>
    <row r="29"/>
    <row r="30"/>
    <row r="31"/>
    <row r="32"/>
    <row r="33"/>
    <row r="34"/>
    <row r="35"/>
    <row r="36"/>
    <row r="37"/>
    <row r="38"/>
    <row r="39"/>
    <row r="40"/>
  </sheetData>
  <printOptions horizontalCentered="1"/>
  <pageMargins left="0.4" right="0.4" top="0.5" bottom="0.5"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H57"/>
  <sheetViews>
    <sheetView showGridLines="0" workbookViewId="0">
      <pane ySplit="10" topLeftCell="A11" activePane="bottomLeft" state="frozen"/>
      <selection pane="bottomLeft" activeCell="A1" sqref="A1"/>
    </sheetView>
  </sheetViews>
  <sheetFormatPr baseColWidth="8" defaultRowHeight="15"/>
  <cols>
    <col width="42" customWidth="1" min="1" max="1"/>
    <col width="24" customWidth="1" min="2" max="2"/>
    <col width="18" customWidth="1" min="3" max="3"/>
    <col width="18" customWidth="1" min="4" max="4"/>
    <col width="16" customWidth="1" min="5" max="5"/>
    <col width="26" customWidth="1" min="6" max="6"/>
    <col width="11" customWidth="1" min="7" max="7"/>
    <col width="11" customWidth="1" min="8" max="8"/>
  </cols>
  <sheetData>
    <row r="1" ht="26" customHeight="1">
      <c r="A1" s="3" t="inlineStr">
        <is>
          <t>Simple linear regression — one driver, one outcome</t>
        </is>
      </c>
      <c r="B1" s="4" t="n"/>
      <c r="C1" s="4" t="n"/>
      <c r="D1" s="4" t="n"/>
      <c r="E1" s="4" t="n"/>
      <c r="F1" s="4" t="n"/>
    </row>
    <row r="2">
      <c r="A2" s="5" t="inlineStr">
        <is>
          <t>Fit a straight line through two columns, then find out how much of the outcome that one driver actually explains. The green rows are a worked example — replace them with your own pairs. Yellow cells above are yours to set; everything blue is a formula you can point at.</t>
        </is>
      </c>
    </row>
    <row r="3"/>
    <row r="4">
      <c r="A4" s="6" t="inlineStr">
        <is>
          <t>THE QUESTION — what you are modelling, and where the rows came from</t>
        </is>
      </c>
      <c r="B4" s="7" t="n"/>
      <c r="C4" s="7" t="n"/>
      <c r="D4" s="7" t="n"/>
      <c r="E4" s="7" t="n"/>
      <c r="F4" s="7" t="n"/>
    </row>
    <row r="5" ht="30" customHeight="1">
      <c r="A5" s="8" t="inlineStr">
        <is>
          <t>Outcome (y) — the thing you want to move</t>
        </is>
      </c>
      <c r="B5" s="9" t="inlineStr">
        <is>
          <t>Handle time in seconds</t>
        </is>
      </c>
      <c r="C5" s="10" t="inlineStr">
        <is>
          <t>Name the measurement, not the ambition. 'Handle time from CRM open to CRM close, in seconds' is a column you can pull; 'efficiency' is not.</t>
        </is>
      </c>
    </row>
    <row r="6" ht="30" customHeight="1">
      <c r="A6" s="8" t="inlineStr">
        <is>
          <t>Driver (x) — the one thing you are testing</t>
        </is>
      </c>
      <c r="B6" s="9" t="inlineStr">
        <is>
          <t>Transfers per contact</t>
        </is>
      </c>
      <c r="C6" s="10" t="inlineStr">
        <is>
          <t>One column, and one you could actually change. Start with the driver the process owner already believes in; you are testing their belief, not replacing it.</t>
        </is>
      </c>
    </row>
    <row r="7" ht="30" customHeight="1">
      <c r="A7" s="8" t="inlineStr">
        <is>
          <t>Where the rows come from</t>
        </is>
      </c>
      <c r="B7" s="9" t="inlineStr">
        <is>
          <t>24 of 966 March contacts</t>
        </is>
      </c>
      <c r="C7" s="10" t="inlineStr">
        <is>
          <t>Say the population and the sampling method. A convenience sample of the contacts you happened to remember will produce a slope, and the slope will be of your memory.</t>
        </is>
      </c>
    </row>
    <row r="8"/>
    <row r="9" ht="36" customHeight="1">
      <c r="A9" s="11" t="inlineStr">
        <is>
          <t>THE DATA — one row per contact, x beside y  ·  Key: Fitted y = what the model predicts for that row, before you compare it with what actually happened · Residual = what the model missed on that row: the value that actually happened minus the fitted one</t>
        </is>
      </c>
      <c r="B9" s="7" t="n"/>
      <c r="C9" s="7" t="n"/>
      <c r="D9" s="7" t="n"/>
      <c r="E9" s="7" t="n"/>
      <c r="F9" s="7" t="n"/>
    </row>
    <row r="10" ht="46" customHeight="1">
      <c r="A10" s="12" t="inlineStr">
        <is>
          <t>Contact ref</t>
        </is>
      </c>
      <c r="B10" s="12" t="inlineStr">
        <is>
          <t>Transfers before resolution (x)</t>
        </is>
      </c>
      <c r="C10" s="12" t="inlineStr">
        <is>
          <t>Handle time in seconds (y)</t>
        </is>
      </c>
      <c r="D10" s="12" t="inlineStr">
        <is>
          <t>Fitted y — what the line predicts</t>
        </is>
      </c>
      <c r="E10" s="12" t="inlineStr">
        <is>
          <t>Residual (y − fitted)</t>
        </is>
      </c>
      <c r="F10" s="12" t="inlineStr">
        <is>
          <t>Off the line by more than 1.5 standard errors?</t>
        </is>
      </c>
      <c r="G10" s="5" t="inlineStr">
        <is>
          <t>fitted line endpoints — the chart reads these</t>
        </is>
      </c>
    </row>
    <row r="11">
      <c r="A11" s="13" t="inlineStr">
        <is>
          <t>BA-2201 · 17:05</t>
        </is>
      </c>
      <c r="B11" s="14" t="n">
        <v>0</v>
      </c>
      <c r="C11" s="15" t="n">
        <v>280</v>
      </c>
      <c r="D11" s="16">
        <f>IF($C11="","",$B$41+$B$40*$B11)</f>
        <v/>
      </c>
      <c r="E11" s="16">
        <f>IF($D11="","",$C11-$D11)</f>
        <v/>
      </c>
      <c r="F11" s="17">
        <f>IF($E11="","",IF(ABS($E11)&gt;1.5*$B$44,"LOOK AT THIS ONE","on the line"))</f>
        <v/>
      </c>
      <c r="G11" s="18">
        <f>IFERROR(MIN($B$11:$B$34),0)</f>
        <v/>
      </c>
      <c r="H11" s="19">
        <f>IFERROR($B$41+$B$40*$G$11,"")</f>
        <v/>
      </c>
    </row>
    <row r="12">
      <c r="A12" s="13" t="inlineStr">
        <is>
          <t>BA-2202 · 17:20</t>
        </is>
      </c>
      <c r="B12" s="14" t="n">
        <v>1</v>
      </c>
      <c r="C12" s="15" t="n">
        <v>506</v>
      </c>
      <c r="D12" s="20">
        <f>IF($C12="","",$B$41+$B$40*$B12)</f>
        <v/>
      </c>
      <c r="E12" s="20">
        <f>IF($D12="","",$C12-$D12)</f>
        <v/>
      </c>
      <c r="F12" s="21">
        <f>IF($E12="","",IF(ABS($E12)&gt;1.5*$B$44,"LOOK AT THIS ONE","on the line"))</f>
        <v/>
      </c>
      <c r="G12" s="18">
        <f>IFERROR(MAX($B$11:$B$34),0)</f>
        <v/>
      </c>
      <c r="H12" s="19">
        <f>IFERROR($B$41+$B$40*$G$12,"")</f>
        <v/>
      </c>
    </row>
    <row r="13">
      <c r="A13" s="13" t="inlineStr">
        <is>
          <t>BA-2203 · 08:15</t>
        </is>
      </c>
      <c r="B13" s="14" t="n">
        <v>1</v>
      </c>
      <c r="C13" s="15" t="n">
        <v>344</v>
      </c>
      <c r="D13" s="20">
        <f>IF($C13="","",$B$41+$B$40*$B13)</f>
        <v/>
      </c>
      <c r="E13" s="20">
        <f>IF($D13="","",$C13-$D13)</f>
        <v/>
      </c>
      <c r="F13" s="21">
        <f>IF($E13="","",IF(ABS($E13)&gt;1.5*$B$44,"LOOK AT THIS ONE","on the line"))</f>
        <v/>
      </c>
    </row>
    <row r="14">
      <c r="A14" s="13" t="inlineStr">
        <is>
          <t>BA-2204 · 17:45</t>
        </is>
      </c>
      <c r="B14" s="14" t="n">
        <v>2</v>
      </c>
      <c r="C14" s="15" t="n">
        <v>479</v>
      </c>
      <c r="D14" s="20">
        <f>IF($C14="","",$B$41+$B$40*$B14)</f>
        <v/>
      </c>
      <c r="E14" s="20">
        <f>IF($D14="","",$C14-$D14)</f>
        <v/>
      </c>
      <c r="F14" s="21">
        <f>IF($E14="","",IF(ABS($E14)&gt;1.5*$B$44,"LOOK AT THIS ONE","on the line"))</f>
        <v/>
      </c>
    </row>
    <row r="15">
      <c r="A15" s="13" t="inlineStr">
        <is>
          <t>BA-2205 · 18:10</t>
        </is>
      </c>
      <c r="B15" s="14" t="n">
        <v>2</v>
      </c>
      <c r="C15" s="15" t="n">
        <v>422</v>
      </c>
      <c r="D15" s="20">
        <f>IF($C15="","",$B$41+$B$40*$B15)</f>
        <v/>
      </c>
      <c r="E15" s="20">
        <f>IF($D15="","",$C15-$D15)</f>
        <v/>
      </c>
      <c r="F15" s="21">
        <f>IF($E15="","",IF(ABS($E15)&gt;1.5*$B$44,"LOOK AT THIS ONE","on the line"))</f>
        <v/>
      </c>
    </row>
    <row r="16">
      <c r="A16" s="13" t="inlineStr">
        <is>
          <t>BA-2206 · 09:05</t>
        </is>
      </c>
      <c r="B16" s="14" t="n">
        <v>3</v>
      </c>
      <c r="C16" s="15" t="n">
        <v>452</v>
      </c>
      <c r="D16" s="20">
        <f>IF($C16="","",$B$41+$B$40*$B16)</f>
        <v/>
      </c>
      <c r="E16" s="20">
        <f>IF($D16="","",$C16-$D16)</f>
        <v/>
      </c>
      <c r="F16" s="21">
        <f>IF($E16="","",IF(ABS($E16)&gt;1.5*$B$44,"LOOK AT THIS ONE","on the line"))</f>
        <v/>
      </c>
    </row>
    <row r="17">
      <c r="A17" s="13" t="inlineStr">
        <is>
          <t>BA-2207 · 09:40</t>
        </is>
      </c>
      <c r="B17" s="14" t="n">
        <v>2</v>
      </c>
      <c r="C17" s="15" t="n">
        <v>374</v>
      </c>
      <c r="D17" s="20">
        <f>IF($C17="","",$B$41+$B$40*$B17)</f>
        <v/>
      </c>
      <c r="E17" s="20">
        <f>IF($D17="","",$C17-$D17)</f>
        <v/>
      </c>
      <c r="F17" s="21">
        <f>IF($E17="","",IF(ABS($E17)&gt;1.5*$B$44,"LOOK AT THIS ONE","on the line"))</f>
        <v/>
      </c>
    </row>
    <row r="18">
      <c r="A18" s="13" t="inlineStr">
        <is>
          <t>BA-2208 · 18:35</t>
        </is>
      </c>
      <c r="B18" s="14" t="n">
        <v>0</v>
      </c>
      <c r="C18" s="15" t="n">
        <v>451</v>
      </c>
      <c r="D18" s="20">
        <f>IF($C18="","",$B$41+$B$40*$B18)</f>
        <v/>
      </c>
      <c r="E18" s="20">
        <f>IF($D18="","",$C18-$D18)</f>
        <v/>
      </c>
      <c r="F18" s="21">
        <f>IF($E18="","",IF(ABS($E18)&gt;1.5*$B$44,"LOOK AT THIS ONE","on the line"))</f>
        <v/>
      </c>
    </row>
    <row r="19">
      <c r="A19" s="13" t="inlineStr">
        <is>
          <t>BA-2209 · 10:20</t>
        </is>
      </c>
      <c r="B19" s="14" t="n">
        <v>0</v>
      </c>
      <c r="C19" s="15" t="n">
        <v>360</v>
      </c>
      <c r="D19" s="20">
        <f>IF($C19="","",$B$41+$B$40*$B19)</f>
        <v/>
      </c>
      <c r="E19" s="20">
        <f>IF($D19="","",$C19-$D19)</f>
        <v/>
      </c>
      <c r="F19" s="21">
        <f>IF($E19="","",IF(ABS($E19)&gt;1.5*$B$44,"LOOK AT THIS ONE","on the line"))</f>
        <v/>
      </c>
    </row>
    <row r="20">
      <c r="A20" s="13" t="inlineStr">
        <is>
          <t>BA-2210 · 11:05</t>
        </is>
      </c>
      <c r="B20" s="14" t="n">
        <v>0</v>
      </c>
      <c r="C20" s="15" t="n">
        <v>260</v>
      </c>
      <c r="D20" s="20">
        <f>IF($C20="","",$B$41+$B$40*$B20)</f>
        <v/>
      </c>
      <c r="E20" s="20">
        <f>IF($D20="","",$C20-$D20)</f>
        <v/>
      </c>
      <c r="F20" s="21">
        <f>IF($E20="","",IF(ABS($E20)&gt;1.5*$B$44,"LOOK AT THIS ONE","on the line"))</f>
        <v/>
      </c>
    </row>
    <row r="21">
      <c r="A21" s="13" t="inlineStr">
        <is>
          <t>BA-2211 · 11:35</t>
        </is>
      </c>
      <c r="B21" s="14" t="n">
        <v>0</v>
      </c>
      <c r="C21" s="15" t="n">
        <v>415</v>
      </c>
      <c r="D21" s="20">
        <f>IF($C21="","",$B$41+$B$40*$B21)</f>
        <v/>
      </c>
      <c r="E21" s="20">
        <f>IF($D21="","",$C21-$D21)</f>
        <v/>
      </c>
      <c r="F21" s="21">
        <f>IF($E21="","",IF(ABS($E21)&gt;1.5*$B$44,"LOOK AT THIS ONE","on the line"))</f>
        <v/>
      </c>
    </row>
    <row r="22">
      <c r="A22" s="13" t="inlineStr">
        <is>
          <t>BA-2212 · 19:00</t>
        </is>
      </c>
      <c r="B22" s="14" t="n">
        <v>2</v>
      </c>
      <c r="C22" s="15" t="n">
        <v>555</v>
      </c>
      <c r="D22" s="20">
        <f>IF($C22="","",$B$41+$B$40*$B22)</f>
        <v/>
      </c>
      <c r="E22" s="20">
        <f>IF($D22="","",$C22-$D22)</f>
        <v/>
      </c>
      <c r="F22" s="21">
        <f>IF($E22="","",IF(ABS($E22)&gt;1.5*$B$44,"LOOK AT THIS ONE","on the line"))</f>
        <v/>
      </c>
    </row>
    <row r="23">
      <c r="A23" s="13" t="inlineStr">
        <is>
          <t>BA-2213 · 12:10</t>
        </is>
      </c>
      <c r="B23" s="14" t="n">
        <v>1</v>
      </c>
      <c r="C23" s="15" t="n">
        <v>393</v>
      </c>
      <c r="D23" s="20">
        <f>IF($C23="","",$B$41+$B$40*$B23)</f>
        <v/>
      </c>
      <c r="E23" s="20">
        <f>IF($D23="","",$C23-$D23)</f>
        <v/>
      </c>
      <c r="F23" s="21">
        <f>IF($E23="","",IF(ABS($E23)&gt;1.5*$B$44,"LOOK AT THIS ONE","on the line"))</f>
        <v/>
      </c>
    </row>
    <row r="24">
      <c r="A24" s="13" t="inlineStr">
        <is>
          <t>BA-2214 · 19:25</t>
        </is>
      </c>
      <c r="B24" s="14" t="n">
        <v>0</v>
      </c>
      <c r="C24" s="15" t="n">
        <v>454</v>
      </c>
      <c r="D24" s="20">
        <f>IF($C24="","",$B$41+$B$40*$B24)</f>
        <v/>
      </c>
      <c r="E24" s="20">
        <f>IF($D24="","",$C24-$D24)</f>
        <v/>
      </c>
      <c r="F24" s="21">
        <f>IF($E24="","",IF(ABS($E24)&gt;1.5*$B$44,"LOOK AT THIS ONE","on the line"))</f>
        <v/>
      </c>
    </row>
    <row r="25">
      <c r="A25" s="13" t="inlineStr">
        <is>
          <t>BA-2215 · 13:25</t>
        </is>
      </c>
      <c r="B25" s="14" t="n">
        <v>0</v>
      </c>
      <c r="C25" s="15" t="n">
        <v>257</v>
      </c>
      <c r="D25" s="20">
        <f>IF($C25="","",$B$41+$B$40*$B25)</f>
        <v/>
      </c>
      <c r="E25" s="20">
        <f>IF($D25="","",$C25-$D25)</f>
        <v/>
      </c>
      <c r="F25" s="21">
        <f>IF($E25="","",IF(ABS($E25)&gt;1.5*$B$44,"LOOK AT THIS ONE","on the line"))</f>
        <v/>
      </c>
    </row>
    <row r="26">
      <c r="A26" s="13" t="inlineStr">
        <is>
          <t>BA-2216 · 19:50</t>
        </is>
      </c>
      <c r="B26" s="14" t="n">
        <v>1</v>
      </c>
      <c r="C26" s="15" t="n">
        <v>544</v>
      </c>
      <c r="D26" s="20">
        <f>IF($C26="","",$B$41+$B$40*$B26)</f>
        <v/>
      </c>
      <c r="E26" s="20">
        <f>IF($D26="","",$C26-$D26)</f>
        <v/>
      </c>
      <c r="F26" s="21">
        <f>IF($E26="","",IF(ABS($E26)&gt;1.5*$B$44,"LOOK AT THIS ONE","on the line"))</f>
        <v/>
      </c>
    </row>
    <row r="27">
      <c r="A27" s="13" t="inlineStr">
        <is>
          <t>BA-2217 · 20:15</t>
        </is>
      </c>
      <c r="B27" s="14" t="n">
        <v>1</v>
      </c>
      <c r="C27" s="15" t="n">
        <v>482</v>
      </c>
      <c r="D27" s="20">
        <f>IF($C27="","",$B$41+$B$40*$B27)</f>
        <v/>
      </c>
      <c r="E27" s="20">
        <f>IF($D27="","",$C27-$D27)</f>
        <v/>
      </c>
      <c r="F27" s="21">
        <f>IF($E27="","",IF(ABS($E27)&gt;1.5*$B$44,"LOOK AT THIS ONE","on the line"))</f>
        <v/>
      </c>
    </row>
    <row r="28">
      <c r="A28" s="13" t="inlineStr">
        <is>
          <t>BA-2218 · 14:00</t>
        </is>
      </c>
      <c r="B28" s="14" t="n">
        <v>1</v>
      </c>
      <c r="C28" s="15" t="n">
        <v>403</v>
      </c>
      <c r="D28" s="20">
        <f>IF($C28="","",$B$41+$B$40*$B28)</f>
        <v/>
      </c>
      <c r="E28" s="20">
        <f>IF($D28="","",$C28-$D28)</f>
        <v/>
      </c>
      <c r="F28" s="21">
        <f>IF($E28="","",IF(ABS($E28)&gt;1.5*$B$44,"LOOK AT THIS ONE","on the line"))</f>
        <v/>
      </c>
    </row>
    <row r="29">
      <c r="A29" s="13" t="inlineStr">
        <is>
          <t>BA-2219 · 20:40</t>
        </is>
      </c>
      <c r="B29" s="14" t="n">
        <v>2</v>
      </c>
      <c r="C29" s="15" t="n">
        <v>433</v>
      </c>
      <c r="D29" s="20">
        <f>IF($C29="","",$B$41+$B$40*$B29)</f>
        <v/>
      </c>
      <c r="E29" s="20">
        <f>IF($D29="","",$C29-$D29)</f>
        <v/>
      </c>
      <c r="F29" s="21">
        <f>IF($E29="","",IF(ABS($E29)&gt;1.5*$B$44,"LOOK AT THIS ONE","on the line"))</f>
        <v/>
      </c>
    </row>
    <row r="30">
      <c r="A30" s="13" t="inlineStr">
        <is>
          <t>BA-2220 · 14:35</t>
        </is>
      </c>
      <c r="B30" s="14" t="n">
        <v>2</v>
      </c>
      <c r="C30" s="15" t="n">
        <v>483</v>
      </c>
      <c r="D30" s="20">
        <f>IF($C30="","",$B$41+$B$40*$B30)</f>
        <v/>
      </c>
      <c r="E30" s="20">
        <f>IF($D30="","",$C30-$D30)</f>
        <v/>
      </c>
      <c r="F30" s="21">
        <f>IF($E30="","",IF(ABS($E30)&gt;1.5*$B$44,"LOOK AT THIS ONE","on the line"))</f>
        <v/>
      </c>
    </row>
    <row r="31">
      <c r="A31" s="13" t="inlineStr">
        <is>
          <t>BA-2221 · 15:10</t>
        </is>
      </c>
      <c r="B31" s="14" t="n">
        <v>0</v>
      </c>
      <c r="C31" s="15" t="n">
        <v>261</v>
      </c>
      <c r="D31" s="20">
        <f>IF($C31="","",$B$41+$B$40*$B31)</f>
        <v/>
      </c>
      <c r="E31" s="20">
        <f>IF($D31="","",$C31-$D31)</f>
        <v/>
      </c>
      <c r="F31" s="21">
        <f>IF($E31="","",IF(ABS($E31)&gt;1.5*$B$44,"LOOK AT THIS ONE","on the line"))</f>
        <v/>
      </c>
    </row>
    <row r="32">
      <c r="A32" s="13" t="inlineStr">
        <is>
          <t>BA-2222 · 15:50</t>
        </is>
      </c>
      <c r="B32" s="14" t="n">
        <v>1</v>
      </c>
      <c r="C32" s="15" t="n">
        <v>424</v>
      </c>
      <c r="D32" s="20">
        <f>IF($C32="","",$B$41+$B$40*$B32)</f>
        <v/>
      </c>
      <c r="E32" s="20">
        <f>IF($D32="","",$C32-$D32)</f>
        <v/>
      </c>
      <c r="F32" s="21">
        <f>IF($E32="","",IF(ABS($E32)&gt;1.5*$B$44,"LOOK AT THIS ONE","on the line"))</f>
        <v/>
      </c>
    </row>
    <row r="33">
      <c r="A33" s="13" t="inlineStr">
        <is>
          <t>BA-2223 · 16:20</t>
        </is>
      </c>
      <c r="B33" s="14" t="n">
        <v>1</v>
      </c>
      <c r="C33" s="15" t="n">
        <v>359</v>
      </c>
      <c r="D33" s="20">
        <f>IF($C33="","",$B$41+$B$40*$B33)</f>
        <v/>
      </c>
      <c r="E33" s="20">
        <f>IF($D33="","",$C33-$D33)</f>
        <v/>
      </c>
      <c r="F33" s="21">
        <f>IF($E33="","",IF(ABS($E33)&gt;1.5*$B$44,"LOOK AT THIS ONE","on the line"))</f>
        <v/>
      </c>
    </row>
    <row r="34">
      <c r="A34" s="13" t="inlineStr">
        <is>
          <t>BA-2224 · 21:10</t>
        </is>
      </c>
      <c r="B34" s="14" t="n">
        <v>1</v>
      </c>
      <c r="C34" s="15" t="n">
        <v>505</v>
      </c>
      <c r="D34" s="20">
        <f>IF($C34="","",$B$41+$B$40*$B34)</f>
        <v/>
      </c>
      <c r="E34" s="20">
        <f>IF($D34="","",$C34-$D34)</f>
        <v/>
      </c>
      <c r="F34" s="21">
        <f>IF($E34="","",IF(ABS($E34)&gt;1.5*$B$44,"LOOK AT THIS ONE","on the line"))</f>
        <v/>
      </c>
    </row>
    <row r="35" ht="60" customHeight="1">
      <c r="A35" s="10" t="inlineStr">
        <is>
          <t>The last three columns are the model marking its own homework. Fitted y is what the line says this contact should have taken; the residual is what it missed by. BA-2216 took 544 seconds on a single transfer, which the line cannot explain at all — hold on to it, because the multiple regression tab does explain it.</t>
        </is>
      </c>
    </row>
    <row r="36"/>
    <row r="37">
      <c r="A37" s="6" t="inlineStr">
        <is>
          <t>STEP 1 — the line, and whether it is real</t>
        </is>
      </c>
      <c r="B37" s="7" t="n"/>
      <c r="C37" s="7" t="n"/>
      <c r="D37" s="7" t="n"/>
      <c r="E37" s="7" t="n"/>
      <c r="F37" s="7" t="n"/>
    </row>
    <row r="38" ht="30" customHeight="1">
      <c r="A38" s="12" t="inlineStr">
        <is>
          <t>Statistic</t>
        </is>
      </c>
      <c r="B38" s="12" t="inlineStr">
        <is>
          <t>Value</t>
        </is>
      </c>
      <c r="C38" s="12" t="inlineStr">
        <is>
          <t>What it tells you</t>
        </is>
      </c>
      <c r="D38" s="12" t="inlineStr"/>
      <c r="E38" s="12" t="inlineStr"/>
      <c r="F38" s="12" t="inlineStr"/>
    </row>
    <row r="39" ht="30" customHeight="1">
      <c r="A39" s="8" t="inlineStr">
        <is>
          <t>Contacts in the model (n)</t>
        </is>
      </c>
      <c r="B39" s="22">
        <f>COUNT($C$11:$C$34)</f>
        <v/>
      </c>
      <c r="C39" s="10" t="inlineStr">
        <is>
          <t>COUNT(y). Thirty is where a regression starts to be worth quoting; below about fifteen you are describing this sample and nothing beyond it.</t>
        </is>
      </c>
    </row>
    <row r="40" ht="30" customHeight="1">
      <c r="A40" s="8" t="inlineStr">
        <is>
          <t>Slope — seconds per extra transfer</t>
        </is>
      </c>
      <c r="B40" s="23">
        <f>SLOPE($C$11:$C$34,$B$11:$B$34)</f>
        <v/>
      </c>
      <c r="C40" s="10" t="inlineStr">
        <is>
          <t>SLOPE(y, x). How much y moves for one more transfer. This is the number that goes in a business case, not R².</t>
        </is>
      </c>
    </row>
    <row r="41" ht="30" customHeight="1">
      <c r="A41" s="8" t="inlineStr">
        <is>
          <t>Intercept — seconds at zero transfers</t>
        </is>
      </c>
      <c r="B41" s="23">
        <f>INTERCEPT($C$11:$C$34,$B$11:$B$34)</f>
        <v/>
      </c>
      <c r="C41" s="10" t="inlineStr">
        <is>
          <t>INTERCEPT(y, x). Only meaningful if zero is inside the range you actually observed. Here it is: plenty of these contacts were never transferred.</t>
        </is>
      </c>
    </row>
    <row r="42" ht="30" customHeight="1">
      <c r="A42" s="8" t="inlineStr">
        <is>
          <t>R² — share of the spread the line explains</t>
        </is>
      </c>
      <c r="B42" s="24">
        <f>RSQ($C$11:$C$34,$B$11:$B$34)</f>
        <v/>
      </c>
      <c r="C42" s="10" t="inlineStr">
        <is>
          <t>RSQ(y, x). The share of the variation in y this one driver accounts for. Everything else is the drivers you did not put in the model.</t>
        </is>
      </c>
    </row>
    <row r="43" ht="30" customHeight="1">
      <c r="A43" s="8" t="inlineStr">
        <is>
          <t>Correlation r</t>
        </is>
      </c>
      <c r="B43" s="25">
        <f>CORREL($C$11:$C$34,$B$11:$B$34)</f>
        <v/>
      </c>
      <c r="C43" s="10" t="inlineStr">
        <is>
          <t>CORREL(y, x). The square root of R², carrying the sign. Useful for direction; do not quote it as if it were a share of anything.</t>
        </is>
      </c>
    </row>
    <row r="44" ht="30" customHeight="1">
      <c r="A44" s="8" t="inlineStr">
        <is>
          <t>Standard error of the estimate</t>
        </is>
      </c>
      <c r="B44" s="23">
        <f>STEYX($C$11:$C$34,$B$11:$B$34)</f>
        <v/>
      </c>
      <c r="C44" s="10" t="inlineStr">
        <is>
          <t>STEYX(y, x). The typical distance a point sits from the line, in seconds. This is the honest width of a prediction from this model.</t>
        </is>
      </c>
    </row>
    <row r="45" ht="30" customHeight="1">
      <c r="A45" s="8" t="inlineStr">
        <is>
          <t>Standard error of the slope</t>
        </is>
      </c>
      <c r="B45" s="23">
        <f>INDEX(LINEST($C$11:$C$34,$B$11:$B$34,TRUE,TRUE),2,1)</f>
        <v/>
      </c>
      <c r="C45" s="10" t="inlineStr">
        <is>
          <t>INDEX(LINEST(y, x, TRUE, TRUE), 2, 1). LINEST returns a block; row 2 column 1 of it is how much the slope would wobble on another sample.</t>
        </is>
      </c>
    </row>
    <row r="46" ht="30" customHeight="1">
      <c r="A46" s="8" t="inlineStr">
        <is>
          <t>t-stat for the slope</t>
        </is>
      </c>
      <c r="B46" s="23">
        <f>IFERROR($B$40/$B$45,"")</f>
        <v/>
      </c>
      <c r="C46" s="10" t="inlineStr">
        <is>
          <t>Slope divided by its own standard error. Two or more and the slope is usually distinguishable from a flat line at this sample size.</t>
        </is>
      </c>
    </row>
    <row r="47" ht="30" customHeight="1">
      <c r="A47" s="8" t="inlineStr">
        <is>
          <t>Degrees of freedom</t>
        </is>
      </c>
      <c r="B47" s="22">
        <f>IFERROR(COUNT($C$11:$C$34)-2,"")</f>
        <v/>
      </c>
      <c r="C47" s="10" t="inlineStr">
        <is>
          <t>n − 2: one for the slope, one for the intercept. Everything about significance below depends on this being honest about your row count.</t>
        </is>
      </c>
    </row>
    <row r="48" ht="30" customHeight="1">
      <c r="A48" s="8" t="inlineStr">
        <is>
          <t>p-value for the slope</t>
        </is>
      </c>
      <c r="B48" s="26">
        <f>IFERROR(TDIST(ABS($B$46),$B$47,2),"")</f>
        <v/>
      </c>
      <c r="C48" s="10" t="inlineStr">
        <is>
          <t>TDIST(|t|, df, 2). The chance of a slope this far from flat if transfers made no difference at all.</t>
        </is>
      </c>
    </row>
    <row r="49"/>
    <row r="50">
      <c r="A50" s="6" t="inlineStr">
        <is>
          <t>THE MODEL, WRITTEN OUT — the sentence you are allowed to say</t>
        </is>
      </c>
      <c r="B50" s="7" t="n"/>
      <c r="C50" s="7" t="n"/>
      <c r="D50" s="7" t="n"/>
      <c r="E50" s="7" t="n"/>
      <c r="F50" s="7" t="n"/>
    </row>
    <row r="51" ht="30" customHeight="1">
      <c r="A51" s="27">
        <f>"Handle time in seconds  =  "&amp;TEXT($B$41,"0.0")&amp;"  +  "&amp;TEXT($B$40,"0.0")&amp;" × transfers.      One more transfer is worth about "&amp;TEXT($B$40,"0")&amp;" seconds, and this one driver explains "&amp;TEXT($B$42,"0%")&amp;" of the spread in handle time "&amp;"(p = "&amp;TEXT($B$48,"0.000")&amp;", n = "&amp;TEXT($B$39,"0")&amp;")."</f>
        <v/>
      </c>
    </row>
    <row r="52" ht="30" customHeight="1">
      <c r="A52" s="27">
        <f>IF($B$48="","",IF($B$48&gt;=0.05,"NOT PROVEN — at this sample size the slope is not distinguishable from a flat line. Collect more rows before you build anything on it.",IF($B$42&lt;0.3,"REAL BUT PARTIAL — the slope is significant (p = "&amp;TEXT($B$48,"0.000")&amp;") and the line still explains only "&amp;TEXT($B$42,"0%")&amp;" of the spread. Transfers are a genuine driver AND most of what moves handle time is not in this model.","REAL AND STRONG — significant, and the line explains "&amp;TEXT($B$42,"0%")&amp;" of the spread. Rare in support data; check the sample before you celebrate.")))</f>
        <v/>
      </c>
    </row>
    <row r="53"/>
    <row r="54">
      <c r="A54" s="6" t="inlineStr">
        <is>
          <t>THE DECISION RULE — read this before you quote the R²</t>
        </is>
      </c>
      <c r="B54" s="7" t="n"/>
      <c r="C54" s="7" t="n"/>
      <c r="D54" s="7" t="n"/>
      <c r="E54" s="7" t="n"/>
      <c r="F54" s="7" t="n"/>
    </row>
    <row r="55" ht="75" customHeight="1">
      <c r="A55" s="10" t="inlineStr">
        <is>
          <t>How high does R² have to be? Much lower than a manufacturing course will tell you. In support you are modelling human behaviour through a CRM, and 0.20 to 0.40 from a single driver is a normal, useful result. Judge the model on whether the SLOPE is big enough to act on and stable enough to bet on — not on R². A model that explains 25% of handle time and hands you a lever worth 50 seconds a contact is worth more than one explaining 80% of something you cannot change.</t>
        </is>
      </c>
    </row>
    <row r="56" ht="75" customHeight="1">
      <c r="A56" s="10" t="inlineStr">
        <is>
          <t>A significant coefficient is not the same as one worth acting on. Significance says the effect is probably not zero. It says nothing about size. With enough rows a 3-second effect becomes significant, and 3 seconds will not move your reopen rate. Always read the slope in the units of the problem, multiply it by the range you actually see, and compare that to the smallest change that would matter to the business.</t>
        </is>
      </c>
    </row>
    <row r="57" ht="75" customHeight="1">
      <c r="A57" s="10" t="inlineStr">
        <is>
          <t>Correlation here is not causation, and one driver hides the rest. This sheet cannot tell you whether transfers CAUSE longer handle times or whether hard cases cause both. Nothing in a regression can. To claim cause you need either a mechanism you have watched at the gemba or a designed experiment (24-doe-design-matrix.xlsx). Until then this is a well-measured association, and you say so out loud.</t>
        </is>
      </c>
    </row>
  </sheetData>
  <mergeCells count="26">
    <mergeCell ref="A54:F54"/>
    <mergeCell ref="C48:F48"/>
    <mergeCell ref="C39:F39"/>
    <mergeCell ref="A37:F37"/>
    <mergeCell ref="C7:F7"/>
    <mergeCell ref="A50:F50"/>
    <mergeCell ref="A56:F56"/>
    <mergeCell ref="A55:F55"/>
    <mergeCell ref="A57:F57"/>
    <mergeCell ref="A2:F2"/>
    <mergeCell ref="C6:F6"/>
    <mergeCell ref="A35:F35"/>
    <mergeCell ref="A4:F4"/>
    <mergeCell ref="C42:F42"/>
    <mergeCell ref="C5:F5"/>
    <mergeCell ref="A52:F52"/>
    <mergeCell ref="C45:F45"/>
    <mergeCell ref="A9:F9"/>
    <mergeCell ref="C47:F47"/>
    <mergeCell ref="C41:F41"/>
    <mergeCell ref="C44:F44"/>
    <mergeCell ref="C40:F40"/>
    <mergeCell ref="A51:F51"/>
    <mergeCell ref="A1:F1"/>
    <mergeCell ref="C43:F43"/>
    <mergeCell ref="C46:F46"/>
  </mergeCells>
  <printOptions horizontalCentered="1"/>
  <pageMargins left="0.4" right="0.4" top="0.5" bottom="0.5" header="0.5" footer="0.5"/>
  <pageSetup orientation="landscape" fitToHeight="0" fitToWidth="1"/>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W63"/>
  <sheetViews>
    <sheetView showGridLines="0" workbookViewId="0">
      <pane ySplit="10" topLeftCell="A11" activePane="bottomLeft" state="frozen"/>
      <selection pane="bottomLeft" activeCell="A1" sqref="A1"/>
    </sheetView>
  </sheetViews>
  <sheetFormatPr baseColWidth="8" defaultRowHeight="15"/>
  <cols>
    <col width="44" customWidth="1" min="1" max="1"/>
    <col width="24" customWidth="1" min="2" max="2"/>
    <col width="14" customWidth="1" min="3" max="3"/>
    <col width="14" customWidth="1" min="4" max="4"/>
    <col width="15" customWidth="1" min="5" max="5"/>
    <col width="15" customWidth="1" min="6" max="6"/>
    <col width="17" customWidth="1" min="7" max="7"/>
    <col width="26" customWidth="1" min="8" max="8"/>
    <col width="40"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s>
  <sheetData>
    <row r="1" ht="26" customHeight="1">
      <c r="A1" s="3" t="inlineStr">
        <is>
          <t>Multiple regression — four candidate drivers at once</t>
        </is>
      </c>
      <c r="B1" s="4" t="n"/>
      <c r="C1" s="4" t="n"/>
      <c r="D1" s="4" t="n"/>
      <c r="E1" s="4" t="n"/>
      <c r="F1" s="4" t="n"/>
      <c r="G1" s="4" t="n"/>
      <c r="H1" s="4" t="n"/>
      <c r="I1" s="4" t="n"/>
    </row>
    <row r="2">
      <c r="A2" s="5" t="inlineStr">
        <is>
          <t>One driver at a time flatters whichever one you looked at first. This fits all four together, prices each one with the others held still, and shows you which of them the data cannot actually tell apart.</t>
        </is>
      </c>
    </row>
    <row r="3"/>
    <row r="4">
      <c r="A4" s="6" t="inlineStr">
        <is>
          <t>THE MODEL — the outcome, and the smallest effect worth acting on</t>
        </is>
      </c>
      <c r="B4" s="7" t="n"/>
      <c r="C4" s="7" t="n"/>
      <c r="D4" s="7" t="n"/>
      <c r="E4" s="7" t="n"/>
      <c r="F4" s="7" t="n"/>
      <c r="G4" s="7" t="n"/>
      <c r="H4" s="7" t="n"/>
      <c r="I4" s="7" t="n"/>
    </row>
    <row r="5" ht="30" customHeight="1">
      <c r="A5" s="8" t="inlineStr">
        <is>
          <t>Outcome (y) — what the model explains</t>
        </is>
      </c>
      <c r="B5" s="9" t="inlineStr">
        <is>
          <t>Handle time in seconds</t>
        </is>
      </c>
      <c r="C5" s="10" t="inlineStr">
        <is>
          <t>One continuous column. If your outcome is yes/no — reopened, escalated, breached — this is the wrong tab: go to Logistic regression.</t>
        </is>
      </c>
    </row>
    <row r="6" ht="30" customHeight="1">
      <c r="A6" s="8" t="inlineStr">
        <is>
          <t>Where the rows come from</t>
        </is>
      </c>
      <c r="B6" s="9" t="inlineStr">
        <is>
          <t>24 of 966 March contacts</t>
        </is>
      </c>
      <c r="C6" s="10" t="inlineStr">
        <is>
          <t>Population and sampling method. A model fitted on the contacts somebody escalated is a model of escalation, whatever you name the outcome.</t>
        </is>
      </c>
    </row>
    <row r="7" ht="45" customHeight="1">
      <c r="A7" s="8" t="inlineStr">
        <is>
          <t>Smallest effect worth acting on (seconds)</t>
        </is>
      </c>
      <c r="B7" s="28" t="n">
        <v>20</v>
      </c>
      <c r="C7" s="10" t="inlineStr">
        <is>
          <t>The smallest change in the outcome that would actually change a decision. Ask the process owner, before you see the coefficients. Twenty seconds a contact across 966 contacts a month is about five and a half hours of handling — enough to bother with; two seconds is not.</t>
        </is>
      </c>
    </row>
    <row r="8"/>
    <row r="9" ht="36" customHeight="1">
      <c r="A9" s="11" t="inlineStr">
        <is>
          <t>THE DATA — the same 24 contacts, with all four drivers beside y  ·  Key: Fitted y = what the model predicts for that row, before you compare it with what actually happened · Residual = what the model missed on that row: the value that actually happened minus the fitted one</t>
        </is>
      </c>
      <c r="B9" s="7" t="n"/>
      <c r="C9" s="7" t="n"/>
      <c r="D9" s="7" t="n"/>
      <c r="E9" s="7" t="n"/>
      <c r="F9" s="7" t="n"/>
      <c r="G9" s="7" t="n"/>
      <c r="H9" s="7" t="n"/>
      <c r="I9" s="7" t="n"/>
    </row>
    <row r="10" ht="46" customHeight="1">
      <c r="A10" s="12" t="inlineStr">
        <is>
          <t>Contact ref</t>
        </is>
      </c>
      <c r="B10" s="12" t="inlineStr">
        <is>
          <t>Raised after 17:00 (1 = yes)</t>
        </is>
      </c>
      <c r="C10" s="12" t="inlineStr">
        <is>
          <t>Over the $50 authority limit (1 = yes)</t>
        </is>
      </c>
      <c r="D10" s="12" t="inlineStr">
        <is>
          <t>Agent tenure in months</t>
        </is>
      </c>
      <c r="E10" s="12" t="inlineStr">
        <is>
          <t>Transfers before resolution</t>
        </is>
      </c>
      <c r="F10" s="12" t="inlineStr">
        <is>
          <t>Handle time in seconds (y)</t>
        </is>
      </c>
      <c r="G10" s="12" t="inlineStr">
        <is>
          <t>Fitted y — what the model predicts</t>
        </is>
      </c>
      <c r="H10" s="12" t="inlineStr">
        <is>
          <t>Residual (y − fitted)</t>
        </is>
      </c>
      <c r="J10" s="5" t="inlineStr">
        <is>
          <t>VIF helper — the other three, for Raised after 17:00 (1 = yes)</t>
        </is>
      </c>
      <c r="M10" s="5" t="inlineStr">
        <is>
          <t>VIF helper — the other three, for Over the $50 authority limit (1 = yes)</t>
        </is>
      </c>
      <c r="P10" s="5" t="inlineStr">
        <is>
          <t>VIF helper — the other three, for Agent tenure in months</t>
        </is>
      </c>
      <c r="S10" s="5" t="inlineStr">
        <is>
          <t>VIF helper — the other three, for Transfers before resolution</t>
        </is>
      </c>
      <c r="V10" s="5" t="inlineStr">
        <is>
          <t>zero line — the chart reads these</t>
        </is>
      </c>
    </row>
    <row r="11">
      <c r="A11" s="13" t="inlineStr">
        <is>
          <t>BA-2201 · 17:05</t>
        </is>
      </c>
      <c r="B11" s="14" t="n">
        <v>1</v>
      </c>
      <c r="C11" s="14" t="n">
        <v>0</v>
      </c>
      <c r="D11" s="15" t="n">
        <v>7</v>
      </c>
      <c r="E11" s="14" t="n">
        <v>0</v>
      </c>
      <c r="F11" s="15" t="n">
        <v>280</v>
      </c>
      <c r="G11" s="16">
        <f>IF($F11="","",$B$40+$B$41*$B11+$B$42*$C11+$B$43*$D11+$B$44*$E11)</f>
        <v/>
      </c>
      <c r="H11" s="16">
        <f>IF($G11="","",$F11-$G11)</f>
        <v/>
      </c>
      <c r="J11" s="19">
        <f>C11</f>
        <v/>
      </c>
      <c r="K11" s="19">
        <f>D11</f>
        <v/>
      </c>
      <c r="L11" s="19">
        <f>E11</f>
        <v/>
      </c>
      <c r="M11" s="19">
        <f>B11</f>
        <v/>
      </c>
      <c r="N11" s="19">
        <f>D11</f>
        <v/>
      </c>
      <c r="O11" s="19">
        <f>E11</f>
        <v/>
      </c>
      <c r="P11" s="19">
        <f>B11</f>
        <v/>
      </c>
      <c r="Q11" s="19">
        <f>C11</f>
        <v/>
      </c>
      <c r="R11" s="19">
        <f>E11</f>
        <v/>
      </c>
      <c r="S11" s="19">
        <f>B11</f>
        <v/>
      </c>
      <c r="T11" s="19">
        <f>C11</f>
        <v/>
      </c>
      <c r="U11" s="19">
        <f>D11</f>
        <v/>
      </c>
      <c r="V11" s="19">
        <f>IFERROR(MIN($G$11:$G$34),0)</f>
        <v/>
      </c>
      <c r="W11" s="19" t="n">
        <v>0</v>
      </c>
    </row>
    <row r="12">
      <c r="A12" s="13" t="inlineStr">
        <is>
          <t>BA-2202 · 17:20</t>
        </is>
      </c>
      <c r="B12" s="14" t="n">
        <v>1</v>
      </c>
      <c r="C12" s="14" t="n">
        <v>1</v>
      </c>
      <c r="D12" s="15" t="n">
        <v>24</v>
      </c>
      <c r="E12" s="14" t="n">
        <v>1</v>
      </c>
      <c r="F12" s="15" t="n">
        <v>506</v>
      </c>
      <c r="G12" s="20">
        <f>IF($F12="","",$B$40+$B$41*$B12+$B$42*$C12+$B$43*$D12+$B$44*$E12)</f>
        <v/>
      </c>
      <c r="H12" s="20">
        <f>IF($G12="","",$F12-$G12)</f>
        <v/>
      </c>
      <c r="J12" s="19">
        <f>C12</f>
        <v/>
      </c>
      <c r="K12" s="19">
        <f>D12</f>
        <v/>
      </c>
      <c r="L12" s="19">
        <f>E12</f>
        <v/>
      </c>
      <c r="M12" s="19">
        <f>B12</f>
        <v/>
      </c>
      <c r="N12" s="19">
        <f>D12</f>
        <v/>
      </c>
      <c r="O12" s="19">
        <f>E12</f>
        <v/>
      </c>
      <c r="P12" s="19">
        <f>B12</f>
        <v/>
      </c>
      <c r="Q12" s="19">
        <f>C12</f>
        <v/>
      </c>
      <c r="R12" s="19">
        <f>E12</f>
        <v/>
      </c>
      <c r="S12" s="19">
        <f>B12</f>
        <v/>
      </c>
      <c r="T12" s="19">
        <f>C12</f>
        <v/>
      </c>
      <c r="U12" s="19">
        <f>D12</f>
        <v/>
      </c>
      <c r="V12" s="19">
        <f>IFERROR(MAX($G$11:$G$34),0)</f>
        <v/>
      </c>
      <c r="W12" s="19" t="n">
        <v>0</v>
      </c>
    </row>
    <row r="13">
      <c r="A13" s="13" t="inlineStr">
        <is>
          <t>BA-2203 · 08:15</t>
        </is>
      </c>
      <c r="B13" s="14" t="n">
        <v>0</v>
      </c>
      <c r="C13" s="14" t="n">
        <v>1</v>
      </c>
      <c r="D13" s="15" t="n">
        <v>39</v>
      </c>
      <c r="E13" s="14" t="n">
        <v>1</v>
      </c>
      <c r="F13" s="15" t="n">
        <v>344</v>
      </c>
      <c r="G13" s="20">
        <f>IF($F13="","",$B$40+$B$41*$B13+$B$42*$C13+$B$43*$D13+$B$44*$E13)</f>
        <v/>
      </c>
      <c r="H13" s="20">
        <f>IF($G13="","",$F13-$G13)</f>
        <v/>
      </c>
      <c r="J13" s="19">
        <f>C13</f>
        <v/>
      </c>
      <c r="K13" s="19">
        <f>D13</f>
        <v/>
      </c>
      <c r="L13" s="19">
        <f>E13</f>
        <v/>
      </c>
      <c r="M13" s="19">
        <f>B13</f>
        <v/>
      </c>
      <c r="N13" s="19">
        <f>D13</f>
        <v/>
      </c>
      <c r="O13" s="19">
        <f>E13</f>
        <v/>
      </c>
      <c r="P13" s="19">
        <f>B13</f>
        <v/>
      </c>
      <c r="Q13" s="19">
        <f>C13</f>
        <v/>
      </c>
      <c r="R13" s="19">
        <f>E13</f>
        <v/>
      </c>
      <c r="S13" s="19">
        <f>B13</f>
        <v/>
      </c>
      <c r="T13" s="19">
        <f>C13</f>
        <v/>
      </c>
      <c r="U13" s="19">
        <f>D13</f>
        <v/>
      </c>
    </row>
    <row r="14">
      <c r="A14" s="13" t="inlineStr">
        <is>
          <t>BA-2204 · 17:45</t>
        </is>
      </c>
      <c r="B14" s="14" t="n">
        <v>1</v>
      </c>
      <c r="C14" s="14" t="n">
        <v>1</v>
      </c>
      <c r="D14" s="15" t="n">
        <v>39</v>
      </c>
      <c r="E14" s="14" t="n">
        <v>2</v>
      </c>
      <c r="F14" s="15" t="n">
        <v>479</v>
      </c>
      <c r="G14" s="20">
        <f>IF($F14="","",$B$40+$B$41*$B14+$B$42*$C14+$B$43*$D14+$B$44*$E14)</f>
        <v/>
      </c>
      <c r="H14" s="20">
        <f>IF($G14="","",$F14-$G14)</f>
        <v/>
      </c>
      <c r="J14" s="19">
        <f>C14</f>
        <v/>
      </c>
      <c r="K14" s="19">
        <f>D14</f>
        <v/>
      </c>
      <c r="L14" s="19">
        <f>E14</f>
        <v/>
      </c>
      <c r="M14" s="19">
        <f>B14</f>
        <v/>
      </c>
      <c r="N14" s="19">
        <f>D14</f>
        <v/>
      </c>
      <c r="O14" s="19">
        <f>E14</f>
        <v/>
      </c>
      <c r="P14" s="19">
        <f>B14</f>
        <v/>
      </c>
      <c r="Q14" s="19">
        <f>C14</f>
        <v/>
      </c>
      <c r="R14" s="19">
        <f>E14</f>
        <v/>
      </c>
      <c r="S14" s="19">
        <f>B14</f>
        <v/>
      </c>
      <c r="T14" s="19">
        <f>C14</f>
        <v/>
      </c>
      <c r="U14" s="19">
        <f>D14</f>
        <v/>
      </c>
    </row>
    <row r="15">
      <c r="A15" s="13" t="inlineStr">
        <is>
          <t>BA-2205 · 18:10</t>
        </is>
      </c>
      <c r="B15" s="14" t="n">
        <v>1</v>
      </c>
      <c r="C15" s="14" t="n">
        <v>1</v>
      </c>
      <c r="D15" s="15" t="n">
        <v>33</v>
      </c>
      <c r="E15" s="14" t="n">
        <v>2</v>
      </c>
      <c r="F15" s="15" t="n">
        <v>422</v>
      </c>
      <c r="G15" s="20">
        <f>IF($F15="","",$B$40+$B$41*$B15+$B$42*$C15+$B$43*$D15+$B$44*$E15)</f>
        <v/>
      </c>
      <c r="H15" s="20">
        <f>IF($G15="","",$F15-$G15)</f>
        <v/>
      </c>
      <c r="J15" s="19">
        <f>C15</f>
        <v/>
      </c>
      <c r="K15" s="19">
        <f>D15</f>
        <v/>
      </c>
      <c r="L15" s="19">
        <f>E15</f>
        <v/>
      </c>
      <c r="M15" s="19">
        <f>B15</f>
        <v/>
      </c>
      <c r="N15" s="19">
        <f>D15</f>
        <v/>
      </c>
      <c r="O15" s="19">
        <f>E15</f>
        <v/>
      </c>
      <c r="P15" s="19">
        <f>B15</f>
        <v/>
      </c>
      <c r="Q15" s="19">
        <f>C15</f>
        <v/>
      </c>
      <c r="R15" s="19">
        <f>E15</f>
        <v/>
      </c>
      <c r="S15" s="19">
        <f>B15</f>
        <v/>
      </c>
      <c r="T15" s="19">
        <f>C15</f>
        <v/>
      </c>
      <c r="U15" s="19">
        <f>D15</f>
        <v/>
      </c>
    </row>
    <row r="16">
      <c r="A16" s="13" t="inlineStr">
        <is>
          <t>BA-2206 · 09:05</t>
        </is>
      </c>
      <c r="B16" s="14" t="n">
        <v>0</v>
      </c>
      <c r="C16" s="14" t="n">
        <v>0</v>
      </c>
      <c r="D16" s="15" t="n">
        <v>11</v>
      </c>
      <c r="E16" s="14" t="n">
        <v>3</v>
      </c>
      <c r="F16" s="15" t="n">
        <v>452</v>
      </c>
      <c r="G16" s="20">
        <f>IF($F16="","",$B$40+$B$41*$B16+$B$42*$C16+$B$43*$D16+$B$44*$E16)</f>
        <v/>
      </c>
      <c r="H16" s="20">
        <f>IF($G16="","",$F16-$G16)</f>
        <v/>
      </c>
      <c r="J16" s="19">
        <f>C16</f>
        <v/>
      </c>
      <c r="K16" s="19">
        <f>D16</f>
        <v/>
      </c>
      <c r="L16" s="19">
        <f>E16</f>
        <v/>
      </c>
      <c r="M16" s="19">
        <f>B16</f>
        <v/>
      </c>
      <c r="N16" s="19">
        <f>D16</f>
        <v/>
      </c>
      <c r="O16" s="19">
        <f>E16</f>
        <v/>
      </c>
      <c r="P16" s="19">
        <f>B16</f>
        <v/>
      </c>
      <c r="Q16" s="19">
        <f>C16</f>
        <v/>
      </c>
      <c r="R16" s="19">
        <f>E16</f>
        <v/>
      </c>
      <c r="S16" s="19">
        <f>B16</f>
        <v/>
      </c>
      <c r="T16" s="19">
        <f>C16</f>
        <v/>
      </c>
      <c r="U16" s="19">
        <f>D16</f>
        <v/>
      </c>
    </row>
    <row r="17">
      <c r="A17" s="13" t="inlineStr">
        <is>
          <t>BA-2207 · 09:40</t>
        </is>
      </c>
      <c r="B17" s="14" t="n">
        <v>0</v>
      </c>
      <c r="C17" s="14" t="n">
        <v>0</v>
      </c>
      <c r="D17" s="15" t="n">
        <v>46</v>
      </c>
      <c r="E17" s="14" t="n">
        <v>2</v>
      </c>
      <c r="F17" s="15" t="n">
        <v>374</v>
      </c>
      <c r="G17" s="20">
        <f>IF($F17="","",$B$40+$B$41*$B17+$B$42*$C17+$B$43*$D17+$B$44*$E17)</f>
        <v/>
      </c>
      <c r="H17" s="20">
        <f>IF($G17="","",$F17-$G17)</f>
        <v/>
      </c>
      <c r="J17" s="19">
        <f>C17</f>
        <v/>
      </c>
      <c r="K17" s="19">
        <f>D17</f>
        <v/>
      </c>
      <c r="L17" s="19">
        <f>E17</f>
        <v/>
      </c>
      <c r="M17" s="19">
        <f>B17</f>
        <v/>
      </c>
      <c r="N17" s="19">
        <f>D17</f>
        <v/>
      </c>
      <c r="O17" s="19">
        <f>E17</f>
        <v/>
      </c>
      <c r="P17" s="19">
        <f>B17</f>
        <v/>
      </c>
      <c r="Q17" s="19">
        <f>C17</f>
        <v/>
      </c>
      <c r="R17" s="19">
        <f>E17</f>
        <v/>
      </c>
      <c r="S17" s="19">
        <f>B17</f>
        <v/>
      </c>
      <c r="T17" s="19">
        <f>C17</f>
        <v/>
      </c>
      <c r="U17" s="19">
        <f>D17</f>
        <v/>
      </c>
    </row>
    <row r="18">
      <c r="A18" s="13" t="inlineStr">
        <is>
          <t>BA-2208 · 18:35</t>
        </is>
      </c>
      <c r="B18" s="14" t="n">
        <v>1</v>
      </c>
      <c r="C18" s="14" t="n">
        <v>1</v>
      </c>
      <c r="D18" s="15" t="n">
        <v>4</v>
      </c>
      <c r="E18" s="14" t="n">
        <v>0</v>
      </c>
      <c r="F18" s="15" t="n">
        <v>451</v>
      </c>
      <c r="G18" s="20">
        <f>IF($F18="","",$B$40+$B$41*$B18+$B$42*$C18+$B$43*$D18+$B$44*$E18)</f>
        <v/>
      </c>
      <c r="H18" s="20">
        <f>IF($G18="","",$F18-$G18)</f>
        <v/>
      </c>
      <c r="J18" s="19">
        <f>C18</f>
        <v/>
      </c>
      <c r="K18" s="19">
        <f>D18</f>
        <v/>
      </c>
      <c r="L18" s="19">
        <f>E18</f>
        <v/>
      </c>
      <c r="M18" s="19">
        <f>B18</f>
        <v/>
      </c>
      <c r="N18" s="19">
        <f>D18</f>
        <v/>
      </c>
      <c r="O18" s="19">
        <f>E18</f>
        <v/>
      </c>
      <c r="P18" s="19">
        <f>B18</f>
        <v/>
      </c>
      <c r="Q18" s="19">
        <f>C18</f>
        <v/>
      </c>
      <c r="R18" s="19">
        <f>E18</f>
        <v/>
      </c>
      <c r="S18" s="19">
        <f>B18</f>
        <v/>
      </c>
      <c r="T18" s="19">
        <f>C18</f>
        <v/>
      </c>
      <c r="U18" s="19">
        <f>D18</f>
        <v/>
      </c>
    </row>
    <row r="19">
      <c r="A19" s="13" t="inlineStr">
        <is>
          <t>BA-2209 · 10:20</t>
        </is>
      </c>
      <c r="B19" s="14" t="n">
        <v>0</v>
      </c>
      <c r="C19" s="14" t="n">
        <v>0</v>
      </c>
      <c r="D19" s="15" t="n">
        <v>4</v>
      </c>
      <c r="E19" s="14" t="n">
        <v>0</v>
      </c>
      <c r="F19" s="15" t="n">
        <v>360</v>
      </c>
      <c r="G19" s="20">
        <f>IF($F19="","",$B$40+$B$41*$B19+$B$42*$C19+$B$43*$D19+$B$44*$E19)</f>
        <v/>
      </c>
      <c r="H19" s="20">
        <f>IF($G19="","",$F19-$G19)</f>
        <v/>
      </c>
      <c r="J19" s="19">
        <f>C19</f>
        <v/>
      </c>
      <c r="K19" s="19">
        <f>D19</f>
        <v/>
      </c>
      <c r="L19" s="19">
        <f>E19</f>
        <v/>
      </c>
      <c r="M19" s="19">
        <f>B19</f>
        <v/>
      </c>
      <c r="N19" s="19">
        <f>D19</f>
        <v/>
      </c>
      <c r="O19" s="19">
        <f>E19</f>
        <v/>
      </c>
      <c r="P19" s="19">
        <f>B19</f>
        <v/>
      </c>
      <c r="Q19" s="19">
        <f>C19</f>
        <v/>
      </c>
      <c r="R19" s="19">
        <f>E19</f>
        <v/>
      </c>
      <c r="S19" s="19">
        <f>B19</f>
        <v/>
      </c>
      <c r="T19" s="19">
        <f>C19</f>
        <v/>
      </c>
      <c r="U19" s="19">
        <f>D19</f>
        <v/>
      </c>
    </row>
    <row r="20">
      <c r="A20" s="13" t="inlineStr">
        <is>
          <t>BA-2210 · 11:05</t>
        </is>
      </c>
      <c r="B20" s="14" t="n">
        <v>0</v>
      </c>
      <c r="C20" s="14" t="n">
        <v>0</v>
      </c>
      <c r="D20" s="15" t="n">
        <v>6</v>
      </c>
      <c r="E20" s="14" t="n">
        <v>0</v>
      </c>
      <c r="F20" s="15" t="n">
        <v>260</v>
      </c>
      <c r="G20" s="20">
        <f>IF($F20="","",$B$40+$B$41*$B20+$B$42*$C20+$B$43*$D20+$B$44*$E20)</f>
        <v/>
      </c>
      <c r="H20" s="20">
        <f>IF($G20="","",$F20-$G20)</f>
        <v/>
      </c>
      <c r="J20" s="19">
        <f>C20</f>
        <v/>
      </c>
      <c r="K20" s="19">
        <f>D20</f>
        <v/>
      </c>
      <c r="L20" s="19">
        <f>E20</f>
        <v/>
      </c>
      <c r="M20" s="19">
        <f>B20</f>
        <v/>
      </c>
      <c r="N20" s="19">
        <f>D20</f>
        <v/>
      </c>
      <c r="O20" s="19">
        <f>E20</f>
        <v/>
      </c>
      <c r="P20" s="19">
        <f>B20</f>
        <v/>
      </c>
      <c r="Q20" s="19">
        <f>C20</f>
        <v/>
      </c>
      <c r="R20" s="19">
        <f>E20</f>
        <v/>
      </c>
      <c r="S20" s="19">
        <f>B20</f>
        <v/>
      </c>
      <c r="T20" s="19">
        <f>C20</f>
        <v/>
      </c>
      <c r="U20" s="19">
        <f>D20</f>
        <v/>
      </c>
    </row>
    <row r="21">
      <c r="A21" s="13" t="inlineStr">
        <is>
          <t>BA-2211 · 11:35</t>
        </is>
      </c>
      <c r="B21" s="14" t="n">
        <v>0</v>
      </c>
      <c r="C21" s="14" t="n">
        <v>1</v>
      </c>
      <c r="D21" s="15" t="n">
        <v>28</v>
      </c>
      <c r="E21" s="14" t="n">
        <v>0</v>
      </c>
      <c r="F21" s="15" t="n">
        <v>415</v>
      </c>
      <c r="G21" s="20">
        <f>IF($F21="","",$B$40+$B$41*$B21+$B$42*$C21+$B$43*$D21+$B$44*$E21)</f>
        <v/>
      </c>
      <c r="H21" s="20">
        <f>IF($G21="","",$F21-$G21)</f>
        <v/>
      </c>
      <c r="J21" s="19">
        <f>C21</f>
        <v/>
      </c>
      <c r="K21" s="19">
        <f>D21</f>
        <v/>
      </c>
      <c r="L21" s="19">
        <f>E21</f>
        <v/>
      </c>
      <c r="M21" s="19">
        <f>B21</f>
        <v/>
      </c>
      <c r="N21" s="19">
        <f>D21</f>
        <v/>
      </c>
      <c r="O21" s="19">
        <f>E21</f>
        <v/>
      </c>
      <c r="P21" s="19">
        <f>B21</f>
        <v/>
      </c>
      <c r="Q21" s="19">
        <f>C21</f>
        <v/>
      </c>
      <c r="R21" s="19">
        <f>E21</f>
        <v/>
      </c>
      <c r="S21" s="19">
        <f>B21</f>
        <v/>
      </c>
      <c r="T21" s="19">
        <f>C21</f>
        <v/>
      </c>
      <c r="U21" s="19">
        <f>D21</f>
        <v/>
      </c>
    </row>
    <row r="22">
      <c r="A22" s="13" t="inlineStr">
        <is>
          <t>BA-2212 · 19:00</t>
        </is>
      </c>
      <c r="B22" s="14" t="n">
        <v>1</v>
      </c>
      <c r="C22" s="14" t="n">
        <v>1</v>
      </c>
      <c r="D22" s="15" t="n">
        <v>3</v>
      </c>
      <c r="E22" s="14" t="n">
        <v>2</v>
      </c>
      <c r="F22" s="15" t="n">
        <v>555</v>
      </c>
      <c r="G22" s="20">
        <f>IF($F22="","",$B$40+$B$41*$B22+$B$42*$C22+$B$43*$D22+$B$44*$E22)</f>
        <v/>
      </c>
      <c r="H22" s="20">
        <f>IF($G22="","",$F22-$G22)</f>
        <v/>
      </c>
      <c r="J22" s="19">
        <f>C22</f>
        <v/>
      </c>
      <c r="K22" s="19">
        <f>D22</f>
        <v/>
      </c>
      <c r="L22" s="19">
        <f>E22</f>
        <v/>
      </c>
      <c r="M22" s="19">
        <f>B22</f>
        <v/>
      </c>
      <c r="N22" s="19">
        <f>D22</f>
        <v/>
      </c>
      <c r="O22" s="19">
        <f>E22</f>
        <v/>
      </c>
      <c r="P22" s="19">
        <f>B22</f>
        <v/>
      </c>
      <c r="Q22" s="19">
        <f>C22</f>
        <v/>
      </c>
      <c r="R22" s="19">
        <f>E22</f>
        <v/>
      </c>
      <c r="S22" s="19">
        <f>B22</f>
        <v/>
      </c>
      <c r="T22" s="19">
        <f>C22</f>
        <v/>
      </c>
      <c r="U22" s="19">
        <f>D22</f>
        <v/>
      </c>
    </row>
    <row r="23">
      <c r="A23" s="13" t="inlineStr">
        <is>
          <t>BA-2213 · 12:10</t>
        </is>
      </c>
      <c r="B23" s="14" t="n">
        <v>0</v>
      </c>
      <c r="C23" s="14" t="n">
        <v>0</v>
      </c>
      <c r="D23" s="15" t="n">
        <v>4</v>
      </c>
      <c r="E23" s="14" t="n">
        <v>1</v>
      </c>
      <c r="F23" s="15" t="n">
        <v>393</v>
      </c>
      <c r="G23" s="20">
        <f>IF($F23="","",$B$40+$B$41*$B23+$B$42*$C23+$B$43*$D23+$B$44*$E23)</f>
        <v/>
      </c>
      <c r="H23" s="20">
        <f>IF($G23="","",$F23-$G23)</f>
        <v/>
      </c>
      <c r="J23" s="19">
        <f>C23</f>
        <v/>
      </c>
      <c r="K23" s="19">
        <f>D23</f>
        <v/>
      </c>
      <c r="L23" s="19">
        <f>E23</f>
        <v/>
      </c>
      <c r="M23" s="19">
        <f>B23</f>
        <v/>
      </c>
      <c r="N23" s="19">
        <f>D23</f>
        <v/>
      </c>
      <c r="O23" s="19">
        <f>E23</f>
        <v/>
      </c>
      <c r="P23" s="19">
        <f>B23</f>
        <v/>
      </c>
      <c r="Q23" s="19">
        <f>C23</f>
        <v/>
      </c>
      <c r="R23" s="19">
        <f>E23</f>
        <v/>
      </c>
      <c r="S23" s="19">
        <f>B23</f>
        <v/>
      </c>
      <c r="T23" s="19">
        <f>C23</f>
        <v/>
      </c>
      <c r="U23" s="19">
        <f>D23</f>
        <v/>
      </c>
    </row>
    <row r="24">
      <c r="A24" s="13" t="inlineStr">
        <is>
          <t>BA-2214 · 19:25</t>
        </is>
      </c>
      <c r="B24" s="14" t="n">
        <v>1</v>
      </c>
      <c r="C24" s="14" t="n">
        <v>1</v>
      </c>
      <c r="D24" s="15" t="n">
        <v>39</v>
      </c>
      <c r="E24" s="14" t="n">
        <v>0</v>
      </c>
      <c r="F24" s="15" t="n">
        <v>454</v>
      </c>
      <c r="G24" s="20">
        <f>IF($F24="","",$B$40+$B$41*$B24+$B$42*$C24+$B$43*$D24+$B$44*$E24)</f>
        <v/>
      </c>
      <c r="H24" s="20">
        <f>IF($G24="","",$F24-$G24)</f>
        <v/>
      </c>
      <c r="J24" s="19">
        <f>C24</f>
        <v/>
      </c>
      <c r="K24" s="19">
        <f>D24</f>
        <v/>
      </c>
      <c r="L24" s="19">
        <f>E24</f>
        <v/>
      </c>
      <c r="M24" s="19">
        <f>B24</f>
        <v/>
      </c>
      <c r="N24" s="19">
        <f>D24</f>
        <v/>
      </c>
      <c r="O24" s="19">
        <f>E24</f>
        <v/>
      </c>
      <c r="P24" s="19">
        <f>B24</f>
        <v/>
      </c>
      <c r="Q24" s="19">
        <f>C24</f>
        <v/>
      </c>
      <c r="R24" s="19">
        <f>E24</f>
        <v/>
      </c>
      <c r="S24" s="19">
        <f>B24</f>
        <v/>
      </c>
      <c r="T24" s="19">
        <f>C24</f>
        <v/>
      </c>
      <c r="U24" s="19">
        <f>D24</f>
        <v/>
      </c>
    </row>
    <row r="25">
      <c r="A25" s="13" t="inlineStr">
        <is>
          <t>BA-2215 · 13:25</t>
        </is>
      </c>
      <c r="B25" s="14" t="n">
        <v>0</v>
      </c>
      <c r="C25" s="14" t="n">
        <v>0</v>
      </c>
      <c r="D25" s="15" t="n">
        <v>18</v>
      </c>
      <c r="E25" s="14" t="n">
        <v>0</v>
      </c>
      <c r="F25" s="15" t="n">
        <v>257</v>
      </c>
      <c r="G25" s="20">
        <f>IF($F25="","",$B$40+$B$41*$B25+$B$42*$C25+$B$43*$D25+$B$44*$E25)</f>
        <v/>
      </c>
      <c r="H25" s="20">
        <f>IF($G25="","",$F25-$G25)</f>
        <v/>
      </c>
      <c r="J25" s="19">
        <f>C25</f>
        <v/>
      </c>
      <c r="K25" s="19">
        <f>D25</f>
        <v/>
      </c>
      <c r="L25" s="19">
        <f>E25</f>
        <v/>
      </c>
      <c r="M25" s="19">
        <f>B25</f>
        <v/>
      </c>
      <c r="N25" s="19">
        <f>D25</f>
        <v/>
      </c>
      <c r="O25" s="19">
        <f>E25</f>
        <v/>
      </c>
      <c r="P25" s="19">
        <f>B25</f>
        <v/>
      </c>
      <c r="Q25" s="19">
        <f>C25</f>
        <v/>
      </c>
      <c r="R25" s="19">
        <f>E25</f>
        <v/>
      </c>
      <c r="S25" s="19">
        <f>B25</f>
        <v/>
      </c>
      <c r="T25" s="19">
        <f>C25</f>
        <v/>
      </c>
      <c r="U25" s="19">
        <f>D25</f>
        <v/>
      </c>
    </row>
    <row r="26">
      <c r="A26" s="13" t="inlineStr">
        <is>
          <t>BA-2216 · 19:50</t>
        </is>
      </c>
      <c r="B26" s="14" t="n">
        <v>1</v>
      </c>
      <c r="C26" s="14" t="n">
        <v>1</v>
      </c>
      <c r="D26" s="15" t="n">
        <v>18</v>
      </c>
      <c r="E26" s="14" t="n">
        <v>1</v>
      </c>
      <c r="F26" s="15" t="n">
        <v>544</v>
      </c>
      <c r="G26" s="20">
        <f>IF($F26="","",$B$40+$B$41*$B26+$B$42*$C26+$B$43*$D26+$B$44*$E26)</f>
        <v/>
      </c>
      <c r="H26" s="20">
        <f>IF($G26="","",$F26-$G26)</f>
        <v/>
      </c>
      <c r="J26" s="19">
        <f>C26</f>
        <v/>
      </c>
      <c r="K26" s="19">
        <f>D26</f>
        <v/>
      </c>
      <c r="L26" s="19">
        <f>E26</f>
        <v/>
      </c>
      <c r="M26" s="19">
        <f>B26</f>
        <v/>
      </c>
      <c r="N26" s="19">
        <f>D26</f>
        <v/>
      </c>
      <c r="O26" s="19">
        <f>E26</f>
        <v/>
      </c>
      <c r="P26" s="19">
        <f>B26</f>
        <v/>
      </c>
      <c r="Q26" s="19">
        <f>C26</f>
        <v/>
      </c>
      <c r="R26" s="19">
        <f>E26</f>
        <v/>
      </c>
      <c r="S26" s="19">
        <f>B26</f>
        <v/>
      </c>
      <c r="T26" s="19">
        <f>C26</f>
        <v/>
      </c>
      <c r="U26" s="19">
        <f>D26</f>
        <v/>
      </c>
    </row>
    <row r="27">
      <c r="A27" s="13" t="inlineStr">
        <is>
          <t>BA-2217 · 20:15</t>
        </is>
      </c>
      <c r="B27" s="14" t="n">
        <v>1</v>
      </c>
      <c r="C27" s="14" t="n">
        <v>1</v>
      </c>
      <c r="D27" s="15" t="n">
        <v>11</v>
      </c>
      <c r="E27" s="14" t="n">
        <v>1</v>
      </c>
      <c r="F27" s="15" t="n">
        <v>482</v>
      </c>
      <c r="G27" s="20">
        <f>IF($F27="","",$B$40+$B$41*$B27+$B$42*$C27+$B$43*$D27+$B$44*$E27)</f>
        <v/>
      </c>
      <c r="H27" s="20">
        <f>IF($G27="","",$F27-$G27)</f>
        <v/>
      </c>
      <c r="J27" s="19">
        <f>C27</f>
        <v/>
      </c>
      <c r="K27" s="19">
        <f>D27</f>
        <v/>
      </c>
      <c r="L27" s="19">
        <f>E27</f>
        <v/>
      </c>
      <c r="M27" s="19">
        <f>B27</f>
        <v/>
      </c>
      <c r="N27" s="19">
        <f>D27</f>
        <v/>
      </c>
      <c r="O27" s="19">
        <f>E27</f>
        <v/>
      </c>
      <c r="P27" s="19">
        <f>B27</f>
        <v/>
      </c>
      <c r="Q27" s="19">
        <f>C27</f>
        <v/>
      </c>
      <c r="R27" s="19">
        <f>E27</f>
        <v/>
      </c>
      <c r="S27" s="19">
        <f>B27</f>
        <v/>
      </c>
      <c r="T27" s="19">
        <f>C27</f>
        <v/>
      </c>
      <c r="U27" s="19">
        <f>D27</f>
        <v/>
      </c>
    </row>
    <row r="28">
      <c r="A28" s="13" t="inlineStr">
        <is>
          <t>BA-2218 · 14:00</t>
        </is>
      </c>
      <c r="B28" s="14" t="n">
        <v>0</v>
      </c>
      <c r="C28" s="14" t="n">
        <v>0</v>
      </c>
      <c r="D28" s="15" t="n">
        <v>2</v>
      </c>
      <c r="E28" s="14" t="n">
        <v>1</v>
      </c>
      <c r="F28" s="15" t="n">
        <v>403</v>
      </c>
      <c r="G28" s="20">
        <f>IF($F28="","",$B$40+$B$41*$B28+$B$42*$C28+$B$43*$D28+$B$44*$E28)</f>
        <v/>
      </c>
      <c r="H28" s="20">
        <f>IF($G28="","",$F28-$G28)</f>
        <v/>
      </c>
      <c r="J28" s="19">
        <f>C28</f>
        <v/>
      </c>
      <c r="K28" s="19">
        <f>D28</f>
        <v/>
      </c>
      <c r="L28" s="19">
        <f>E28</f>
        <v/>
      </c>
      <c r="M28" s="19">
        <f>B28</f>
        <v/>
      </c>
      <c r="N28" s="19">
        <f>D28</f>
        <v/>
      </c>
      <c r="O28" s="19">
        <f>E28</f>
        <v/>
      </c>
      <c r="P28" s="19">
        <f>B28</f>
        <v/>
      </c>
      <c r="Q28" s="19">
        <f>C28</f>
        <v/>
      </c>
      <c r="R28" s="19">
        <f>E28</f>
        <v/>
      </c>
      <c r="S28" s="19">
        <f>B28</f>
        <v/>
      </c>
      <c r="T28" s="19">
        <f>C28</f>
        <v/>
      </c>
      <c r="U28" s="19">
        <f>D28</f>
        <v/>
      </c>
    </row>
    <row r="29">
      <c r="A29" s="13" t="inlineStr">
        <is>
          <t>BA-2219 · 20:40</t>
        </is>
      </c>
      <c r="B29" s="14" t="n">
        <v>1</v>
      </c>
      <c r="C29" s="14" t="n">
        <v>0</v>
      </c>
      <c r="D29" s="15" t="n">
        <v>5</v>
      </c>
      <c r="E29" s="14" t="n">
        <v>2</v>
      </c>
      <c r="F29" s="15" t="n">
        <v>433</v>
      </c>
      <c r="G29" s="20">
        <f>IF($F29="","",$B$40+$B$41*$B29+$B$42*$C29+$B$43*$D29+$B$44*$E29)</f>
        <v/>
      </c>
      <c r="H29" s="20">
        <f>IF($G29="","",$F29-$G29)</f>
        <v/>
      </c>
      <c r="J29" s="19">
        <f>C29</f>
        <v/>
      </c>
      <c r="K29" s="19">
        <f>D29</f>
        <v/>
      </c>
      <c r="L29" s="19">
        <f>E29</f>
        <v/>
      </c>
      <c r="M29" s="19">
        <f>B29</f>
        <v/>
      </c>
      <c r="N29" s="19">
        <f>D29</f>
        <v/>
      </c>
      <c r="O29" s="19">
        <f>E29</f>
        <v/>
      </c>
      <c r="P29" s="19">
        <f>B29</f>
        <v/>
      </c>
      <c r="Q29" s="19">
        <f>C29</f>
        <v/>
      </c>
      <c r="R29" s="19">
        <f>E29</f>
        <v/>
      </c>
      <c r="S29" s="19">
        <f>B29</f>
        <v/>
      </c>
      <c r="T29" s="19">
        <f>C29</f>
        <v/>
      </c>
      <c r="U29" s="19">
        <f>D29</f>
        <v/>
      </c>
    </row>
    <row r="30">
      <c r="A30" s="13" t="inlineStr">
        <is>
          <t>BA-2220 · 14:35</t>
        </is>
      </c>
      <c r="B30" s="14" t="n">
        <v>0</v>
      </c>
      <c r="C30" s="14" t="n">
        <v>0</v>
      </c>
      <c r="D30" s="15" t="n">
        <v>4</v>
      </c>
      <c r="E30" s="14" t="n">
        <v>2</v>
      </c>
      <c r="F30" s="15" t="n">
        <v>483</v>
      </c>
      <c r="G30" s="20">
        <f>IF($F30="","",$B$40+$B$41*$B30+$B$42*$C30+$B$43*$D30+$B$44*$E30)</f>
        <v/>
      </c>
      <c r="H30" s="20">
        <f>IF($G30="","",$F30-$G30)</f>
        <v/>
      </c>
      <c r="J30" s="19">
        <f>C30</f>
        <v/>
      </c>
      <c r="K30" s="19">
        <f>D30</f>
        <v/>
      </c>
      <c r="L30" s="19">
        <f>E30</f>
        <v/>
      </c>
      <c r="M30" s="19">
        <f>B30</f>
        <v/>
      </c>
      <c r="N30" s="19">
        <f>D30</f>
        <v/>
      </c>
      <c r="O30" s="19">
        <f>E30</f>
        <v/>
      </c>
      <c r="P30" s="19">
        <f>B30</f>
        <v/>
      </c>
      <c r="Q30" s="19">
        <f>C30</f>
        <v/>
      </c>
      <c r="R30" s="19">
        <f>E30</f>
        <v/>
      </c>
      <c r="S30" s="19">
        <f>B30</f>
        <v/>
      </c>
      <c r="T30" s="19">
        <f>C30</f>
        <v/>
      </c>
      <c r="U30" s="19">
        <f>D30</f>
        <v/>
      </c>
    </row>
    <row r="31">
      <c r="A31" s="13" t="inlineStr">
        <is>
          <t>BA-2221 · 15:10</t>
        </is>
      </c>
      <c r="B31" s="14" t="n">
        <v>0</v>
      </c>
      <c r="C31" s="14" t="n">
        <v>0</v>
      </c>
      <c r="D31" s="15" t="n">
        <v>11</v>
      </c>
      <c r="E31" s="14" t="n">
        <v>0</v>
      </c>
      <c r="F31" s="15" t="n">
        <v>261</v>
      </c>
      <c r="G31" s="20">
        <f>IF($F31="","",$B$40+$B$41*$B31+$B$42*$C31+$B$43*$D31+$B$44*$E31)</f>
        <v/>
      </c>
      <c r="H31" s="20">
        <f>IF($G31="","",$F31-$G31)</f>
        <v/>
      </c>
      <c r="J31" s="19">
        <f>C31</f>
        <v/>
      </c>
      <c r="K31" s="19">
        <f>D31</f>
        <v/>
      </c>
      <c r="L31" s="19">
        <f>E31</f>
        <v/>
      </c>
      <c r="M31" s="19">
        <f>B31</f>
        <v/>
      </c>
      <c r="N31" s="19">
        <f>D31</f>
        <v/>
      </c>
      <c r="O31" s="19">
        <f>E31</f>
        <v/>
      </c>
      <c r="P31" s="19">
        <f>B31</f>
        <v/>
      </c>
      <c r="Q31" s="19">
        <f>C31</f>
        <v/>
      </c>
      <c r="R31" s="19">
        <f>E31</f>
        <v/>
      </c>
      <c r="S31" s="19">
        <f>B31</f>
        <v/>
      </c>
      <c r="T31" s="19">
        <f>C31</f>
        <v/>
      </c>
      <c r="U31" s="19">
        <f>D31</f>
        <v/>
      </c>
    </row>
    <row r="32">
      <c r="A32" s="13" t="inlineStr">
        <is>
          <t>BA-2222 · 15:50</t>
        </is>
      </c>
      <c r="B32" s="14" t="n">
        <v>0</v>
      </c>
      <c r="C32" s="14" t="n">
        <v>0</v>
      </c>
      <c r="D32" s="15" t="n">
        <v>53</v>
      </c>
      <c r="E32" s="14" t="n">
        <v>1</v>
      </c>
      <c r="F32" s="15" t="n">
        <v>424</v>
      </c>
      <c r="G32" s="20">
        <f>IF($F32="","",$B$40+$B$41*$B32+$B$42*$C32+$B$43*$D32+$B$44*$E32)</f>
        <v/>
      </c>
      <c r="H32" s="20">
        <f>IF($G32="","",$F32-$G32)</f>
        <v/>
      </c>
      <c r="J32" s="19">
        <f>C32</f>
        <v/>
      </c>
      <c r="K32" s="19">
        <f>D32</f>
        <v/>
      </c>
      <c r="L32" s="19">
        <f>E32</f>
        <v/>
      </c>
      <c r="M32" s="19">
        <f>B32</f>
        <v/>
      </c>
      <c r="N32" s="19">
        <f>D32</f>
        <v/>
      </c>
      <c r="O32" s="19">
        <f>E32</f>
        <v/>
      </c>
      <c r="P32" s="19">
        <f>B32</f>
        <v/>
      </c>
      <c r="Q32" s="19">
        <f>C32</f>
        <v/>
      </c>
      <c r="R32" s="19">
        <f>E32</f>
        <v/>
      </c>
      <c r="S32" s="19">
        <f>B32</f>
        <v/>
      </c>
      <c r="T32" s="19">
        <f>C32</f>
        <v/>
      </c>
      <c r="U32" s="19">
        <f>D32</f>
        <v/>
      </c>
    </row>
    <row r="33">
      <c r="A33" s="13" t="inlineStr">
        <is>
          <t>BA-2223 · 16:20</t>
        </is>
      </c>
      <c r="B33" s="14" t="n">
        <v>0</v>
      </c>
      <c r="C33" s="14" t="n">
        <v>0</v>
      </c>
      <c r="D33" s="15" t="n">
        <v>21</v>
      </c>
      <c r="E33" s="14" t="n">
        <v>1</v>
      </c>
      <c r="F33" s="15" t="n">
        <v>359</v>
      </c>
      <c r="G33" s="20">
        <f>IF($F33="","",$B$40+$B$41*$B33+$B$42*$C33+$B$43*$D33+$B$44*$E33)</f>
        <v/>
      </c>
      <c r="H33" s="20">
        <f>IF($G33="","",$F33-$G33)</f>
        <v/>
      </c>
      <c r="J33" s="19">
        <f>C33</f>
        <v/>
      </c>
      <c r="K33" s="19">
        <f>D33</f>
        <v/>
      </c>
      <c r="L33" s="19">
        <f>E33</f>
        <v/>
      </c>
      <c r="M33" s="19">
        <f>B33</f>
        <v/>
      </c>
      <c r="N33" s="19">
        <f>D33</f>
        <v/>
      </c>
      <c r="O33" s="19">
        <f>E33</f>
        <v/>
      </c>
      <c r="P33" s="19">
        <f>B33</f>
        <v/>
      </c>
      <c r="Q33" s="19">
        <f>C33</f>
        <v/>
      </c>
      <c r="R33" s="19">
        <f>E33</f>
        <v/>
      </c>
      <c r="S33" s="19">
        <f>B33</f>
        <v/>
      </c>
      <c r="T33" s="19">
        <f>C33</f>
        <v/>
      </c>
      <c r="U33" s="19">
        <f>D33</f>
        <v/>
      </c>
    </row>
    <row r="34">
      <c r="A34" s="13" t="inlineStr">
        <is>
          <t>BA-2224 · 21:10</t>
        </is>
      </c>
      <c r="B34" s="14" t="n">
        <v>1</v>
      </c>
      <c r="C34" s="14" t="n">
        <v>1</v>
      </c>
      <c r="D34" s="15" t="n">
        <v>5</v>
      </c>
      <c r="E34" s="14" t="n">
        <v>1</v>
      </c>
      <c r="F34" s="15" t="n">
        <v>505</v>
      </c>
      <c r="G34" s="20">
        <f>IF($F34="","",$B$40+$B$41*$B34+$B$42*$C34+$B$43*$D34+$B$44*$E34)</f>
        <v/>
      </c>
      <c r="H34" s="20">
        <f>IF($G34="","",$F34-$G34)</f>
        <v/>
      </c>
      <c r="J34" s="19">
        <f>C34</f>
        <v/>
      </c>
      <c r="K34" s="19">
        <f>D34</f>
        <v/>
      </c>
      <c r="L34" s="19">
        <f>E34</f>
        <v/>
      </c>
      <c r="M34" s="19">
        <f>B34</f>
        <v/>
      </c>
      <c r="N34" s="19">
        <f>D34</f>
        <v/>
      </c>
      <c r="O34" s="19">
        <f>E34</f>
        <v/>
      </c>
      <c r="P34" s="19">
        <f>B34</f>
        <v/>
      </c>
      <c r="Q34" s="19">
        <f>C34</f>
        <v/>
      </c>
      <c r="R34" s="19">
        <f>E34</f>
        <v/>
      </c>
      <c r="S34" s="19">
        <f>B34</f>
        <v/>
      </c>
      <c r="T34" s="19">
        <f>C34</f>
        <v/>
      </c>
      <c r="U34" s="19">
        <f>D34</f>
        <v/>
      </c>
    </row>
    <row r="35" ht="45" customHeight="1">
      <c r="A35" s="10" t="inlineStr">
        <is>
          <t>Two of the four drivers are 1/0 flags, which is how you put a yes/no into a regression: the coefficient is then simply the seconds the flag adds. Fitted y and the residual are the model marking its own homework, and the residual column is what the second chart plots.</t>
        </is>
      </c>
    </row>
    <row r="36"/>
    <row r="37"/>
    <row r="38" ht="72" customHeight="1">
      <c r="A38" s="11" t="inlineStr">
        <is>
          <t>STEP 1 — the coefficients, and which of them you can act on  ·  Key: Coefficient = how far the outcome moves for a one-unit change in that driver, with the other drivers held still · Std error = how much that number would wobble if you drew another sample the same size · t-stat = the coefficient divided by its own standard error; roughly 2 or more is the usual signal · p-value = the chance of seeing a difference this big if nothing had really changed · VIF = variance inflation factor, how much two drivers move together; under 5 is fine, over 10 means drop one</t>
        </is>
      </c>
      <c r="B38" s="7" t="n"/>
      <c r="C38" s="7" t="n"/>
      <c r="D38" s="7" t="n"/>
      <c r="E38" s="7" t="n"/>
      <c r="F38" s="7" t="n"/>
      <c r="G38" s="7" t="n"/>
      <c r="H38" s="7" t="n"/>
      <c r="I38" s="7" t="n"/>
    </row>
    <row r="39" ht="46" customHeight="1">
      <c r="A39" s="12" t="inlineStr">
        <is>
          <t>Predictor</t>
        </is>
      </c>
      <c r="B39" s="12" t="inlineStr">
        <is>
          <t>Coefficient</t>
        </is>
      </c>
      <c r="C39" s="12" t="inlineStr">
        <is>
          <t>Std error</t>
        </is>
      </c>
      <c r="D39" s="12" t="inlineStr">
        <is>
          <t>t-stat</t>
        </is>
      </c>
      <c r="E39" s="12" t="inlineStr">
        <is>
          <t>p-value</t>
        </is>
      </c>
      <c r="F39" s="12" t="inlineStr">
        <is>
          <t>VIF</t>
        </is>
      </c>
      <c r="G39" s="12" t="inlineStr">
        <is>
          <t>Effect across the observed range</t>
        </is>
      </c>
      <c r="H39" s="12" t="inlineStr">
        <is>
          <t>Act on it?</t>
        </is>
      </c>
      <c r="I39" s="12" t="inlineStr">
        <is>
          <t>What it means</t>
        </is>
      </c>
    </row>
    <row r="40" ht="84" customHeight="1">
      <c r="A40" s="29" t="inlineStr">
        <is>
          <t>Intercept</t>
        </is>
      </c>
      <c r="B40" s="30">
        <f>IFERROR(INDEX(LINEST($F$11:$F$34,$B$11:$E$34,TRUE,TRUE),1,5),"")</f>
        <v/>
      </c>
      <c r="C40" s="30">
        <f>IFERROR(INDEX(LINEST($F$11:$F$34,$B$11:$E$34,TRUE,TRUE),2,5),"")</f>
        <v/>
      </c>
      <c r="D40" s="30">
        <f>IFERROR($B40/$C40,"")</f>
        <v/>
      </c>
      <c r="E40" s="31">
        <f>IFERROR(TDIST(ABS($D40),$B$55,2),"")</f>
        <v/>
      </c>
      <c r="I40" s="32">
        <f>IF($B40="","","Predicted handle time for a contact with every driver at zero — before 17:00, under the limit, a brand-new agent, no transfers. Read it as the starting point the four effects are added to, not as a prediction.")</f>
        <v/>
      </c>
    </row>
    <row r="41" ht="60" customHeight="1">
      <c r="A41" s="29" t="inlineStr">
        <is>
          <t>Raised after 17:00 (1 = yes)</t>
        </is>
      </c>
      <c r="B41" s="30">
        <f>IFERROR(INDEX(LINEST($F$11:$F$34,$B$11:$E$34,TRUE,TRUE),1,4),"")</f>
        <v/>
      </c>
      <c r="C41" s="30">
        <f>IFERROR(INDEX(LINEST($F$11:$F$34,$B$11:$E$34,TRUE,TRUE),2,4),"")</f>
        <v/>
      </c>
      <c r="D41" s="30">
        <f>IFERROR($B41/$C41,"")</f>
        <v/>
      </c>
      <c r="E41" s="31">
        <f>IFERROR(TDIST(ABS($D41),$B$55,2),"")</f>
        <v/>
      </c>
      <c r="F41" s="30">
        <f>IFERROR(1/(1-INDEX(LINEST($B$11:$B$34,$J$11:$L$34,TRUE,TRUE),3,1)),"")</f>
        <v/>
      </c>
      <c r="G41" s="33">
        <f>IFERROR($B41*(MAX($B$11:$B$34)-MIN($B$11:$B$34)),"")</f>
        <v/>
      </c>
      <c r="H41" s="27">
        <f>IF($E41="","",IF($E41&gt;=0.05,"NOT PROVEN — cannot be separated from zero",IF(ABS($G41)&lt;$B$7,"REAL BUT TOO SMALL — under the "&amp;TEXT($B$7,"0")&amp;" seconds you set","ACT ON IT — real, and big enough to matter")))</f>
        <v/>
      </c>
      <c r="I41" s="32">
        <f>IF($B41="","","Seconds the after-17:00 flag adds once the other three are held still. Compare it with the p-value beside it before you repeat it out loud.")</f>
        <v/>
      </c>
    </row>
    <row r="42" ht="48" customHeight="1">
      <c r="A42" s="29" t="inlineStr">
        <is>
          <t>Over the $50 authority limit (1 = yes)</t>
        </is>
      </c>
      <c r="B42" s="30">
        <f>IFERROR(INDEX(LINEST($F$11:$F$34,$B$11:$E$34,TRUE,TRUE),1,3),"")</f>
        <v/>
      </c>
      <c r="C42" s="30">
        <f>IFERROR(INDEX(LINEST($F$11:$F$34,$B$11:$E$34,TRUE,TRUE),2,3),"")</f>
        <v/>
      </c>
      <c r="D42" s="30">
        <f>IFERROR($B42/$C42,"")</f>
        <v/>
      </c>
      <c r="E42" s="31">
        <f>IFERROR(TDIST(ABS($D42),$B$55,2),"")</f>
        <v/>
      </c>
      <c r="F42" s="30">
        <f>IFERROR(1/(1-INDEX(LINEST($C$11:$C$34,$M$11:$O$34,TRUE,TRUE),3,1)),"")</f>
        <v/>
      </c>
      <c r="G42" s="33">
        <f>IFERROR($B42*(MAX($C$11:$C$34)-MIN($C$11:$C$34)),"")</f>
        <v/>
      </c>
      <c r="H42" s="27">
        <f>IF($E42="","",IF($E42&gt;=0.05,"NOT PROVEN — cannot be separated from zero",IF(ABS($G42)&lt;$B$7,"REAL BUT TOO SMALL — under the "&amp;TEXT($B$7,"0")&amp;" seconds you set","ACT ON IT — real, and big enough to matter")))</f>
        <v/>
      </c>
      <c r="I42" s="32">
        <f>IF($B42="","","Seconds the $50 authority limit adds once the other three are held still. This is the queue, not the money.")</f>
        <v/>
      </c>
    </row>
    <row r="43" ht="60" customHeight="1">
      <c r="A43" s="29" t="inlineStr">
        <is>
          <t>Agent tenure in months</t>
        </is>
      </c>
      <c r="B43" s="30">
        <f>IFERROR(INDEX(LINEST($F$11:$F$34,$B$11:$E$34,TRUE,TRUE),1,2),"")</f>
        <v/>
      </c>
      <c r="C43" s="30">
        <f>IFERROR(INDEX(LINEST($F$11:$F$34,$B$11:$E$34,TRUE,TRUE),2,2),"")</f>
        <v/>
      </c>
      <c r="D43" s="30">
        <f>IFERROR($B43/$C43,"")</f>
        <v/>
      </c>
      <c r="E43" s="31">
        <f>IFERROR(TDIST(ABS($D43),$B$55,2),"")</f>
        <v/>
      </c>
      <c r="F43" s="30">
        <f>IFERROR(1/(1-INDEX(LINEST($D$11:$D$34,$P$11:$R$34,TRUE,TRUE),3,1)),"")</f>
        <v/>
      </c>
      <c r="G43" s="33">
        <f>IFERROR($B43*(MAX($D$11:$D$34)-MIN($D$11:$D$34)),"")</f>
        <v/>
      </c>
      <c r="H43" s="27">
        <f>IF($E43="","",IF($E43&gt;=0.05,"NOT PROVEN — cannot be separated from zero",IF(ABS($G43)&lt;$B$7,"REAL BUT TOO SMALL — under the "&amp;TEXT($B$7,"0")&amp;" seconds you set","ACT ON IT — real, and big enough to matter")))</f>
        <v/>
      </c>
      <c r="I43" s="32">
        <f>IF($B43="","","Seconds per extra month of tenure — negative means longer-serving agents are quicker. Small per month, so read the range column, not this one.")</f>
        <v/>
      </c>
    </row>
    <row r="44" ht="60" customHeight="1">
      <c r="A44" s="29" t="inlineStr">
        <is>
          <t>Transfers before resolution</t>
        </is>
      </c>
      <c r="B44" s="30">
        <f>IFERROR(INDEX(LINEST($F$11:$F$34,$B$11:$E$34,TRUE,TRUE),1,1),"")</f>
        <v/>
      </c>
      <c r="C44" s="30">
        <f>IFERROR(INDEX(LINEST($F$11:$F$34,$B$11:$E$34,TRUE,TRUE),2,1),"")</f>
        <v/>
      </c>
      <c r="D44" s="30">
        <f>IFERROR($B44/$C44,"")</f>
        <v/>
      </c>
      <c r="E44" s="31">
        <f>IFERROR(TDIST(ABS($D44),$B$55,2),"")</f>
        <v/>
      </c>
      <c r="F44" s="30">
        <f>IFERROR(1/(1-INDEX(LINEST($E$11:$E$34,$S$11:$U$34,TRUE,TRUE),3,1)),"")</f>
        <v/>
      </c>
      <c r="G44" s="33">
        <f>IFERROR($B44*(MAX($E$11:$E$34)-MIN($E$11:$E$34)),"")</f>
        <v/>
      </c>
      <c r="H44" s="27">
        <f>IF($E44="","",IF($E44&gt;=0.05,"NOT PROVEN — cannot be separated from zero",IF(ABS($G44)&lt;$B$7,"REAL BUT TOO SMALL — under the "&amp;TEXT($B$7,"0")&amp;" seconds you set","ACT ON IT — real, and big enough to matter")))</f>
        <v/>
      </c>
      <c r="I44" s="32">
        <f>IF($B44="","","Seconds each extra transfer adds once the other three are held still. Compare it with the 50.7 seconds the single-driver tab gave you.")</f>
        <v/>
      </c>
    </row>
    <row r="45" ht="90" customHeight="1">
      <c r="A45" s="10" t="inlineStr">
        <is>
          <t>VIF is the one people skip, and it is why this table disagrees with the process owner. Two thirds of the after-17:00 adjustments here are also over the $50 limit, so the two columns carry much the same information and the model cannot say which of them is doing the work — it splits the credit and widens both standard errors. Under 5 is fine, 5 to 10 is a warning, over 10 means drop one of the pair or combine them, and re-fit. Nine of the eleven after-17:00 contacts here are also over the limit, which is where these VIFs come from.</t>
        </is>
      </c>
    </row>
    <row r="46"/>
    <row r="47">
      <c r="A47" s="6" t="inlineStr">
        <is>
          <t>STEP 2 — the model as a whole</t>
        </is>
      </c>
      <c r="B47" s="7" t="n"/>
      <c r="C47" s="7" t="n"/>
      <c r="D47" s="7" t="n"/>
      <c r="E47" s="7" t="n"/>
      <c r="F47" s="7" t="n"/>
      <c r="G47" s="7" t="n"/>
      <c r="H47" s="7" t="n"/>
      <c r="I47" s="7" t="n"/>
    </row>
    <row r="48" ht="30" customHeight="1">
      <c r="A48" s="12" t="inlineStr">
        <is>
          <t>Statistic</t>
        </is>
      </c>
      <c r="B48" s="12" t="inlineStr">
        <is>
          <t>Value</t>
        </is>
      </c>
      <c r="C48" s="12" t="inlineStr">
        <is>
          <t>What it tells you</t>
        </is>
      </c>
      <c r="D48" s="12" t="inlineStr"/>
      <c r="E48" s="12" t="inlineStr"/>
      <c r="F48" s="12" t="inlineStr"/>
      <c r="G48" s="12" t="inlineStr"/>
      <c r="H48" s="12" t="inlineStr"/>
      <c r="I48" s="12" t="inlineStr"/>
    </row>
    <row r="49" ht="30" customHeight="1">
      <c r="A49" s="8" t="inlineStr">
        <is>
          <t>Contacts in the model (n)</t>
        </is>
      </c>
      <c r="B49" s="22">
        <f>COUNT($F$11:$F$34)</f>
        <v/>
      </c>
      <c r="C49" s="10" t="inlineStr">
        <is>
          <t>COUNT(y). Four predictors on 24 rows is already thin. The rule of thumb is ten to fifteen rows per predictor before the coefficients settle down.</t>
        </is>
      </c>
    </row>
    <row r="50" ht="30" customHeight="1">
      <c r="A50" s="8" t="inlineStr">
        <is>
          <t>Predictors (k)</t>
        </is>
      </c>
      <c r="B50" s="22">
        <f>4</f>
        <v/>
      </c>
      <c r="C50" s="10" t="inlineStr">
        <is>
          <t>How many x columns the model is fitting. Every one you add uses up a degree of freedom and lifts R² whether or not it means anything.</t>
        </is>
      </c>
    </row>
    <row r="51" ht="30" customHeight="1">
      <c r="A51" s="8" t="inlineStr">
        <is>
          <t>R²</t>
        </is>
      </c>
      <c r="B51" s="24">
        <f>IFERROR(INDEX(LINEST($F$11:$F$34,$B$11:$E$34,TRUE,TRUE),3,1),"")</f>
        <v/>
      </c>
      <c r="C51" s="10" t="inlineStr">
        <is>
          <t>INDEX(LINEST(...), 3, 1). The share of the spread in handle time all four drivers explain together.</t>
        </is>
      </c>
    </row>
    <row r="52" ht="30" customHeight="1">
      <c r="A52" s="8" t="inlineStr">
        <is>
          <t>Adjusted R²</t>
        </is>
      </c>
      <c r="B52" s="24">
        <f>IFERROR(1-(1-$B$51)*($B$49-1)/($B$49-$B$50-1),"")</f>
        <v/>
      </c>
      <c r="C52" s="10" t="inlineStr">
        <is>
          <t>R² with a penalty for each predictor: 1 − (1 − R²)(n − 1)/(n − k − 1). If this sits well below R², some of your columns are paying their way in arithmetic rather than in meaning.</t>
        </is>
      </c>
    </row>
    <row r="53" ht="30" customHeight="1">
      <c r="A53" s="8" t="inlineStr">
        <is>
          <t>Standard error of the estimate</t>
        </is>
      </c>
      <c r="B53" s="23">
        <f>IFERROR(INDEX(LINEST($F$11:$F$34,$B$11:$E$34,TRUE,TRUE),3,2),"")</f>
        <v/>
      </c>
      <c r="C53" s="10" t="inlineStr">
        <is>
          <t>INDEX(LINEST(...), 3, 2). The typical miss, in seconds. Quote a prediction as fitted ± roughly two of these, or do not quote it.</t>
        </is>
      </c>
    </row>
    <row r="54" ht="30" customHeight="1">
      <c r="A54" s="8" t="inlineStr">
        <is>
          <t>F</t>
        </is>
      </c>
      <c r="B54" s="23">
        <f>IFERROR(INDEX(LINEST($F$11:$F$34,$B$11:$E$34,TRUE,TRUE),4,1),"")</f>
        <v/>
      </c>
      <c r="C54" s="10" t="inlineStr">
        <is>
          <t>INDEX(LINEST(...), 4, 1). Tests the whole model at once: is this set of four better than no model at all?</t>
        </is>
      </c>
    </row>
    <row r="55" ht="30" customHeight="1">
      <c r="A55" s="8" t="inlineStr">
        <is>
          <t>Degrees of freedom (residual)</t>
        </is>
      </c>
      <c r="B55" s="22">
        <f>IFERROR(INDEX(LINEST($F$11:$F$34,$B$11:$E$34,TRUE,TRUE),4,2),"")</f>
        <v/>
      </c>
      <c r="C55" s="10" t="inlineStr">
        <is>
          <t>INDEX(LINEST(...), 4, 2). n − k − 1. Every per-coefficient p-value on the table above reads this cell.</t>
        </is>
      </c>
    </row>
    <row r="56" ht="30" customHeight="1">
      <c r="A56" s="8" t="inlineStr">
        <is>
          <t>p-value for F</t>
        </is>
      </c>
      <c r="B56" s="26">
        <f>IFERROR(FDIST($B$54,$B$50,$B$55),"")</f>
        <v/>
      </c>
      <c r="C56" s="10" t="inlineStr">
        <is>
          <t>FDIST(F, k, df). Small means the four together explain something. It does NOT mean each of them does — that is what the p-values above are for.</t>
        </is>
      </c>
    </row>
    <row r="57" ht="30" customHeight="1">
      <c r="A57" s="8" t="inlineStr">
        <is>
          <t>Verdict</t>
        </is>
      </c>
      <c r="B57" s="21">
        <f>IF($B$56="","",IF($B$56&gt;=0.05,"NO MODEL — these four together explain nothing",IF($B$52&lt;0.3,"USABLE BUT WEAK — read the effect sizes, not the R²","USABLE — now go and look at the residual chart")))</f>
        <v/>
      </c>
      <c r="C57" s="10" t="inlineStr">
        <is>
          <t>Read this with the residual chart beside it. A model can pass every number here and still be unusable if the residuals have a shape.</t>
        </is>
      </c>
    </row>
    <row r="58"/>
    <row r="59">
      <c r="A59" s="6" t="inlineStr">
        <is>
          <t>THE DECISION RULE — what this model does and does not license</t>
        </is>
      </c>
      <c r="B59" s="7" t="n"/>
      <c r="C59" s="7" t="n"/>
      <c r="D59" s="7" t="n"/>
      <c r="E59" s="7" t="n"/>
      <c r="F59" s="7" t="n"/>
      <c r="G59" s="7" t="n"/>
      <c r="H59" s="7" t="n"/>
      <c r="I59" s="7" t="n"/>
    </row>
    <row r="60" ht="75" customHeight="1">
      <c r="A60" s="10" t="inlineStr">
        <is>
          <t>Read the residual chart before you read anything else. Residuals against fitted values should be a shapeless cloud of even width around zero. A funnel that widens to the right means the model is least reliable exactly where the numbers are biggest, and the usual fix is to model log(y) instead. A curve means you have fitted a straight line to something bent. Either way the coefficients above are not safe to quote, however small their p-values are.</t>
        </is>
      </c>
    </row>
    <row r="61" ht="75" customHeight="1">
      <c r="A61" s="10" t="inlineStr">
        <is>
          <t>Adjusted R² is the number you report, not R². R² can only go up when you add a column, so a model with enough junk in it will always look better than the honest one. For support data an adjusted R² of 0.3 to 0.6 on a duration is a genuinely useful model; anything above 0.85 usually means something on the right-hand side is a repackaging of the left — check you have not put a component of the outcome in as a predictor.</t>
        </is>
      </c>
    </row>
    <row r="62" ht="60" customHeight="1">
      <c r="A62" s="10" t="inlineStr">
        <is>
          <t>A tiny p-value on a tiny coefficient is not a finding. The 'Act on it?' column deliberately refuses to say yes on significance alone: it multiplies each coefficient by the range that predictor actually covers in your data, and compares that with the smallest effect you said was worth acting on. That comparison, not the p-value, is the one to take to a steering group.</t>
        </is>
      </c>
    </row>
    <row r="63" ht="75" customHeight="1">
      <c r="A63" s="10" t="inlineStr">
        <is>
          <t>None of this is causation, and a coefficient is not a lever. The model cannot tell whether transfers lengthen contacts or whether hard contacts get transferred. Before you spend money on a change, either watch the mechanism at the gemba or run a designed experiment (24-doe-design-matrix.xlsx) — a regression on observational data can rank your suspects and it cannot convict one.</t>
        </is>
      </c>
    </row>
  </sheetData>
  <mergeCells count="25">
    <mergeCell ref="C52:I52"/>
    <mergeCell ref="C7:I7"/>
    <mergeCell ref="C57:I57"/>
    <mergeCell ref="C53:I53"/>
    <mergeCell ref="A2:I2"/>
    <mergeCell ref="A47:I47"/>
    <mergeCell ref="C49:I49"/>
    <mergeCell ref="C6:I6"/>
    <mergeCell ref="A35:I35"/>
    <mergeCell ref="A4:I4"/>
    <mergeCell ref="A62:I62"/>
    <mergeCell ref="A38:I38"/>
    <mergeCell ref="C5:I5"/>
    <mergeCell ref="A63:I63"/>
    <mergeCell ref="A9:I9"/>
    <mergeCell ref="C54:I54"/>
    <mergeCell ref="C55:I55"/>
    <mergeCell ref="C50:I50"/>
    <mergeCell ref="A59:I59"/>
    <mergeCell ref="C56:I56"/>
    <mergeCell ref="A60:I60"/>
    <mergeCell ref="A1:I1"/>
    <mergeCell ref="A45:I45"/>
    <mergeCell ref="A61:I61"/>
    <mergeCell ref="C51:I51"/>
  </mergeCells>
  <dataValidations count="1">
    <dataValidation sqref="B11:C34" showDropDown="0" showInputMessage="0" showErrorMessage="0" allowBlank="1" type="whole" operator="between">
      <formula1>0</formula1>
      <formula2>1</formula2>
    </dataValidation>
  </dataValidations>
  <printOptions horizontalCentered="1"/>
  <pageMargins left="0.4" right="0.4" top="0.5" bottom="0.5" header="0.5" footer="0.5"/>
  <pageSetup orientation="landscape" fitToHeight="0" fitToWidth="1"/>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I69"/>
  <sheetViews>
    <sheetView showGridLines="0" workbookViewId="0">
      <pane ySplit="9" topLeftCell="A10" activePane="bottomLeft" state="frozen"/>
      <selection pane="bottomLeft" activeCell="A1" sqref="A1"/>
    </sheetView>
  </sheetViews>
  <sheetFormatPr baseColWidth="8" defaultRowHeight="15"/>
  <cols>
    <col width="46" customWidth="1" min="1" max="1"/>
    <col width="16" customWidth="1" min="2" max="2"/>
    <col width="13" customWidth="1" min="3" max="3"/>
    <col width="13" customWidth="1" min="4" max="4"/>
    <col width="13" customWidth="1" min="5" max="5"/>
    <col width="16" customWidth="1" min="6" max="6"/>
    <col width="16" customWidth="1" min="7" max="7"/>
    <col width="30" customWidth="1" min="8" max="8"/>
    <col width="16" customWidth="1" min="9" max="9"/>
  </cols>
  <sheetData>
    <row r="1" ht="26" customHeight="1">
      <c r="A1" s="3" t="inlineStr">
        <is>
          <t>Logistic regression — the scoring sheet for a model fitted elsewhere</t>
        </is>
      </c>
      <c r="B1" s="4" t="n"/>
      <c r="C1" s="4" t="n"/>
      <c r="D1" s="4" t="n"/>
      <c r="E1" s="4" t="n"/>
      <c r="F1" s="4" t="n"/>
      <c r="G1" s="4" t="n"/>
      <c r="H1" s="4" t="n"/>
      <c r="I1" s="4" t="n"/>
    </row>
    <row r="2">
      <c r="A2" s="5" t="inlineStr">
        <is>
          <t>Reopened yes/no is the outcome that actually matters, and a straight line is the wrong tool for it. Fit the model in Minitab, Python or R; paste the coefficient table here and this tab turns it into odds ratios, probabilities and a classification table you can argue about.</t>
        </is>
      </c>
    </row>
    <row r="3"/>
    <row r="4">
      <c r="A4" s="6" t="inlineStr">
        <is>
          <t>READ THIS FIRST — what this tab does, and what it deliberately does not</t>
        </is>
      </c>
      <c r="B4" s="7" t="n"/>
      <c r="C4" s="7" t="n"/>
      <c r="D4" s="7" t="n"/>
      <c r="E4" s="7" t="n"/>
      <c r="F4" s="7" t="n"/>
      <c r="G4" s="7" t="n"/>
      <c r="H4" s="7" t="n"/>
      <c r="I4" s="7" t="n"/>
    </row>
    <row r="5" ht="75" customHeight="1">
      <c r="A5" s="10" t="inlineStr">
        <is>
          <t>This sheet does NOT fit the model. Fitting a logistic regression is maximum likelihood: an iterative search that has no closed form, and no honest way to write it as a spreadsheet formula. Anything that claims to do it in plain Excel is either running a macro or lying to you. So the split is explicit — the tool fits, this sheet interprets. Everything below is arithmetic on numbers you paste in, and every step of that arithmetic is a formula you can click on.</t>
        </is>
      </c>
    </row>
    <row r="6" ht="75" customHeight="1">
      <c r="A6" s="10" t="inlineStr">
        <is>
          <t>Where to get the numbers. Minitab: Stat → Regression → Binary Logistic Regression → Fit Binary Logistic Model, and tick odds ratios in the Results dialog. Python: m = smf.logit('reopened ~ after17 + over50 + tenure + transfers', data=df).fit(); m.summary(). R: glm(reopened ~ ., family = binomial, data = df). Copy the coefficient column, the standard error column and the p-value column into the yellow cells below, in the same order as your predictors.</t>
        </is>
      </c>
    </row>
    <row r="7"/>
    <row r="8" ht="60" customHeight="1">
      <c r="A8" s="11" t="inlineStr">
        <is>
          <t>STEP 1 — paste the coefficient table your tool produced  ·  Key: Coefficient = how far the outcome moves for a one-unit change in that driver, with the other drivers held still · Std error = how much that number would wobble if you drew another sample the same size · p-value = the chance of seeing a difference this big if nothing had really changed · Odds ratio = how many times the odds of the outcome multiply when that driver goes up by one · CI = confidence interval, the range the true value plausibly sits in</t>
        </is>
      </c>
      <c r="B8" s="7" t="n"/>
      <c r="C8" s="7" t="n"/>
      <c r="D8" s="7" t="n"/>
      <c r="E8" s="7" t="n"/>
      <c r="F8" s="7" t="n"/>
      <c r="G8" s="7" t="n"/>
      <c r="H8" s="7" t="n"/>
      <c r="I8" s="7" t="n"/>
    </row>
    <row r="9" ht="46" customHeight="1">
      <c r="A9" s="12" t="inlineStr">
        <is>
          <t>Term</t>
        </is>
      </c>
      <c r="B9" s="12" t="inlineStr">
        <is>
          <t>Coefficient (log-odds)</t>
        </is>
      </c>
      <c r="C9" s="12" t="inlineStr">
        <is>
          <t>Std error</t>
        </is>
      </c>
      <c r="D9" s="12" t="inlineStr">
        <is>
          <t>p-value</t>
        </is>
      </c>
      <c r="E9" s="12" t="inlineStr">
        <is>
          <t>Odds ratio</t>
        </is>
      </c>
      <c r="F9" s="12" t="inlineStr">
        <is>
          <t>Odds ratio 95% CI low</t>
        </is>
      </c>
      <c r="G9" s="12" t="inlineStr">
        <is>
          <t>Odds ratio 95% CI high</t>
        </is>
      </c>
      <c r="H9" s="12" t="inlineStr">
        <is>
          <t>What it means</t>
        </is>
      </c>
      <c r="I9" s="12" t="inlineStr"/>
    </row>
    <row r="10" ht="72" customHeight="1">
      <c r="A10" s="29" t="inlineStr">
        <is>
          <t>Intercept</t>
        </is>
      </c>
      <c r="B10" s="34" t="n">
        <v>-3.05</v>
      </c>
      <c r="C10" s="34" t="n">
        <v>0.24</v>
      </c>
      <c r="D10" s="35" t="inlineStr">
        <is>
          <t>&lt;0.0001</t>
        </is>
      </c>
      <c r="E10" s="36">
        <f>IFERROR(EXP($B10),"")</f>
        <v/>
      </c>
      <c r="F10" s="36">
        <f>IFERROR(EXP($B10-1.96*$C10),"")</f>
        <v/>
      </c>
      <c r="G10" s="36">
        <f>IFERROR(EXP($B10+1.96*$C10),"")</f>
        <v/>
      </c>
      <c r="H10" s="37">
        <f>"Baseline odds of a reopen with every driver at zero: "&amp;TEXT($E10,"0.000")&amp;" to 1, which is "&amp;TEXT($E10/(1+$E10),"0.0%")&amp;" probability."</f>
        <v/>
      </c>
    </row>
    <row r="11" ht="84" customHeight="1">
      <c r="A11" s="29" t="inlineStr">
        <is>
          <t>Raised after 17:00 (1 = yes)</t>
        </is>
      </c>
      <c r="B11" s="34" t="n">
        <v>1.16</v>
      </c>
      <c r="C11" s="34" t="n">
        <v>0.21</v>
      </c>
      <c r="D11" s="35" t="inlineStr">
        <is>
          <t>&lt;0.0001</t>
        </is>
      </c>
      <c r="E11" s="38">
        <f>IFERROR(EXP($B11),"")</f>
        <v/>
      </c>
      <c r="F11" s="38">
        <f>IFERROR(EXP($B11-1.96*$C11),"")</f>
        <v/>
      </c>
      <c r="G11" s="38">
        <f>IFERROR(EXP($B11+1.96*$C11),"")</f>
        <v/>
      </c>
      <c r="H11" s="32">
        <f>"Raising the adjustment after 17:00 multiplies the odds of a reopen by "&amp;TEXT($E11,"0.00")&amp;". This is the posting-batch effect, and it is the largest single driver in the model."</f>
        <v/>
      </c>
    </row>
    <row r="12" ht="72" customHeight="1">
      <c r="A12" s="29" t="inlineStr">
        <is>
          <t>Over the $50 authority limit (1 = yes)</t>
        </is>
      </c>
      <c r="B12" s="34" t="n">
        <v>0.83</v>
      </c>
      <c r="C12" s="34" t="n">
        <v>0.22</v>
      </c>
      <c r="D12" s="35" t="inlineStr">
        <is>
          <t>0.0002</t>
        </is>
      </c>
      <c r="E12" s="38">
        <f>IFERROR(EXP($B12),"")</f>
        <v/>
      </c>
      <c r="F12" s="38">
        <f>IFERROR(EXP($B12-1.96*$C12),"")</f>
        <v/>
      </c>
      <c r="G12" s="38">
        <f>IFERROR(EXP($B12+1.96*$C12),"")</f>
        <v/>
      </c>
      <c r="H12" s="32">
        <f>"Clearing the $50 authority limit multiplies the odds of a reopen by "&amp;TEXT($E12,"0.00")&amp;", because the case waits in a queue for approval."</f>
        <v/>
      </c>
    </row>
    <row r="13" ht="84" customHeight="1">
      <c r="A13" s="29" t="inlineStr">
        <is>
          <t>Agent tenure in months</t>
        </is>
      </c>
      <c r="B13" s="34" t="n">
        <v>-0.038</v>
      </c>
      <c r="C13" s="34" t="n">
        <v>0.008999999999999999</v>
      </c>
      <c r="D13" s="35" t="inlineStr">
        <is>
          <t>&lt;0.0001</t>
        </is>
      </c>
      <c r="E13" s="38">
        <f>IFERROR(EXP($B13),"")</f>
        <v/>
      </c>
      <c r="F13" s="38">
        <f>IFERROR(EXP($B13-1.96*$C13),"")</f>
        <v/>
      </c>
      <c r="G13" s="38">
        <f>IFERROR(EXP($B13+1.96*$C13),"")</f>
        <v/>
      </c>
      <c r="H13" s="32">
        <f>"Each extra month of tenure multiplies the odds by "&amp;TEXT($E13,"0.000")&amp;" — so a 24-month agent runs at "&amp;TEXT($E13^24,"0.00")&amp;" times the odds of a first-week agent."</f>
        <v/>
      </c>
    </row>
    <row r="14" ht="72" customHeight="1">
      <c r="A14" s="29" t="inlineStr">
        <is>
          <t>Transfers before resolution</t>
        </is>
      </c>
      <c r="B14" s="34" t="n">
        <v>0.61</v>
      </c>
      <c r="C14" s="34" t="n">
        <v>0.12</v>
      </c>
      <c r="D14" s="35" t="inlineStr">
        <is>
          <t>&lt;0.0001</t>
        </is>
      </c>
      <c r="E14" s="38">
        <f>IFERROR(EXP($B14),"")</f>
        <v/>
      </c>
      <c r="F14" s="38">
        <f>IFERROR(EXP($B14-1.96*$C14),"")</f>
        <v/>
      </c>
      <c r="G14" s="38">
        <f>IFERROR(EXP($B14+1.96*$C14),"")</f>
        <v/>
      </c>
      <c r="H14" s="32">
        <f>"Each extra transfer multiplies the odds of a reopen by "&amp;TEXT($E14,"0.00")&amp;". Multiply by how common transfers are before you rank it against the others."</f>
        <v/>
      </c>
    </row>
    <row r="15" ht="75" customHeight="1">
      <c r="A15" s="10" t="inlineStr">
        <is>
          <t>An odds ratio of 1.00 means the driver changes nothing; below 1 it protects. The confidence interval is the number to argue about, not the point estimate — if it straddles 1.00 the driver has not earned a place in your improvement plan, whatever the coefficient says. And a p-value printed as &lt;0.0001 by the tool is pasted here as text on purpose: it is not a number you should be doing arithmetic on.</t>
        </is>
      </c>
    </row>
    <row r="16"/>
    <row r="17" ht="36" customHeight="1">
      <c r="A17" s="11" t="inlineStr">
        <is>
          <t>STEP 2 — the same 24 contacts, scored with those coefficients  ·  Key: Logit = the log-odds the model works in, before it is turned back into a probability · Predicted probability = the model's chance that this particular row ends in the outcome</t>
        </is>
      </c>
      <c r="B17" s="7" t="n"/>
      <c r="C17" s="7" t="n"/>
      <c r="D17" s="7" t="n"/>
      <c r="E17" s="7" t="n"/>
      <c r="F17" s="7" t="n"/>
      <c r="G17" s="7" t="n"/>
      <c r="H17" s="7" t="n"/>
      <c r="I17" s="7" t="n"/>
    </row>
    <row r="18" ht="46" customHeight="1">
      <c r="A18" s="12" t="inlineStr">
        <is>
          <t>Contact ref</t>
        </is>
      </c>
      <c r="B18" s="12" t="inlineStr">
        <is>
          <t>Raised after 17:00 (1 = yes)</t>
        </is>
      </c>
      <c r="C18" s="12" t="inlineStr">
        <is>
          <t>Over the $50 authority limit (1 = yes)</t>
        </is>
      </c>
      <c r="D18" s="12" t="inlineStr">
        <is>
          <t>Agent tenure in months</t>
        </is>
      </c>
      <c r="E18" s="12" t="inlineStr">
        <is>
          <t>Transfers before resolution</t>
        </is>
      </c>
      <c r="F18" s="12" t="inlineStr">
        <is>
          <t>Reopened within 7 days (1 = yes)</t>
        </is>
      </c>
      <c r="G18" s="12" t="inlineStr">
        <is>
          <t>Logit</t>
        </is>
      </c>
      <c r="H18" s="12" t="inlineStr">
        <is>
          <t>Predicted probability</t>
        </is>
      </c>
      <c r="I18" s="12" t="inlineStr">
        <is>
          <t>Flagged at your threshold (1 = yes)</t>
        </is>
      </c>
    </row>
    <row r="19">
      <c r="A19" s="13" t="inlineStr">
        <is>
          <t>BA-2201 · 17:05</t>
        </is>
      </c>
      <c r="B19" s="14" t="n">
        <v>1</v>
      </c>
      <c r="C19" s="14" t="n">
        <v>0</v>
      </c>
      <c r="D19" s="15" t="n">
        <v>7</v>
      </c>
      <c r="E19" s="14" t="n">
        <v>0</v>
      </c>
      <c r="F19" s="14" t="n">
        <v>0</v>
      </c>
      <c r="G19" s="39">
        <f>IF($B19="","",$B$10+$B$11*$B19+$B$12*$C19+$B$13*$D19+$B$14*$E19)</f>
        <v/>
      </c>
      <c r="H19" s="40">
        <f>IFERROR(1/(1+EXP(-$G19)),"")</f>
        <v/>
      </c>
      <c r="I19" s="41">
        <f>IF($H19="","",IF($H19&gt;=$B$46,1,0))</f>
        <v/>
      </c>
    </row>
    <row r="20">
      <c r="A20" s="13" t="inlineStr">
        <is>
          <t>BA-2202 · 17:20</t>
        </is>
      </c>
      <c r="B20" s="14" t="n">
        <v>1</v>
      </c>
      <c r="C20" s="14" t="n">
        <v>1</v>
      </c>
      <c r="D20" s="15" t="n">
        <v>24</v>
      </c>
      <c r="E20" s="14" t="n">
        <v>1</v>
      </c>
      <c r="F20" s="14" t="n">
        <v>0</v>
      </c>
      <c r="G20" s="25">
        <f>IF($B20="","",$B$10+$B$11*$B20+$B$12*$C20+$B$13*$D20+$B$14*$E20)</f>
        <v/>
      </c>
      <c r="H20" s="24">
        <f>IFERROR(1/(1+EXP(-$G20)),"")</f>
        <v/>
      </c>
      <c r="I20" s="22">
        <f>IF($H20="","",IF($H20&gt;=$B$46,1,0))</f>
        <v/>
      </c>
    </row>
    <row r="21">
      <c r="A21" s="13" t="inlineStr">
        <is>
          <t>BA-2203 · 08:15</t>
        </is>
      </c>
      <c r="B21" s="14" t="n">
        <v>0</v>
      </c>
      <c r="C21" s="14" t="n">
        <v>1</v>
      </c>
      <c r="D21" s="15" t="n">
        <v>39</v>
      </c>
      <c r="E21" s="14" t="n">
        <v>1</v>
      </c>
      <c r="F21" s="14" t="n">
        <v>0</v>
      </c>
      <c r="G21" s="25">
        <f>IF($B21="","",$B$10+$B$11*$B21+$B$12*$C21+$B$13*$D21+$B$14*$E21)</f>
        <v/>
      </c>
      <c r="H21" s="24">
        <f>IFERROR(1/(1+EXP(-$G21)),"")</f>
        <v/>
      </c>
      <c r="I21" s="22">
        <f>IF($H21="","",IF($H21&gt;=$B$46,1,0))</f>
        <v/>
      </c>
    </row>
    <row r="22">
      <c r="A22" s="13" t="inlineStr">
        <is>
          <t>BA-2204 · 17:45</t>
        </is>
      </c>
      <c r="B22" s="14" t="n">
        <v>1</v>
      </c>
      <c r="C22" s="14" t="n">
        <v>1</v>
      </c>
      <c r="D22" s="15" t="n">
        <v>39</v>
      </c>
      <c r="E22" s="14" t="n">
        <v>2</v>
      </c>
      <c r="F22" s="14" t="n">
        <v>0</v>
      </c>
      <c r="G22" s="25">
        <f>IF($B22="","",$B$10+$B$11*$B22+$B$12*$C22+$B$13*$D22+$B$14*$E22)</f>
        <v/>
      </c>
      <c r="H22" s="24">
        <f>IFERROR(1/(1+EXP(-$G22)),"")</f>
        <v/>
      </c>
      <c r="I22" s="22">
        <f>IF($H22="","",IF($H22&gt;=$B$46,1,0))</f>
        <v/>
      </c>
    </row>
    <row r="23">
      <c r="A23" s="13" t="inlineStr">
        <is>
          <t>BA-2205 · 18:10</t>
        </is>
      </c>
      <c r="B23" s="14" t="n">
        <v>1</v>
      </c>
      <c r="C23" s="14" t="n">
        <v>1</v>
      </c>
      <c r="D23" s="15" t="n">
        <v>33</v>
      </c>
      <c r="E23" s="14" t="n">
        <v>2</v>
      </c>
      <c r="F23" s="14" t="n">
        <v>1</v>
      </c>
      <c r="G23" s="25">
        <f>IF($B23="","",$B$10+$B$11*$B23+$B$12*$C23+$B$13*$D23+$B$14*$E23)</f>
        <v/>
      </c>
      <c r="H23" s="24">
        <f>IFERROR(1/(1+EXP(-$G23)),"")</f>
        <v/>
      </c>
      <c r="I23" s="22">
        <f>IF($H23="","",IF($H23&gt;=$B$46,1,0))</f>
        <v/>
      </c>
    </row>
    <row r="24">
      <c r="A24" s="13" t="inlineStr">
        <is>
          <t>BA-2206 · 09:05</t>
        </is>
      </c>
      <c r="B24" s="14" t="n">
        <v>0</v>
      </c>
      <c r="C24" s="14" t="n">
        <v>0</v>
      </c>
      <c r="D24" s="15" t="n">
        <v>11</v>
      </c>
      <c r="E24" s="14" t="n">
        <v>3</v>
      </c>
      <c r="F24" s="14" t="n">
        <v>1</v>
      </c>
      <c r="G24" s="25">
        <f>IF($B24="","",$B$10+$B$11*$B24+$B$12*$C24+$B$13*$D24+$B$14*$E24)</f>
        <v/>
      </c>
      <c r="H24" s="24">
        <f>IFERROR(1/(1+EXP(-$G24)),"")</f>
        <v/>
      </c>
      <c r="I24" s="22">
        <f>IF($H24="","",IF($H24&gt;=$B$46,1,0))</f>
        <v/>
      </c>
    </row>
    <row r="25">
      <c r="A25" s="13" t="inlineStr">
        <is>
          <t>BA-2207 · 09:40</t>
        </is>
      </c>
      <c r="B25" s="14" t="n">
        <v>0</v>
      </c>
      <c r="C25" s="14" t="n">
        <v>0</v>
      </c>
      <c r="D25" s="15" t="n">
        <v>46</v>
      </c>
      <c r="E25" s="14" t="n">
        <v>2</v>
      </c>
      <c r="F25" s="14" t="n">
        <v>0</v>
      </c>
      <c r="G25" s="25">
        <f>IF($B25="","",$B$10+$B$11*$B25+$B$12*$C25+$B$13*$D25+$B$14*$E25)</f>
        <v/>
      </c>
      <c r="H25" s="24">
        <f>IFERROR(1/(1+EXP(-$G25)),"")</f>
        <v/>
      </c>
      <c r="I25" s="22">
        <f>IF($H25="","",IF($H25&gt;=$B$46,1,0))</f>
        <v/>
      </c>
    </row>
    <row r="26">
      <c r="A26" s="13" t="inlineStr">
        <is>
          <t>BA-2208 · 18:35</t>
        </is>
      </c>
      <c r="B26" s="14" t="n">
        <v>1</v>
      </c>
      <c r="C26" s="14" t="n">
        <v>1</v>
      </c>
      <c r="D26" s="15" t="n">
        <v>4</v>
      </c>
      <c r="E26" s="14" t="n">
        <v>0</v>
      </c>
      <c r="F26" s="14" t="n">
        <v>0</v>
      </c>
      <c r="G26" s="25">
        <f>IF($B26="","",$B$10+$B$11*$B26+$B$12*$C26+$B$13*$D26+$B$14*$E26)</f>
        <v/>
      </c>
      <c r="H26" s="24">
        <f>IFERROR(1/(1+EXP(-$G26)),"")</f>
        <v/>
      </c>
      <c r="I26" s="22">
        <f>IF($H26="","",IF($H26&gt;=$B$46,1,0))</f>
        <v/>
      </c>
    </row>
    <row r="27">
      <c r="A27" s="13" t="inlineStr">
        <is>
          <t>BA-2209 · 10:20</t>
        </is>
      </c>
      <c r="B27" s="14" t="n">
        <v>0</v>
      </c>
      <c r="C27" s="14" t="n">
        <v>0</v>
      </c>
      <c r="D27" s="15" t="n">
        <v>4</v>
      </c>
      <c r="E27" s="14" t="n">
        <v>0</v>
      </c>
      <c r="F27" s="14" t="n">
        <v>0</v>
      </c>
      <c r="G27" s="25">
        <f>IF($B27="","",$B$10+$B$11*$B27+$B$12*$C27+$B$13*$D27+$B$14*$E27)</f>
        <v/>
      </c>
      <c r="H27" s="24">
        <f>IFERROR(1/(1+EXP(-$G27)),"")</f>
        <v/>
      </c>
      <c r="I27" s="22">
        <f>IF($H27="","",IF($H27&gt;=$B$46,1,0))</f>
        <v/>
      </c>
    </row>
    <row r="28">
      <c r="A28" s="13" t="inlineStr">
        <is>
          <t>BA-2210 · 11:05</t>
        </is>
      </c>
      <c r="B28" s="14" t="n">
        <v>0</v>
      </c>
      <c r="C28" s="14" t="n">
        <v>0</v>
      </c>
      <c r="D28" s="15" t="n">
        <v>6</v>
      </c>
      <c r="E28" s="14" t="n">
        <v>0</v>
      </c>
      <c r="F28" s="14" t="n">
        <v>0</v>
      </c>
      <c r="G28" s="25">
        <f>IF($B28="","",$B$10+$B$11*$B28+$B$12*$C28+$B$13*$D28+$B$14*$E28)</f>
        <v/>
      </c>
      <c r="H28" s="24">
        <f>IFERROR(1/(1+EXP(-$G28)),"")</f>
        <v/>
      </c>
      <c r="I28" s="22">
        <f>IF($H28="","",IF($H28&gt;=$B$46,1,0))</f>
        <v/>
      </c>
    </row>
    <row r="29">
      <c r="A29" s="13" t="inlineStr">
        <is>
          <t>BA-2211 · 11:35</t>
        </is>
      </c>
      <c r="B29" s="14" t="n">
        <v>0</v>
      </c>
      <c r="C29" s="14" t="n">
        <v>1</v>
      </c>
      <c r="D29" s="15" t="n">
        <v>28</v>
      </c>
      <c r="E29" s="14" t="n">
        <v>0</v>
      </c>
      <c r="F29" s="14" t="n">
        <v>0</v>
      </c>
      <c r="G29" s="25">
        <f>IF($B29="","",$B$10+$B$11*$B29+$B$12*$C29+$B$13*$D29+$B$14*$E29)</f>
        <v/>
      </c>
      <c r="H29" s="24">
        <f>IFERROR(1/(1+EXP(-$G29)),"")</f>
        <v/>
      </c>
      <c r="I29" s="22">
        <f>IF($H29="","",IF($H29&gt;=$B$46,1,0))</f>
        <v/>
      </c>
    </row>
    <row r="30">
      <c r="A30" s="13" t="inlineStr">
        <is>
          <t>BA-2212 · 19:00</t>
        </is>
      </c>
      <c r="B30" s="14" t="n">
        <v>1</v>
      </c>
      <c r="C30" s="14" t="n">
        <v>1</v>
      </c>
      <c r="D30" s="15" t="n">
        <v>3</v>
      </c>
      <c r="E30" s="14" t="n">
        <v>2</v>
      </c>
      <c r="F30" s="14" t="n">
        <v>1</v>
      </c>
      <c r="G30" s="25">
        <f>IF($B30="","",$B$10+$B$11*$B30+$B$12*$C30+$B$13*$D30+$B$14*$E30)</f>
        <v/>
      </c>
      <c r="H30" s="24">
        <f>IFERROR(1/(1+EXP(-$G30)),"")</f>
        <v/>
      </c>
      <c r="I30" s="22">
        <f>IF($H30="","",IF($H30&gt;=$B$46,1,0))</f>
        <v/>
      </c>
    </row>
    <row r="31">
      <c r="A31" s="13" t="inlineStr">
        <is>
          <t>BA-2213 · 12:10</t>
        </is>
      </c>
      <c r="B31" s="14" t="n">
        <v>0</v>
      </c>
      <c r="C31" s="14" t="n">
        <v>0</v>
      </c>
      <c r="D31" s="15" t="n">
        <v>4</v>
      </c>
      <c r="E31" s="14" t="n">
        <v>1</v>
      </c>
      <c r="F31" s="14" t="n">
        <v>0</v>
      </c>
      <c r="G31" s="25">
        <f>IF($B31="","",$B$10+$B$11*$B31+$B$12*$C31+$B$13*$D31+$B$14*$E31)</f>
        <v/>
      </c>
      <c r="H31" s="24">
        <f>IFERROR(1/(1+EXP(-$G31)),"")</f>
        <v/>
      </c>
      <c r="I31" s="22">
        <f>IF($H31="","",IF($H31&gt;=$B$46,1,0))</f>
        <v/>
      </c>
    </row>
    <row r="32">
      <c r="A32" s="13" t="inlineStr">
        <is>
          <t>BA-2214 · 19:25</t>
        </is>
      </c>
      <c r="B32" s="14" t="n">
        <v>1</v>
      </c>
      <c r="C32" s="14" t="n">
        <v>1</v>
      </c>
      <c r="D32" s="15" t="n">
        <v>39</v>
      </c>
      <c r="E32" s="14" t="n">
        <v>0</v>
      </c>
      <c r="F32" s="14" t="n">
        <v>0</v>
      </c>
      <c r="G32" s="25">
        <f>IF($B32="","",$B$10+$B$11*$B32+$B$12*$C32+$B$13*$D32+$B$14*$E32)</f>
        <v/>
      </c>
      <c r="H32" s="24">
        <f>IFERROR(1/(1+EXP(-$G32)),"")</f>
        <v/>
      </c>
      <c r="I32" s="22">
        <f>IF($H32="","",IF($H32&gt;=$B$46,1,0))</f>
        <v/>
      </c>
    </row>
    <row r="33">
      <c r="A33" s="13" t="inlineStr">
        <is>
          <t>BA-2215 · 13:25</t>
        </is>
      </c>
      <c r="B33" s="14" t="n">
        <v>0</v>
      </c>
      <c r="C33" s="14" t="n">
        <v>0</v>
      </c>
      <c r="D33" s="15" t="n">
        <v>18</v>
      </c>
      <c r="E33" s="14" t="n">
        <v>0</v>
      </c>
      <c r="F33" s="14" t="n">
        <v>0</v>
      </c>
      <c r="G33" s="25">
        <f>IF($B33="","",$B$10+$B$11*$B33+$B$12*$C33+$B$13*$D33+$B$14*$E33)</f>
        <v/>
      </c>
      <c r="H33" s="24">
        <f>IFERROR(1/(1+EXP(-$G33)),"")</f>
        <v/>
      </c>
      <c r="I33" s="22">
        <f>IF($H33="","",IF($H33&gt;=$B$46,1,0))</f>
        <v/>
      </c>
    </row>
    <row r="34">
      <c r="A34" s="13" t="inlineStr">
        <is>
          <t>BA-2216 · 19:50</t>
        </is>
      </c>
      <c r="B34" s="14" t="n">
        <v>1</v>
      </c>
      <c r="C34" s="14" t="n">
        <v>1</v>
      </c>
      <c r="D34" s="15" t="n">
        <v>18</v>
      </c>
      <c r="E34" s="14" t="n">
        <v>1</v>
      </c>
      <c r="F34" s="14" t="n">
        <v>0</v>
      </c>
      <c r="G34" s="25">
        <f>IF($B34="","",$B$10+$B$11*$B34+$B$12*$C34+$B$13*$D34+$B$14*$E34)</f>
        <v/>
      </c>
      <c r="H34" s="24">
        <f>IFERROR(1/(1+EXP(-$G34)),"")</f>
        <v/>
      </c>
      <c r="I34" s="22">
        <f>IF($H34="","",IF($H34&gt;=$B$46,1,0))</f>
        <v/>
      </c>
    </row>
    <row r="35">
      <c r="A35" s="13" t="inlineStr">
        <is>
          <t>BA-2217 · 20:15</t>
        </is>
      </c>
      <c r="B35" s="14" t="n">
        <v>1</v>
      </c>
      <c r="C35" s="14" t="n">
        <v>1</v>
      </c>
      <c r="D35" s="15" t="n">
        <v>11</v>
      </c>
      <c r="E35" s="14" t="n">
        <v>1</v>
      </c>
      <c r="F35" s="14" t="n">
        <v>0</v>
      </c>
      <c r="G35" s="25">
        <f>IF($B35="","",$B$10+$B$11*$B35+$B$12*$C35+$B$13*$D35+$B$14*$E35)</f>
        <v/>
      </c>
      <c r="H35" s="24">
        <f>IFERROR(1/(1+EXP(-$G35)),"")</f>
        <v/>
      </c>
      <c r="I35" s="22">
        <f>IF($H35="","",IF($H35&gt;=$B$46,1,0))</f>
        <v/>
      </c>
    </row>
    <row r="36">
      <c r="A36" s="13" t="inlineStr">
        <is>
          <t>BA-2218 · 14:00</t>
        </is>
      </c>
      <c r="B36" s="14" t="n">
        <v>0</v>
      </c>
      <c r="C36" s="14" t="n">
        <v>0</v>
      </c>
      <c r="D36" s="15" t="n">
        <v>2</v>
      </c>
      <c r="E36" s="14" t="n">
        <v>1</v>
      </c>
      <c r="F36" s="14" t="n">
        <v>0</v>
      </c>
      <c r="G36" s="25">
        <f>IF($B36="","",$B$10+$B$11*$B36+$B$12*$C36+$B$13*$D36+$B$14*$E36)</f>
        <v/>
      </c>
      <c r="H36" s="24">
        <f>IFERROR(1/(1+EXP(-$G36)),"")</f>
        <v/>
      </c>
      <c r="I36" s="22">
        <f>IF($H36="","",IF($H36&gt;=$B$46,1,0))</f>
        <v/>
      </c>
    </row>
    <row r="37">
      <c r="A37" s="13" t="inlineStr">
        <is>
          <t>BA-2219 · 20:40</t>
        </is>
      </c>
      <c r="B37" s="14" t="n">
        <v>1</v>
      </c>
      <c r="C37" s="14" t="n">
        <v>0</v>
      </c>
      <c r="D37" s="15" t="n">
        <v>5</v>
      </c>
      <c r="E37" s="14" t="n">
        <v>2</v>
      </c>
      <c r="F37" s="14" t="n">
        <v>0</v>
      </c>
      <c r="G37" s="25">
        <f>IF($B37="","",$B$10+$B$11*$B37+$B$12*$C37+$B$13*$D37+$B$14*$E37)</f>
        <v/>
      </c>
      <c r="H37" s="24">
        <f>IFERROR(1/(1+EXP(-$G37)),"")</f>
        <v/>
      </c>
      <c r="I37" s="22">
        <f>IF($H37="","",IF($H37&gt;=$B$46,1,0))</f>
        <v/>
      </c>
    </row>
    <row r="38">
      <c r="A38" s="13" t="inlineStr">
        <is>
          <t>BA-2220 · 14:35</t>
        </is>
      </c>
      <c r="B38" s="14" t="n">
        <v>0</v>
      </c>
      <c r="C38" s="14" t="n">
        <v>0</v>
      </c>
      <c r="D38" s="15" t="n">
        <v>4</v>
      </c>
      <c r="E38" s="14" t="n">
        <v>2</v>
      </c>
      <c r="F38" s="14" t="n">
        <v>0</v>
      </c>
      <c r="G38" s="25">
        <f>IF($B38="","",$B$10+$B$11*$B38+$B$12*$C38+$B$13*$D38+$B$14*$E38)</f>
        <v/>
      </c>
      <c r="H38" s="24">
        <f>IFERROR(1/(1+EXP(-$G38)),"")</f>
        <v/>
      </c>
      <c r="I38" s="22">
        <f>IF($H38="","",IF($H38&gt;=$B$46,1,0))</f>
        <v/>
      </c>
    </row>
    <row r="39">
      <c r="A39" s="13" t="inlineStr">
        <is>
          <t>BA-2221 · 15:10</t>
        </is>
      </c>
      <c r="B39" s="14" t="n">
        <v>0</v>
      </c>
      <c r="C39" s="14" t="n">
        <v>0</v>
      </c>
      <c r="D39" s="15" t="n">
        <v>11</v>
      </c>
      <c r="E39" s="14" t="n">
        <v>0</v>
      </c>
      <c r="F39" s="14" t="n">
        <v>0</v>
      </c>
      <c r="G39" s="25">
        <f>IF($B39="","",$B$10+$B$11*$B39+$B$12*$C39+$B$13*$D39+$B$14*$E39)</f>
        <v/>
      </c>
      <c r="H39" s="24">
        <f>IFERROR(1/(1+EXP(-$G39)),"")</f>
        <v/>
      </c>
      <c r="I39" s="22">
        <f>IF($H39="","",IF($H39&gt;=$B$46,1,0))</f>
        <v/>
      </c>
    </row>
    <row r="40">
      <c r="A40" s="13" t="inlineStr">
        <is>
          <t>BA-2222 · 15:50</t>
        </is>
      </c>
      <c r="B40" s="14" t="n">
        <v>0</v>
      </c>
      <c r="C40" s="14" t="n">
        <v>0</v>
      </c>
      <c r="D40" s="15" t="n">
        <v>53</v>
      </c>
      <c r="E40" s="14" t="n">
        <v>1</v>
      </c>
      <c r="F40" s="14" t="n">
        <v>0</v>
      </c>
      <c r="G40" s="25">
        <f>IF($B40="","",$B$10+$B$11*$B40+$B$12*$C40+$B$13*$D40+$B$14*$E40)</f>
        <v/>
      </c>
      <c r="H40" s="24">
        <f>IFERROR(1/(1+EXP(-$G40)),"")</f>
        <v/>
      </c>
      <c r="I40" s="22">
        <f>IF($H40="","",IF($H40&gt;=$B$46,1,0))</f>
        <v/>
      </c>
    </row>
    <row r="41">
      <c r="A41" s="13" t="inlineStr">
        <is>
          <t>BA-2223 · 16:20</t>
        </is>
      </c>
      <c r="B41" s="14" t="n">
        <v>0</v>
      </c>
      <c r="C41" s="14" t="n">
        <v>0</v>
      </c>
      <c r="D41" s="15" t="n">
        <v>21</v>
      </c>
      <c r="E41" s="14" t="n">
        <v>1</v>
      </c>
      <c r="F41" s="14" t="n">
        <v>0</v>
      </c>
      <c r="G41" s="25">
        <f>IF($B41="","",$B$10+$B$11*$B41+$B$12*$C41+$B$13*$D41+$B$14*$E41)</f>
        <v/>
      </c>
      <c r="H41" s="24">
        <f>IFERROR(1/(1+EXP(-$G41)),"")</f>
        <v/>
      </c>
      <c r="I41" s="22">
        <f>IF($H41="","",IF($H41&gt;=$B$46,1,0))</f>
        <v/>
      </c>
    </row>
    <row r="42">
      <c r="A42" s="13" t="inlineStr">
        <is>
          <t>BA-2224 · 21:10</t>
        </is>
      </c>
      <c r="B42" s="14" t="n">
        <v>1</v>
      </c>
      <c r="C42" s="14" t="n">
        <v>1</v>
      </c>
      <c r="D42" s="15" t="n">
        <v>5</v>
      </c>
      <c r="E42" s="14" t="n">
        <v>1</v>
      </c>
      <c r="F42" s="14" t="n">
        <v>1</v>
      </c>
      <c r="G42" s="25">
        <f>IF($B42="","",$B$10+$B$11*$B42+$B$12*$C42+$B$13*$D42+$B$14*$E42)</f>
        <v/>
      </c>
      <c r="H42" s="24">
        <f>IFERROR(1/(1+EXP(-$G42)),"")</f>
        <v/>
      </c>
      <c r="I42" s="22">
        <f>IF($H42="","",IF($H42&gt;=$B$46,1,0))</f>
        <v/>
      </c>
    </row>
    <row r="43"/>
    <row r="44" ht="45" customHeight="1">
      <c r="A44" s="10" t="inlineStr">
        <is>
          <t>The logit is the straight-line part — intercept plus each coefficient times its column. The probability is that logit squashed into 0-1 by 1/(1+EXP(−logit)), which is the whole reason this is not a linear regression: a line would happily predict a 130% chance of reopening.</t>
        </is>
      </c>
    </row>
    <row r="45">
      <c r="A45" s="6" t="inlineStr">
        <is>
          <t>STEP 3 — the threshold you choose, and what it costs you</t>
        </is>
      </c>
      <c r="B45" s="7" t="n"/>
      <c r="C45" s="7" t="n"/>
      <c r="D45" s="7" t="n"/>
      <c r="E45" s="7" t="n"/>
      <c r="F45" s="7" t="n"/>
      <c r="G45" s="7" t="n"/>
      <c r="H45" s="7" t="n"/>
      <c r="I45" s="7" t="n"/>
    </row>
    <row r="46" ht="60" customHeight="1">
      <c r="A46" s="8" t="inlineStr">
        <is>
          <t>Flag a contact at this probability or above</t>
        </is>
      </c>
      <c r="B46" s="42" t="n">
        <v>0.2</v>
      </c>
      <c r="C46" s="10" t="inlineStr">
        <is>
          <t>Not 0.5. Roughly one billing adjustment in seven reopens, so at 0.5 the model flags nobody and still beats the base rate by predicting 'no' every time. Set the threshold from what a flag COSTS you: a quality check on a flagged contact takes about four minutes, so you can afford to be wrong often.</t>
        </is>
      </c>
    </row>
    <row r="47" ht="45" customHeight="1">
      <c r="A47" s="8" t="inlineStr">
        <is>
          <t>AUC the tool reported</t>
        </is>
      </c>
      <c r="B47" s="43" t="n">
        <v>0.74</v>
      </c>
      <c r="C47" s="10" t="inlineStr">
        <is>
          <t>Straight off the tool's output — Minitab calls it the concordance or the area under the ROC curve. It is threshold-free: 0.5 is a coin toss, 0.7 is useful for targeting, 0.8 is strong for support data. It says nothing about whether the probabilities themselves are calibrated.</t>
        </is>
      </c>
    </row>
    <row r="48"/>
    <row r="49">
      <c r="A49" s="6" t="inlineStr">
        <is>
          <t>STEP 4 — the classification table at that threshold</t>
        </is>
      </c>
      <c r="B49" s="7" t="n"/>
      <c r="C49" s="7" t="n"/>
      <c r="D49" s="7" t="n"/>
      <c r="E49" s="7" t="n"/>
      <c r="F49" s="7" t="n"/>
      <c r="G49" s="7" t="n"/>
      <c r="H49" s="7" t="n"/>
      <c r="I49" s="7" t="n"/>
    </row>
    <row r="50" ht="30" customHeight="1">
      <c r="A50" s="12" t="inlineStr">
        <is>
          <t>What the model said</t>
        </is>
      </c>
      <c r="B50" s="12" t="inlineStr">
        <is>
          <t>Actually reopened</t>
        </is>
      </c>
      <c r="C50" s="12" t="inlineStr">
        <is>
          <t>Did not reopen</t>
        </is>
      </c>
      <c r="D50" s="12" t="inlineStr">
        <is>
          <t>Total</t>
        </is>
      </c>
      <c r="E50" s="12" t="inlineStr"/>
      <c r="F50" s="12" t="inlineStr"/>
      <c r="G50" s="12" t="inlineStr"/>
      <c r="H50" s="12" t="inlineStr"/>
      <c r="I50" s="12" t="inlineStr"/>
    </row>
    <row r="51">
      <c r="A51" s="8" t="inlineStr">
        <is>
          <t>Flagged — predicted reopen</t>
        </is>
      </c>
      <c r="B51" s="20">
        <f>SUMPRODUCT(($I$19:$I$42=1)*($F$19:$F$42=1))</f>
        <v/>
      </c>
      <c r="C51" s="20">
        <f>SUMPRODUCT(($I$19:$I$42=1)*($F$19:$F$42=0))</f>
        <v/>
      </c>
      <c r="D51" s="20">
        <f>SUM($B51:$C51)</f>
        <v/>
      </c>
    </row>
    <row r="52">
      <c r="A52" s="8" t="inlineStr">
        <is>
          <t>Not flagged</t>
        </is>
      </c>
      <c r="B52" s="20">
        <f>SUMPRODUCT(($I$19:$I$42=0)*($F$19:$F$42=1))</f>
        <v/>
      </c>
      <c r="C52" s="20">
        <f>SUMPRODUCT(($I$19:$I$42=0)*($F$19:$F$42=0))</f>
        <v/>
      </c>
      <c r="D52" s="20">
        <f>SUM($B52:$C52)</f>
        <v/>
      </c>
    </row>
    <row r="53">
      <c r="A53" s="8" t="inlineStr">
        <is>
          <t>Total</t>
        </is>
      </c>
      <c r="B53" s="20">
        <f>SUM($B$51:$B$52)</f>
        <v/>
      </c>
      <c r="C53" s="20">
        <f>SUM($C$51:$C$52)</f>
        <v/>
      </c>
      <c r="D53" s="20">
        <f>SUM($D$51:$D$52)</f>
        <v/>
      </c>
    </row>
    <row r="54" ht="45" customHeight="1">
      <c r="A54" s="10" t="inlineStr">
        <is>
          <t>Top left is a contact you flagged that did reopen; top right is a false alarm; bottom left is the one you missed. There is no threshold that empties both off-diagonal cells, and choosing which of them to fill is a business decision, not a statistical one.</t>
        </is>
      </c>
    </row>
    <row r="55"/>
    <row r="56">
      <c r="A56" s="6" t="inlineStr">
        <is>
          <t>STEP 5 — what that table says about the model</t>
        </is>
      </c>
      <c r="B56" s="7" t="n"/>
      <c r="C56" s="7" t="n"/>
      <c r="D56" s="7" t="n"/>
      <c r="E56" s="7" t="n"/>
      <c r="F56" s="7" t="n"/>
      <c r="G56" s="7" t="n"/>
      <c r="H56" s="7" t="n"/>
      <c r="I56" s="7" t="n"/>
    </row>
    <row r="57" ht="30" customHeight="1">
      <c r="A57" s="12" t="inlineStr">
        <is>
          <t>Measure</t>
        </is>
      </c>
      <c r="B57" s="12" t="inlineStr">
        <is>
          <t>Value</t>
        </is>
      </c>
      <c r="C57" s="12" t="inlineStr">
        <is>
          <t>What it tells you</t>
        </is>
      </c>
      <c r="D57" s="12" t="inlineStr"/>
      <c r="E57" s="12" t="inlineStr"/>
      <c r="F57" s="12" t="inlineStr"/>
      <c r="G57" s="12" t="inlineStr"/>
      <c r="H57" s="12" t="inlineStr"/>
      <c r="I57" s="12" t="inlineStr"/>
    </row>
    <row r="58" ht="30" customHeight="1">
      <c r="A58" s="8" t="inlineStr">
        <is>
          <t>Sensitivity — reopens you caught</t>
        </is>
      </c>
      <c r="B58" s="24">
        <f>IFERROR($B$51/($B$51+$B$52),"")</f>
        <v/>
      </c>
      <c r="C58" s="10" t="inlineStr">
        <is>
          <t>Of the contacts that did reopen, the share the model flagged. This is the number the improvement is actually paid on: a reopen you never flagged is a reopen you never prevented.</t>
        </is>
      </c>
    </row>
    <row r="59" ht="30" customHeight="1">
      <c r="A59" s="8" t="inlineStr">
        <is>
          <t>Specificity — quiet contacts left alone</t>
        </is>
      </c>
      <c r="B59" s="24">
        <f>IFERROR($C$52/($C$52+$C$51),"")</f>
        <v/>
      </c>
      <c r="C59" s="10" t="inlineStr">
        <is>
          <t>Of the contacts that did not reopen, the share the model correctly left alone. Falls as you lower the threshold; that is the trade.</t>
        </is>
      </c>
    </row>
    <row r="60" ht="30" customHeight="1">
      <c r="A60" s="8" t="inlineStr">
        <is>
          <t>Precision — flags that were right</t>
        </is>
      </c>
      <c r="B60" s="24">
        <f>IFERROR($B$51/($B$51+$C$51),"")</f>
        <v/>
      </c>
      <c r="C60" s="10" t="inlineStr">
        <is>
          <t>Of the contacts you flagged, the share that really reopened. At a 14% base rate this is always the ugly number, and it is the one that decides whether the team trusts the flag.</t>
        </is>
      </c>
    </row>
    <row r="61" ht="45" customHeight="1">
      <c r="A61" s="8" t="inlineStr">
        <is>
          <t>Accuracy — rows called correctly</t>
        </is>
      </c>
      <c r="B61" s="24">
        <f>IFERROR(($B$51+$C$52)/($B$51+$C$51+$B$52+$C$52),"")</f>
        <v/>
      </c>
      <c r="C61" s="10" t="inlineStr">
        <is>
          <t>The share of all rows called right. Almost useless on its own: predicting 'never reopens' for every row scores whatever the base rate below leaves it, and prevents nothing. Quote it only beside that base rate.</t>
        </is>
      </c>
    </row>
    <row r="62" ht="30" customHeight="1">
      <c r="A62" s="8" t="inlineStr">
        <is>
          <t>Base rate — share that actually reopened</t>
        </is>
      </c>
      <c r="B62" s="24">
        <f>IFERROR(($B$51+$B$52)/($B$51+$C$51+$B$52+$C$52),"")</f>
        <v/>
      </c>
      <c r="C62" s="10" t="inlineStr">
        <is>
          <t>What you would score by always guessing 'no'. Accuracy has to beat this by a wide margin before it means anything at all.</t>
        </is>
      </c>
    </row>
    <row r="63" ht="30" customHeight="1">
      <c r="A63" s="8" t="inlineStr">
        <is>
          <t>Verdict at this threshold</t>
        </is>
      </c>
      <c r="B63" s="21">
        <f>IF($B$51+$B$52=0,"NO REOPENS IN THE SAMPLE",IF($B$51/($B$51+$B$52)&lt;0.5,"MISSES MORE THAN HALF — lower the threshold",IF($B$51/($B$51+$C$51)&lt;0.2,"TOO MANY FALSE ALARMS — raise the threshold","USABLE FOR TARGETING — check it against the cost of a flag")))</f>
        <v/>
      </c>
      <c r="C63" s="10" t="inlineStr">
        <is>
          <t>Sensitivity is what the model buys you; precision is what it costs the team. Move the threshold in step 3 and watch both move.</t>
        </is>
      </c>
    </row>
    <row r="64"/>
    <row r="65">
      <c r="A65" s="6" t="inlineStr">
        <is>
          <t>THE DECISION RULE — before this leaves the room</t>
        </is>
      </c>
      <c r="B65" s="7" t="n"/>
      <c r="C65" s="7" t="n"/>
      <c r="D65" s="7" t="n"/>
      <c r="E65" s="7" t="n"/>
      <c r="F65" s="7" t="n"/>
      <c r="G65" s="7" t="n"/>
      <c r="H65" s="7" t="n"/>
      <c r="I65" s="7" t="n"/>
    </row>
    <row r="66" ht="45" customHeight="1">
      <c r="A66" s="10" t="inlineStr">
        <is>
          <t>Never fit a straight line to a yes/no outcome. Linear regression on a 0/1 column predicts probabilities above 1 and below 0, and gets the error structure wrong on top of it. If your outcome is reopened, escalated, breached or churned, it is this tab or nothing.</t>
        </is>
      </c>
    </row>
    <row r="67" ht="60" customHeight="1">
      <c r="A67" s="10" t="inlineStr">
        <is>
          <t>Report odds ratios with their confidence intervals, never raw log-odds. 'Each transfer multiplies the odds of a reopen by 1.84 (95% CI 1.46 to 2.33)' is a sentence the Improve phase can act on. '0.61' is not. And an interval that includes 1.00 means you have not shown anything, however confident the point estimate looks.</t>
        </is>
      </c>
    </row>
    <row r="68" ht="60" customHeight="1">
      <c r="A68" s="10" t="inlineStr">
        <is>
          <t>The biggest odds ratio is not the biggest opportunity. Multiply each odds ratio by how COMMON that driver is. After-17:00 has the largest ratio here and applies to 46% of contacts; a rare driver with an odds ratio of 5 that touches 2% of volume moves almost nothing. Rank by ratio times prevalence and you will usually reorder the list.</t>
        </is>
      </c>
    </row>
    <row r="69" ht="75" customHeight="1">
      <c r="A69" s="10" t="inlineStr">
        <is>
          <t>AUC and accuracy are not the same question, and neither is causation. AUC asks whether the model RANKS reopens above non-reopens; accuracy asks how many rows it called right at one threshold; and neither says the drivers cause the reopens. Before you change the 17:00 cut-off, confirm the posting-batch mechanism at the gemba or pilot the change against a control group (16-pilot-protocol.md) — the model chose your suspect, the pilot convicts it.</t>
        </is>
      </c>
    </row>
  </sheetData>
  <mergeCells count="26">
    <mergeCell ref="C61:I61"/>
    <mergeCell ref="A65:I65"/>
    <mergeCell ref="A66:I66"/>
    <mergeCell ref="A56:I56"/>
    <mergeCell ref="A2:I2"/>
    <mergeCell ref="A5:I5"/>
    <mergeCell ref="A17:I17"/>
    <mergeCell ref="A8:I8"/>
    <mergeCell ref="C62:I62"/>
    <mergeCell ref="A4:I4"/>
    <mergeCell ref="C58:I58"/>
    <mergeCell ref="A68:I68"/>
    <mergeCell ref="A44:I44"/>
    <mergeCell ref="A67:I67"/>
    <mergeCell ref="C47:I47"/>
    <mergeCell ref="C63:I63"/>
    <mergeCell ref="A15:I15"/>
    <mergeCell ref="A49:I49"/>
    <mergeCell ref="C59:I59"/>
    <mergeCell ref="A1:I1"/>
    <mergeCell ref="A45:I45"/>
    <mergeCell ref="C46:I46"/>
    <mergeCell ref="A6:I6"/>
    <mergeCell ref="C60:I60"/>
    <mergeCell ref="A69:I69"/>
    <mergeCell ref="A54:I54"/>
  </mergeCells>
  <dataValidations count="2">
    <dataValidation sqref="B46" showDropDown="0" showInputMessage="0" showErrorMessage="0" allowBlank="1" type="decimal" operator="between">
      <formula1>0</formula1>
      <formula2>1</formula2>
    </dataValidation>
    <dataValidation sqref="B19:C42 F19:F42" showDropDown="0" showInputMessage="0" showErrorMessage="0" allowBlank="1" type="whole" operator="between">
      <formula1>0</formula1>
      <formula2>1</formula2>
    </dataValidation>
  </dataValidations>
  <printOptions horizontalCentered="1"/>
  <pageMargins left="0.4" right="0.4" top="0.5" bottom="0.5" header="0.5" footer="0.5"/>
  <pageSetup orientation="landscape" fitToHeight="0" fitToWidth="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six-sigma-blackbelt-support-ops</dc:creator>
  <dcterms:created xsi:type="dcterms:W3CDTF">2026-01-01T00:00:00Z</dcterms:created>
  <dcterms:modified xsi:type="dcterms:W3CDTF">2026-01-01T00:00:00Z</dcterms:modified>
  <cp:lastModifiedBy>six-sigma-blackbelt-support-ops</cp:lastModifiedBy>
</cp:coreProperties>
</file>