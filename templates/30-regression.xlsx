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7" borderId="1" pivotButton="0" quotePrefix="0" xfId="0"/>
    <xf numFmtId="0" fontId="5" fillId="7" borderId="1" pivotButton="0" quotePrefix="0" xfId="0"/>
    <xf numFmtId="2" fontId="0" fillId="0" borderId="0" pivotButton="0" quotePrefix="0" xfId="0"/>
    <xf numFmtId="3" fontId="0" fillId="0" borderId="0"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7" borderId="1" applyAlignment="1" pivotButton="0" quotePrefix="0" xfId="0">
      <alignment vertical="center"/>
    </xf>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The green rows are a worked example — replace them with your own pairs. Yellow cells above are yours to set;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16">
        <f>IF($C12="","",$B$41+$B$40*$B12)</f>
        <v/>
      </c>
      <c r="E12" s="16">
        <f>IF($D12="","",$C12-$D12)</f>
        <v/>
      </c>
      <c r="F12" s="17">
        <f>IF($E12="","",IF(ABS($E12)&gt;1.5*$B$44,"LOOK AT THIS ONE","on the line"))</f>
        <v/>
      </c>
      <c r="G12" s="18">
        <f>IFERROR(MAX($B$11:$B$34),0)</f>
        <v/>
      </c>
      <c r="H12" s="19">
        <f>IFERROR($B$41+$B$40*$G$12,"")</f>
        <v/>
      </c>
    </row>
    <row r="13">
      <c r="A13" s="13" t="inlineStr">
        <is>
          <t>BA-2203 · 08:15</t>
        </is>
      </c>
      <c r="B13" s="14" t="n">
        <v>1</v>
      </c>
      <c r="C13" s="15" t="n">
        <v>344</v>
      </c>
      <c r="D13" s="16">
        <f>IF($C13="","",$B$41+$B$40*$B13)</f>
        <v/>
      </c>
      <c r="E13" s="16">
        <f>IF($D13="","",$C13-$D13)</f>
        <v/>
      </c>
      <c r="F13" s="17">
        <f>IF($E13="","",IF(ABS($E13)&gt;1.5*$B$44,"LOOK AT THIS ONE","on the line"))</f>
        <v/>
      </c>
    </row>
    <row r="14">
      <c r="A14" s="13" t="inlineStr">
        <is>
          <t>BA-2204 · 17:45</t>
        </is>
      </c>
      <c r="B14" s="14" t="n">
        <v>2</v>
      </c>
      <c r="C14" s="15" t="n">
        <v>479</v>
      </c>
      <c r="D14" s="16">
        <f>IF($C14="","",$B$41+$B$40*$B14)</f>
        <v/>
      </c>
      <c r="E14" s="16">
        <f>IF($D14="","",$C14-$D14)</f>
        <v/>
      </c>
      <c r="F14" s="17">
        <f>IF($E14="","",IF(ABS($E14)&gt;1.5*$B$44,"LOOK AT THIS ONE","on the line"))</f>
        <v/>
      </c>
    </row>
    <row r="15">
      <c r="A15" s="13" t="inlineStr">
        <is>
          <t>BA-2205 · 18:10</t>
        </is>
      </c>
      <c r="B15" s="14" t="n">
        <v>2</v>
      </c>
      <c r="C15" s="15" t="n">
        <v>422</v>
      </c>
      <c r="D15" s="16">
        <f>IF($C15="","",$B$41+$B$40*$B15)</f>
        <v/>
      </c>
      <c r="E15" s="16">
        <f>IF($D15="","",$C15-$D15)</f>
        <v/>
      </c>
      <c r="F15" s="17">
        <f>IF($E15="","",IF(ABS($E15)&gt;1.5*$B$44,"LOOK AT THIS ONE","on the line"))</f>
        <v/>
      </c>
    </row>
    <row r="16">
      <c r="A16" s="13" t="inlineStr">
        <is>
          <t>BA-2206 · 09:05</t>
        </is>
      </c>
      <c r="B16" s="14" t="n">
        <v>3</v>
      </c>
      <c r="C16" s="15" t="n">
        <v>452</v>
      </c>
      <c r="D16" s="16">
        <f>IF($C16="","",$B$41+$B$40*$B16)</f>
        <v/>
      </c>
      <c r="E16" s="16">
        <f>IF($D16="","",$C16-$D16)</f>
        <v/>
      </c>
      <c r="F16" s="17">
        <f>IF($E16="","",IF(ABS($E16)&gt;1.5*$B$44,"LOOK AT THIS ONE","on the line"))</f>
        <v/>
      </c>
    </row>
    <row r="17">
      <c r="A17" s="13" t="inlineStr">
        <is>
          <t>BA-2207 · 09:40</t>
        </is>
      </c>
      <c r="B17" s="14" t="n">
        <v>2</v>
      </c>
      <c r="C17" s="15" t="n">
        <v>374</v>
      </c>
      <c r="D17" s="16">
        <f>IF($C17="","",$B$41+$B$40*$B17)</f>
        <v/>
      </c>
      <c r="E17" s="16">
        <f>IF($D17="","",$C17-$D17)</f>
        <v/>
      </c>
      <c r="F17" s="17">
        <f>IF($E17="","",IF(ABS($E17)&gt;1.5*$B$44,"LOOK AT THIS ONE","on the line"))</f>
        <v/>
      </c>
    </row>
    <row r="18">
      <c r="A18" s="13" t="inlineStr">
        <is>
          <t>BA-2208 · 18:35</t>
        </is>
      </c>
      <c r="B18" s="14" t="n">
        <v>0</v>
      </c>
      <c r="C18" s="15" t="n">
        <v>451</v>
      </c>
      <c r="D18" s="16">
        <f>IF($C18="","",$B$41+$B$40*$B18)</f>
        <v/>
      </c>
      <c r="E18" s="16">
        <f>IF($D18="","",$C18-$D18)</f>
        <v/>
      </c>
      <c r="F18" s="17">
        <f>IF($E18="","",IF(ABS($E18)&gt;1.5*$B$44,"LOOK AT THIS ONE","on the line"))</f>
        <v/>
      </c>
    </row>
    <row r="19">
      <c r="A19" s="13" t="inlineStr">
        <is>
          <t>BA-2209 · 10:20</t>
        </is>
      </c>
      <c r="B19" s="14" t="n">
        <v>0</v>
      </c>
      <c r="C19" s="15" t="n">
        <v>360</v>
      </c>
      <c r="D19" s="16">
        <f>IF($C19="","",$B$41+$B$40*$B19)</f>
        <v/>
      </c>
      <c r="E19" s="16">
        <f>IF($D19="","",$C19-$D19)</f>
        <v/>
      </c>
      <c r="F19" s="17">
        <f>IF($E19="","",IF(ABS($E19)&gt;1.5*$B$44,"LOOK AT THIS ONE","on the line"))</f>
        <v/>
      </c>
    </row>
    <row r="20">
      <c r="A20" s="13" t="inlineStr">
        <is>
          <t>BA-2210 · 11:05</t>
        </is>
      </c>
      <c r="B20" s="14" t="n">
        <v>0</v>
      </c>
      <c r="C20" s="15" t="n">
        <v>260</v>
      </c>
      <c r="D20" s="16">
        <f>IF($C20="","",$B$41+$B$40*$B20)</f>
        <v/>
      </c>
      <c r="E20" s="16">
        <f>IF($D20="","",$C20-$D20)</f>
        <v/>
      </c>
      <c r="F20" s="17">
        <f>IF($E20="","",IF(ABS($E20)&gt;1.5*$B$44,"LOOK AT THIS ONE","on the line"))</f>
        <v/>
      </c>
    </row>
    <row r="21">
      <c r="A21" s="13" t="inlineStr">
        <is>
          <t>BA-2211 · 11:35</t>
        </is>
      </c>
      <c r="B21" s="14" t="n">
        <v>0</v>
      </c>
      <c r="C21" s="15" t="n">
        <v>415</v>
      </c>
      <c r="D21" s="16">
        <f>IF($C21="","",$B$41+$B$40*$B21)</f>
        <v/>
      </c>
      <c r="E21" s="16">
        <f>IF($D21="","",$C21-$D21)</f>
        <v/>
      </c>
      <c r="F21" s="17">
        <f>IF($E21="","",IF(ABS($E21)&gt;1.5*$B$44,"LOOK AT THIS ONE","on the line"))</f>
        <v/>
      </c>
    </row>
    <row r="22">
      <c r="A22" s="13" t="inlineStr">
        <is>
          <t>BA-2212 · 19:00</t>
        </is>
      </c>
      <c r="B22" s="14" t="n">
        <v>2</v>
      </c>
      <c r="C22" s="15" t="n">
        <v>555</v>
      </c>
      <c r="D22" s="16">
        <f>IF($C22="","",$B$41+$B$40*$B22)</f>
        <v/>
      </c>
      <c r="E22" s="16">
        <f>IF($D22="","",$C22-$D22)</f>
        <v/>
      </c>
      <c r="F22" s="17">
        <f>IF($E22="","",IF(ABS($E22)&gt;1.5*$B$44,"LOOK AT THIS ONE","on the line"))</f>
        <v/>
      </c>
    </row>
    <row r="23">
      <c r="A23" s="13" t="inlineStr">
        <is>
          <t>BA-2213 · 12:10</t>
        </is>
      </c>
      <c r="B23" s="14" t="n">
        <v>1</v>
      </c>
      <c r="C23" s="15" t="n">
        <v>393</v>
      </c>
      <c r="D23" s="16">
        <f>IF($C23="","",$B$41+$B$40*$B23)</f>
        <v/>
      </c>
      <c r="E23" s="16">
        <f>IF($D23="","",$C23-$D23)</f>
        <v/>
      </c>
      <c r="F23" s="17">
        <f>IF($E23="","",IF(ABS($E23)&gt;1.5*$B$44,"LOOK AT THIS ONE","on the line"))</f>
        <v/>
      </c>
    </row>
    <row r="24">
      <c r="A24" s="13" t="inlineStr">
        <is>
          <t>BA-2214 · 19:25</t>
        </is>
      </c>
      <c r="B24" s="14" t="n">
        <v>0</v>
      </c>
      <c r="C24" s="15" t="n">
        <v>454</v>
      </c>
      <c r="D24" s="16">
        <f>IF($C24="","",$B$41+$B$40*$B24)</f>
        <v/>
      </c>
      <c r="E24" s="16">
        <f>IF($D24="","",$C24-$D24)</f>
        <v/>
      </c>
      <c r="F24" s="17">
        <f>IF($E24="","",IF(ABS($E24)&gt;1.5*$B$44,"LOOK AT THIS ONE","on the line"))</f>
        <v/>
      </c>
    </row>
    <row r="25">
      <c r="A25" s="13" t="inlineStr">
        <is>
          <t>BA-2215 · 13:25</t>
        </is>
      </c>
      <c r="B25" s="14" t="n">
        <v>0</v>
      </c>
      <c r="C25" s="15" t="n">
        <v>257</v>
      </c>
      <c r="D25" s="16">
        <f>IF($C25="","",$B$41+$B$40*$B25)</f>
        <v/>
      </c>
      <c r="E25" s="16">
        <f>IF($D25="","",$C25-$D25)</f>
        <v/>
      </c>
      <c r="F25" s="17">
        <f>IF($E25="","",IF(ABS($E25)&gt;1.5*$B$44,"LOOK AT THIS ONE","on the line"))</f>
        <v/>
      </c>
    </row>
    <row r="26">
      <c r="A26" s="13" t="inlineStr">
        <is>
          <t>BA-2216 · 19:50</t>
        </is>
      </c>
      <c r="B26" s="14" t="n">
        <v>1</v>
      </c>
      <c r="C26" s="15" t="n">
        <v>544</v>
      </c>
      <c r="D26" s="16">
        <f>IF($C26="","",$B$41+$B$40*$B26)</f>
        <v/>
      </c>
      <c r="E26" s="16">
        <f>IF($D26="","",$C26-$D26)</f>
        <v/>
      </c>
      <c r="F26" s="17">
        <f>IF($E26="","",IF(ABS($E26)&gt;1.5*$B$44,"LOOK AT THIS ONE","on the line"))</f>
        <v/>
      </c>
    </row>
    <row r="27">
      <c r="A27" s="13" t="inlineStr">
        <is>
          <t>BA-2217 · 20:15</t>
        </is>
      </c>
      <c r="B27" s="14" t="n">
        <v>1</v>
      </c>
      <c r="C27" s="15" t="n">
        <v>482</v>
      </c>
      <c r="D27" s="16">
        <f>IF($C27="","",$B$41+$B$40*$B27)</f>
        <v/>
      </c>
      <c r="E27" s="16">
        <f>IF($D27="","",$C27-$D27)</f>
        <v/>
      </c>
      <c r="F27" s="17">
        <f>IF($E27="","",IF(ABS($E27)&gt;1.5*$B$44,"LOOK AT THIS ONE","on the line"))</f>
        <v/>
      </c>
    </row>
    <row r="28">
      <c r="A28" s="13" t="inlineStr">
        <is>
          <t>BA-2218 · 14:00</t>
        </is>
      </c>
      <c r="B28" s="14" t="n">
        <v>1</v>
      </c>
      <c r="C28" s="15" t="n">
        <v>403</v>
      </c>
      <c r="D28" s="16">
        <f>IF($C28="","",$B$41+$B$40*$B28)</f>
        <v/>
      </c>
      <c r="E28" s="16">
        <f>IF($D28="","",$C28-$D28)</f>
        <v/>
      </c>
      <c r="F28" s="17">
        <f>IF($E28="","",IF(ABS($E28)&gt;1.5*$B$44,"LOOK AT THIS ONE","on the line"))</f>
        <v/>
      </c>
    </row>
    <row r="29">
      <c r="A29" s="13" t="inlineStr">
        <is>
          <t>BA-2219 · 20:40</t>
        </is>
      </c>
      <c r="B29" s="14" t="n">
        <v>2</v>
      </c>
      <c r="C29" s="15" t="n">
        <v>433</v>
      </c>
      <c r="D29" s="16">
        <f>IF($C29="","",$B$41+$B$40*$B29)</f>
        <v/>
      </c>
      <c r="E29" s="16">
        <f>IF($D29="","",$C29-$D29)</f>
        <v/>
      </c>
      <c r="F29" s="17">
        <f>IF($E29="","",IF(ABS($E29)&gt;1.5*$B$44,"LOOK AT THIS ONE","on the line"))</f>
        <v/>
      </c>
    </row>
    <row r="30">
      <c r="A30" s="13" t="inlineStr">
        <is>
          <t>BA-2220 · 14:35</t>
        </is>
      </c>
      <c r="B30" s="14" t="n">
        <v>2</v>
      </c>
      <c r="C30" s="15" t="n">
        <v>483</v>
      </c>
      <c r="D30" s="16">
        <f>IF($C30="","",$B$41+$B$40*$B30)</f>
        <v/>
      </c>
      <c r="E30" s="16">
        <f>IF($D30="","",$C30-$D30)</f>
        <v/>
      </c>
      <c r="F30" s="17">
        <f>IF($E30="","",IF(ABS($E30)&gt;1.5*$B$44,"LOOK AT THIS ONE","on the line"))</f>
        <v/>
      </c>
    </row>
    <row r="31">
      <c r="A31" s="13" t="inlineStr">
        <is>
          <t>BA-2221 · 15:10</t>
        </is>
      </c>
      <c r="B31" s="14" t="n">
        <v>0</v>
      </c>
      <c r="C31" s="15" t="n">
        <v>261</v>
      </c>
      <c r="D31" s="16">
        <f>IF($C31="","",$B$41+$B$40*$B31)</f>
        <v/>
      </c>
      <c r="E31" s="16">
        <f>IF($D31="","",$C31-$D31)</f>
        <v/>
      </c>
      <c r="F31" s="17">
        <f>IF($E31="","",IF(ABS($E31)&gt;1.5*$B$44,"LOOK AT THIS ONE","on the line"))</f>
        <v/>
      </c>
    </row>
    <row r="32">
      <c r="A32" s="13" t="inlineStr">
        <is>
          <t>BA-2222 · 15:50</t>
        </is>
      </c>
      <c r="B32" s="14" t="n">
        <v>1</v>
      </c>
      <c r="C32" s="15" t="n">
        <v>424</v>
      </c>
      <c r="D32" s="16">
        <f>IF($C32="","",$B$41+$B$40*$B32)</f>
        <v/>
      </c>
      <c r="E32" s="16">
        <f>IF($D32="","",$C32-$D32)</f>
        <v/>
      </c>
      <c r="F32" s="17">
        <f>IF($E32="","",IF(ABS($E32)&gt;1.5*$B$44,"LOOK AT THIS ONE","on the line"))</f>
        <v/>
      </c>
    </row>
    <row r="33">
      <c r="A33" s="13" t="inlineStr">
        <is>
          <t>BA-2223 · 16:20</t>
        </is>
      </c>
      <c r="B33" s="14" t="n">
        <v>1</v>
      </c>
      <c r="C33" s="15" t="n">
        <v>359</v>
      </c>
      <c r="D33" s="16">
        <f>IF($C33="","",$B$41+$B$40*$B33)</f>
        <v/>
      </c>
      <c r="E33" s="16">
        <f>IF($D33="","",$C33-$D33)</f>
        <v/>
      </c>
      <c r="F33" s="17">
        <f>IF($E33="","",IF(ABS($E33)&gt;1.5*$B$44,"LOOK AT THIS ONE","on the line"))</f>
        <v/>
      </c>
    </row>
    <row r="34">
      <c r="A34" s="13" t="inlineStr">
        <is>
          <t>BA-2224 · 21:10</t>
        </is>
      </c>
      <c r="B34" s="14" t="n">
        <v>1</v>
      </c>
      <c r="C34" s="15" t="n">
        <v>505</v>
      </c>
      <c r="D34" s="16">
        <f>IF($C34="","",$B$41+$B$40*$B34)</f>
        <v/>
      </c>
      <c r="E34" s="16">
        <f>IF($D34="","",$C34-$D34)</f>
        <v/>
      </c>
      <c r="F34" s="17">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0">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1">
        <f>SLOPE($C$11:$C$34,$B$11:$B$34)</f>
        <v/>
      </c>
      <c r="C40" s="10" t="inlineStr">
        <is>
          <t>SLOPE(y, x). How much y moves for one more transfer. This is the number that goes in a business case, not R².</t>
        </is>
      </c>
    </row>
    <row r="41" ht="30" customHeight="1">
      <c r="A41" s="8" t="inlineStr">
        <is>
          <t>Intercept — seconds at zero transfers</t>
        </is>
      </c>
      <c r="B41" s="21">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2">
        <f>RSQ($C$11:$C$34,$B$11:$B$34)</f>
        <v/>
      </c>
      <c r="C42" s="10" t="inlineStr">
        <is>
          <t>RSQ(y, x). The share of the variation in y this one driver accounts for. Everything else is the drivers you did not put in the model.</t>
        </is>
      </c>
    </row>
    <row r="43" ht="30" customHeight="1">
      <c r="A43" s="8" t="inlineStr">
        <is>
          <t>Correlation r</t>
        </is>
      </c>
      <c r="B43" s="23">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1">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1">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1">
        <f>IFERROR($B$40/$B$45,"")</f>
        <v/>
      </c>
      <c r="C46" s="10" t="inlineStr">
        <is>
          <t>Slope divided by its own standard error. Two or more and the slope is usually distinguishable from a flat line at this sample size.</t>
        </is>
      </c>
    </row>
    <row r="47" ht="30" customHeight="1">
      <c r="A47" s="8" t="inlineStr">
        <is>
          <t>Degrees of freedom</t>
        </is>
      </c>
      <c r="B47" s="20">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4">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5">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5">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6"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16">
        <f>IF($F12="","",$B$40+$B$41*$B12+$B$42*$C12+$B$43*$D12+$B$44*$E12)</f>
        <v/>
      </c>
      <c r="H12" s="16">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16">
        <f>IF($F13="","",$B$40+$B$41*$B13+$B$42*$C13+$B$43*$D13+$B$44*$E13)</f>
        <v/>
      </c>
      <c r="H13" s="16">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16">
        <f>IF($F14="","",$B$40+$B$41*$B14+$B$42*$C14+$B$43*$D14+$B$44*$E14)</f>
        <v/>
      </c>
      <c r="H14" s="16">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16">
        <f>IF($F15="","",$B$40+$B$41*$B15+$B$42*$C15+$B$43*$D15+$B$44*$E15)</f>
        <v/>
      </c>
      <c r="H15" s="16">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16">
        <f>IF($F16="","",$B$40+$B$41*$B16+$B$42*$C16+$B$43*$D16+$B$44*$E16)</f>
        <v/>
      </c>
      <c r="H16" s="16">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16">
        <f>IF($F17="","",$B$40+$B$41*$B17+$B$42*$C17+$B$43*$D17+$B$44*$E17)</f>
        <v/>
      </c>
      <c r="H17" s="16">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16">
        <f>IF($F18="","",$B$40+$B$41*$B18+$B$42*$C18+$B$43*$D18+$B$44*$E18)</f>
        <v/>
      </c>
      <c r="H18" s="16">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16">
        <f>IF($F19="","",$B$40+$B$41*$B19+$B$42*$C19+$B$43*$D19+$B$44*$E19)</f>
        <v/>
      </c>
      <c r="H19" s="16">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16">
        <f>IF($F20="","",$B$40+$B$41*$B20+$B$42*$C20+$B$43*$D20+$B$44*$E20)</f>
        <v/>
      </c>
      <c r="H20" s="16">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16">
        <f>IF($F21="","",$B$40+$B$41*$B21+$B$42*$C21+$B$43*$D21+$B$44*$E21)</f>
        <v/>
      </c>
      <c r="H21" s="16">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16">
        <f>IF($F22="","",$B$40+$B$41*$B22+$B$42*$C22+$B$43*$D22+$B$44*$E22)</f>
        <v/>
      </c>
      <c r="H22" s="16">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16">
        <f>IF($F23="","",$B$40+$B$41*$B23+$B$42*$C23+$B$43*$D23+$B$44*$E23)</f>
        <v/>
      </c>
      <c r="H23" s="16">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16">
        <f>IF($F24="","",$B$40+$B$41*$B24+$B$42*$C24+$B$43*$D24+$B$44*$E24)</f>
        <v/>
      </c>
      <c r="H24" s="16">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16">
        <f>IF($F25="","",$B$40+$B$41*$B25+$B$42*$C25+$B$43*$D25+$B$44*$E25)</f>
        <v/>
      </c>
      <c r="H25" s="16">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16">
        <f>IF($F26="","",$B$40+$B$41*$B26+$B$42*$C26+$B$43*$D26+$B$44*$E26)</f>
        <v/>
      </c>
      <c r="H26" s="16">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16">
        <f>IF($F27="","",$B$40+$B$41*$B27+$B$42*$C27+$B$43*$D27+$B$44*$E27)</f>
        <v/>
      </c>
      <c r="H27" s="16">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16">
        <f>IF($F28="","",$B$40+$B$41*$B28+$B$42*$C28+$B$43*$D28+$B$44*$E28)</f>
        <v/>
      </c>
      <c r="H28" s="16">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16">
        <f>IF($F29="","",$B$40+$B$41*$B29+$B$42*$C29+$B$43*$D29+$B$44*$E29)</f>
        <v/>
      </c>
      <c r="H29" s="16">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16">
        <f>IF($F30="","",$B$40+$B$41*$B30+$B$42*$C30+$B$43*$D30+$B$44*$E30)</f>
        <v/>
      </c>
      <c r="H30" s="16">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16">
        <f>IF($F31="","",$B$40+$B$41*$B31+$B$42*$C31+$B$43*$D31+$B$44*$E31)</f>
        <v/>
      </c>
      <c r="H31" s="16">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16">
        <f>IF($F32="","",$B$40+$B$41*$B32+$B$42*$C32+$B$43*$D32+$B$44*$E32)</f>
        <v/>
      </c>
      <c r="H32" s="16">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16">
        <f>IF($F33="","",$B$40+$B$41*$B33+$B$42*$C33+$B$43*$D33+$B$44*$E33)</f>
        <v/>
      </c>
      <c r="H33" s="16">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16">
        <f>IF($F34="","",$B$40+$B$41*$B34+$B$42*$C34+$B$43*$D34+$B$44*$E34)</f>
        <v/>
      </c>
      <c r="H34" s="16">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7" t="inlineStr">
        <is>
          <t>Intercept</t>
        </is>
      </c>
      <c r="B40" s="28">
        <f>IFERROR(INDEX(LINEST($F$11:$F$34,$B$11:$E$34,TRUE,TRUE),1,5),"")</f>
        <v/>
      </c>
      <c r="C40" s="28">
        <f>IFERROR(INDEX(LINEST($F$11:$F$34,$B$11:$E$34,TRUE,TRUE),2,5),"")</f>
        <v/>
      </c>
      <c r="D40" s="28">
        <f>IFERROR($B40/$C40,"")</f>
        <v/>
      </c>
      <c r="E40" s="29">
        <f>IFERROR(TDIST(ABS($D40),$B$55,2),"")</f>
        <v/>
      </c>
      <c r="I40" s="30">
        <f>IF($B40="","","Predicted handle time for a contact with every driver at zero — before 17:00, under the limit, a brand-new agent, no transfers. Read it as the starting point the four effects are added to, not as a prediction.")</f>
        <v/>
      </c>
    </row>
    <row r="41" ht="60" customHeight="1">
      <c r="A41" s="27" t="inlineStr">
        <is>
          <t>Raised after 17:00 (1 = yes)</t>
        </is>
      </c>
      <c r="B41" s="28">
        <f>IFERROR(INDEX(LINEST($F$11:$F$34,$B$11:$E$34,TRUE,TRUE),1,4),"")</f>
        <v/>
      </c>
      <c r="C41" s="28">
        <f>IFERROR(INDEX(LINEST($F$11:$F$34,$B$11:$E$34,TRUE,TRUE),2,4),"")</f>
        <v/>
      </c>
      <c r="D41" s="28">
        <f>IFERROR($B41/$C41,"")</f>
        <v/>
      </c>
      <c r="E41" s="29">
        <f>IFERROR(TDIST(ABS($D41),$B$55,2),"")</f>
        <v/>
      </c>
      <c r="F41" s="28">
        <f>IFERROR(1/(1-INDEX(LINEST($B$11:$B$34,$J$11:$L$34,TRUE,TRUE),3,1)),"")</f>
        <v/>
      </c>
      <c r="G41" s="31">
        <f>IFERROR($B41*(MAX($B$11:$B$34)-MIN($B$11:$B$34)),"")</f>
        <v/>
      </c>
      <c r="H41" s="25">
        <f>IF($E41="","",IF($E41&gt;=0.05,"NOT PROVEN — cannot be separated from zero",IF(ABS($G41)&lt;$B$7,"REAL BUT TOO SMALL — under the "&amp;TEXT($B$7,"0")&amp;" seconds you set","ACT ON IT — real, and big enough to matter")))</f>
        <v/>
      </c>
      <c r="I41" s="30">
        <f>IF($B41="","","Seconds the after-17:00 flag adds once the other three are held still. Compare it with the p-value beside it before you repeat it out loud.")</f>
        <v/>
      </c>
    </row>
    <row r="42" ht="48" customHeight="1">
      <c r="A42" s="27" t="inlineStr">
        <is>
          <t>Over the $50 authority limit (1 = yes)</t>
        </is>
      </c>
      <c r="B42" s="28">
        <f>IFERROR(INDEX(LINEST($F$11:$F$34,$B$11:$E$34,TRUE,TRUE),1,3),"")</f>
        <v/>
      </c>
      <c r="C42" s="28">
        <f>IFERROR(INDEX(LINEST($F$11:$F$34,$B$11:$E$34,TRUE,TRUE),2,3),"")</f>
        <v/>
      </c>
      <c r="D42" s="28">
        <f>IFERROR($B42/$C42,"")</f>
        <v/>
      </c>
      <c r="E42" s="29">
        <f>IFERROR(TDIST(ABS($D42),$B$55,2),"")</f>
        <v/>
      </c>
      <c r="F42" s="28">
        <f>IFERROR(1/(1-INDEX(LINEST($C$11:$C$34,$M$11:$O$34,TRUE,TRUE),3,1)),"")</f>
        <v/>
      </c>
      <c r="G42" s="31">
        <f>IFERROR($B42*(MAX($C$11:$C$34)-MIN($C$11:$C$34)),"")</f>
        <v/>
      </c>
      <c r="H42" s="25">
        <f>IF($E42="","",IF($E42&gt;=0.05,"NOT PROVEN — cannot be separated from zero",IF(ABS($G42)&lt;$B$7,"REAL BUT TOO SMALL — under the "&amp;TEXT($B$7,"0")&amp;" seconds you set","ACT ON IT — real, and big enough to matter")))</f>
        <v/>
      </c>
      <c r="I42" s="30">
        <f>IF($B42="","","Seconds the $50 authority limit adds once the other three are held still. This is the queue, not the money.")</f>
        <v/>
      </c>
    </row>
    <row r="43" ht="60" customHeight="1">
      <c r="A43" s="27" t="inlineStr">
        <is>
          <t>Agent tenure in months</t>
        </is>
      </c>
      <c r="B43" s="28">
        <f>IFERROR(INDEX(LINEST($F$11:$F$34,$B$11:$E$34,TRUE,TRUE),1,2),"")</f>
        <v/>
      </c>
      <c r="C43" s="28">
        <f>IFERROR(INDEX(LINEST($F$11:$F$34,$B$11:$E$34,TRUE,TRUE),2,2),"")</f>
        <v/>
      </c>
      <c r="D43" s="28">
        <f>IFERROR($B43/$C43,"")</f>
        <v/>
      </c>
      <c r="E43" s="29">
        <f>IFERROR(TDIST(ABS($D43),$B$55,2),"")</f>
        <v/>
      </c>
      <c r="F43" s="28">
        <f>IFERROR(1/(1-INDEX(LINEST($D$11:$D$34,$P$11:$R$34,TRUE,TRUE),3,1)),"")</f>
        <v/>
      </c>
      <c r="G43" s="31">
        <f>IFERROR($B43*(MAX($D$11:$D$34)-MIN($D$11:$D$34)),"")</f>
        <v/>
      </c>
      <c r="H43" s="25">
        <f>IF($E43="","",IF($E43&gt;=0.05,"NOT PROVEN — cannot be separated from zero",IF(ABS($G43)&lt;$B$7,"REAL BUT TOO SMALL — under the "&amp;TEXT($B$7,"0")&amp;" seconds you set","ACT ON IT — real, and big enough to matter")))</f>
        <v/>
      </c>
      <c r="I43" s="30">
        <f>IF($B43="","","Seconds per extra month of tenure — negative means longer-serving agents are quicker. Small per month, so read the range column, not this one.")</f>
        <v/>
      </c>
    </row>
    <row r="44" ht="60" customHeight="1">
      <c r="A44" s="27" t="inlineStr">
        <is>
          <t>Transfers before resolution</t>
        </is>
      </c>
      <c r="B44" s="28">
        <f>IFERROR(INDEX(LINEST($F$11:$F$34,$B$11:$E$34,TRUE,TRUE),1,1),"")</f>
        <v/>
      </c>
      <c r="C44" s="28">
        <f>IFERROR(INDEX(LINEST($F$11:$F$34,$B$11:$E$34,TRUE,TRUE),2,1),"")</f>
        <v/>
      </c>
      <c r="D44" s="28">
        <f>IFERROR($B44/$C44,"")</f>
        <v/>
      </c>
      <c r="E44" s="29">
        <f>IFERROR(TDIST(ABS($D44),$B$55,2),"")</f>
        <v/>
      </c>
      <c r="F44" s="28">
        <f>IFERROR(1/(1-INDEX(LINEST($E$11:$E$34,$S$11:$U$34,TRUE,TRUE),3,1)),"")</f>
        <v/>
      </c>
      <c r="G44" s="31">
        <f>IFERROR($B44*(MAX($E$11:$E$34)-MIN($E$11:$E$34)),"")</f>
        <v/>
      </c>
      <c r="H44" s="25">
        <f>IF($E44="","",IF($E44&gt;=0.05,"NOT PROVEN — cannot be separated from zero",IF(ABS($G44)&lt;$B$7,"REAL BUT TOO SMALL — under the "&amp;TEXT($B$7,"0")&amp;" seconds you set","ACT ON IT — real, and big enough to matter")))</f>
        <v/>
      </c>
      <c r="I44" s="30">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0">
        <f>COUNT($F$11:$F$34)</f>
        <v/>
      </c>
      <c r="C49" s="10" t="inlineStr">
        <is>
          <t>COUNT(y). Four predictors on 24 rows is already thin. The rule of thumb is ten to fifteen rows per predictor before the coefficients settle down.</t>
        </is>
      </c>
    </row>
    <row r="50" ht="30" customHeight="1">
      <c r="A50" s="8" t="inlineStr">
        <is>
          <t>Predictors (k)</t>
        </is>
      </c>
      <c r="B50" s="20">
        <f>4</f>
        <v/>
      </c>
      <c r="C50" s="10" t="inlineStr">
        <is>
          <t>How many x columns the model is fitting. Every one you add uses up a degree of freedom and lifts R² whether or not it means anything.</t>
        </is>
      </c>
    </row>
    <row r="51" ht="30" customHeight="1">
      <c r="A51" s="8" t="inlineStr">
        <is>
          <t>R²</t>
        </is>
      </c>
      <c r="B51" s="22">
        <f>IFERROR(INDEX(LINEST($F$11:$F$34,$B$11:$E$34,TRUE,TRUE),3,1),"")</f>
        <v/>
      </c>
      <c r="C51" s="10" t="inlineStr">
        <is>
          <t>INDEX(LINEST(...), 3, 1). The share of the spread in handle time all four drivers explain together.</t>
        </is>
      </c>
    </row>
    <row r="52" ht="30" customHeight="1">
      <c r="A52" s="8" t="inlineStr">
        <is>
          <t>Adjusted R²</t>
        </is>
      </c>
      <c r="B52" s="22">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1">
        <f>IFERROR(INDEX(LINEST($F$11:$F$34,$B$11:$E$34,TRUE,TRUE),3,2),"")</f>
        <v/>
      </c>
      <c r="C53" s="10" t="inlineStr">
        <is>
          <t>INDEX(LINEST(...), 3, 2). The typical miss, in seconds. Quote a prediction as fitted ± roughly two of these, or do not quote it.</t>
        </is>
      </c>
    </row>
    <row r="54" ht="30" customHeight="1">
      <c r="A54" s="8" t="inlineStr">
        <is>
          <t>F</t>
        </is>
      </c>
      <c r="B54" s="21">
        <f>IFERROR(INDEX(LINEST($F$11:$F$34,$B$11:$E$34,TRUE,TRUE),4,1),"")</f>
        <v/>
      </c>
      <c r="C54" s="10" t="inlineStr">
        <is>
          <t>INDEX(LINEST(...), 4, 1). Tests the whole model at once: is this set of four better than no model at all?</t>
        </is>
      </c>
    </row>
    <row r="55" ht="30" customHeight="1">
      <c r="A55" s="8" t="inlineStr">
        <is>
          <t>Degrees of freedom (residual)</t>
        </is>
      </c>
      <c r="B55" s="20">
        <f>IFERROR(INDEX(LINEST($F$11:$F$34,$B$11:$E$34,TRUE,TRUE),4,2),"")</f>
        <v/>
      </c>
      <c r="C55" s="10" t="inlineStr">
        <is>
          <t>INDEX(LINEST(...), 4, 2). n − k − 1. Every per-coefficient p-value on the table above reads this cell.</t>
        </is>
      </c>
    </row>
    <row r="56" ht="30" customHeight="1">
      <c r="A56" s="8" t="inlineStr">
        <is>
          <t>p-value for F</t>
        </is>
      </c>
      <c r="B56" s="24">
        <f>IFERROR(FDIST($B$54,$B$50,$B$55),"")</f>
        <v/>
      </c>
      <c r="C56" s="10" t="inlineStr">
        <is>
          <t>FDIST(F, k, df). Small means the four together explain something. It does NOT mean each of them does — that is what the p-values above are for.</t>
        </is>
      </c>
    </row>
    <row r="57" ht="30" customHeight="1">
      <c r="A57" s="8" t="inlineStr">
        <is>
          <t>Verdict</t>
        </is>
      </c>
      <c r="B57" s="17">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7" t="inlineStr">
        <is>
          <t>Intercept</t>
        </is>
      </c>
      <c r="B10" s="32" t="n">
        <v>-3.05</v>
      </c>
      <c r="C10" s="32" t="n">
        <v>0.24</v>
      </c>
      <c r="D10" s="33" t="inlineStr">
        <is>
          <t>&lt;0.0001</t>
        </is>
      </c>
      <c r="E10" s="34">
        <f>IFERROR(EXP($B10),"")</f>
        <v/>
      </c>
      <c r="F10" s="34">
        <f>IFERROR(EXP($B10-1.96*$C10),"")</f>
        <v/>
      </c>
      <c r="G10" s="34">
        <f>IFERROR(EXP($B10+1.96*$C10),"")</f>
        <v/>
      </c>
      <c r="H10" s="30">
        <f>"Baseline odds of a reopen with every driver at zero: "&amp;TEXT($E10,"0.000")&amp;" to 1, which is "&amp;TEXT($E10/(1+$E10),"0.0%")&amp;" probability."</f>
        <v/>
      </c>
    </row>
    <row r="11" ht="84" customHeight="1">
      <c r="A11" s="27" t="inlineStr">
        <is>
          <t>Raised after 17:00 (1 = yes)</t>
        </is>
      </c>
      <c r="B11" s="32" t="n">
        <v>1.16</v>
      </c>
      <c r="C11" s="32" t="n">
        <v>0.21</v>
      </c>
      <c r="D11" s="33" t="inlineStr">
        <is>
          <t>&lt;0.0001</t>
        </is>
      </c>
      <c r="E11" s="34">
        <f>IFERROR(EXP($B11),"")</f>
        <v/>
      </c>
      <c r="F11" s="34">
        <f>IFERROR(EXP($B11-1.96*$C11),"")</f>
        <v/>
      </c>
      <c r="G11" s="34">
        <f>IFERROR(EXP($B11+1.96*$C11),"")</f>
        <v/>
      </c>
      <c r="H11" s="30">
        <f>"Raising the adjustment after 17:00 multiplies the odds of a reopen by "&amp;TEXT($E11,"0.00")&amp;". This is the posting-batch effect, and it is the largest single driver in the model."</f>
        <v/>
      </c>
    </row>
    <row r="12" ht="72" customHeight="1">
      <c r="A12" s="27" t="inlineStr">
        <is>
          <t>Over the $50 authority limit (1 = yes)</t>
        </is>
      </c>
      <c r="B12" s="32" t="n">
        <v>0.83</v>
      </c>
      <c r="C12" s="32" t="n">
        <v>0.22</v>
      </c>
      <c r="D12" s="33" t="inlineStr">
        <is>
          <t>0.0002</t>
        </is>
      </c>
      <c r="E12" s="34">
        <f>IFERROR(EXP($B12),"")</f>
        <v/>
      </c>
      <c r="F12" s="34">
        <f>IFERROR(EXP($B12-1.96*$C12),"")</f>
        <v/>
      </c>
      <c r="G12" s="34">
        <f>IFERROR(EXP($B12+1.96*$C12),"")</f>
        <v/>
      </c>
      <c r="H12" s="30">
        <f>"Clearing the $50 authority limit multiplies the odds of a reopen by "&amp;TEXT($E12,"0.00")&amp;", because the case waits in a queue for approval."</f>
        <v/>
      </c>
    </row>
    <row r="13" ht="84" customHeight="1">
      <c r="A13" s="27" t="inlineStr">
        <is>
          <t>Agent tenure in months</t>
        </is>
      </c>
      <c r="B13" s="32" t="n">
        <v>-0.038</v>
      </c>
      <c r="C13" s="32" t="n">
        <v>0.008999999999999999</v>
      </c>
      <c r="D13" s="33" t="inlineStr">
        <is>
          <t>&lt;0.0001</t>
        </is>
      </c>
      <c r="E13" s="34">
        <f>IFERROR(EXP($B13),"")</f>
        <v/>
      </c>
      <c r="F13" s="34">
        <f>IFERROR(EXP($B13-1.96*$C13),"")</f>
        <v/>
      </c>
      <c r="G13" s="34">
        <f>IFERROR(EXP($B13+1.96*$C13),"")</f>
        <v/>
      </c>
      <c r="H13" s="30">
        <f>"Each extra month of tenure multiplies the odds by "&amp;TEXT($E13,"0.000")&amp;" — so a 24-month agent runs at "&amp;TEXT($E13^24,"0.00")&amp;" times the odds of a first-week agent."</f>
        <v/>
      </c>
    </row>
    <row r="14" ht="72" customHeight="1">
      <c r="A14" s="27" t="inlineStr">
        <is>
          <t>Transfers before resolution</t>
        </is>
      </c>
      <c r="B14" s="32" t="n">
        <v>0.61</v>
      </c>
      <c r="C14" s="32" t="n">
        <v>0.12</v>
      </c>
      <c r="D14" s="33" t="inlineStr">
        <is>
          <t>&lt;0.0001</t>
        </is>
      </c>
      <c r="E14" s="34">
        <f>IFERROR(EXP($B14),"")</f>
        <v/>
      </c>
      <c r="F14" s="34">
        <f>IFERROR(EXP($B14-1.96*$C14),"")</f>
        <v/>
      </c>
      <c r="G14" s="34">
        <f>IFERROR(EXP($B14+1.96*$C14),"")</f>
        <v/>
      </c>
      <c r="H14" s="30">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23">
        <f>IF($B19="","",$B$10+$B$11*$B19+$B$12*$C19+$B$13*$D19+$B$14*$E19)</f>
        <v/>
      </c>
      <c r="H19" s="22">
        <f>IFERROR(1/(1+EXP(-$G19)),"")</f>
        <v/>
      </c>
      <c r="I19" s="20">
        <f>IF($H19="","",IF($H19&gt;=$B$46,1,0))</f>
        <v/>
      </c>
    </row>
    <row r="20">
      <c r="A20" s="13" t="inlineStr">
        <is>
          <t>BA-2202 · 17:20</t>
        </is>
      </c>
      <c r="B20" s="14" t="n">
        <v>1</v>
      </c>
      <c r="C20" s="14" t="n">
        <v>1</v>
      </c>
      <c r="D20" s="15" t="n">
        <v>24</v>
      </c>
      <c r="E20" s="14" t="n">
        <v>1</v>
      </c>
      <c r="F20" s="14" t="n">
        <v>0</v>
      </c>
      <c r="G20" s="23">
        <f>IF($B20="","",$B$10+$B$11*$B20+$B$12*$C20+$B$13*$D20+$B$14*$E20)</f>
        <v/>
      </c>
      <c r="H20" s="22">
        <f>IFERROR(1/(1+EXP(-$G20)),"")</f>
        <v/>
      </c>
      <c r="I20" s="20">
        <f>IF($H20="","",IF($H20&gt;=$B$46,1,0))</f>
        <v/>
      </c>
    </row>
    <row r="21">
      <c r="A21" s="13" t="inlineStr">
        <is>
          <t>BA-2203 · 08:15</t>
        </is>
      </c>
      <c r="B21" s="14" t="n">
        <v>0</v>
      </c>
      <c r="C21" s="14" t="n">
        <v>1</v>
      </c>
      <c r="D21" s="15" t="n">
        <v>39</v>
      </c>
      <c r="E21" s="14" t="n">
        <v>1</v>
      </c>
      <c r="F21" s="14" t="n">
        <v>0</v>
      </c>
      <c r="G21" s="23">
        <f>IF($B21="","",$B$10+$B$11*$B21+$B$12*$C21+$B$13*$D21+$B$14*$E21)</f>
        <v/>
      </c>
      <c r="H21" s="22">
        <f>IFERROR(1/(1+EXP(-$G21)),"")</f>
        <v/>
      </c>
      <c r="I21" s="20">
        <f>IF($H21="","",IF($H21&gt;=$B$46,1,0))</f>
        <v/>
      </c>
    </row>
    <row r="22">
      <c r="A22" s="13" t="inlineStr">
        <is>
          <t>BA-2204 · 17:45</t>
        </is>
      </c>
      <c r="B22" s="14" t="n">
        <v>1</v>
      </c>
      <c r="C22" s="14" t="n">
        <v>1</v>
      </c>
      <c r="D22" s="15" t="n">
        <v>39</v>
      </c>
      <c r="E22" s="14" t="n">
        <v>2</v>
      </c>
      <c r="F22" s="14" t="n">
        <v>0</v>
      </c>
      <c r="G22" s="23">
        <f>IF($B22="","",$B$10+$B$11*$B22+$B$12*$C22+$B$13*$D22+$B$14*$E22)</f>
        <v/>
      </c>
      <c r="H22" s="22">
        <f>IFERROR(1/(1+EXP(-$G22)),"")</f>
        <v/>
      </c>
      <c r="I22" s="20">
        <f>IF($H22="","",IF($H22&gt;=$B$46,1,0))</f>
        <v/>
      </c>
    </row>
    <row r="23">
      <c r="A23" s="13" t="inlineStr">
        <is>
          <t>BA-2205 · 18:10</t>
        </is>
      </c>
      <c r="B23" s="14" t="n">
        <v>1</v>
      </c>
      <c r="C23" s="14" t="n">
        <v>1</v>
      </c>
      <c r="D23" s="15" t="n">
        <v>33</v>
      </c>
      <c r="E23" s="14" t="n">
        <v>2</v>
      </c>
      <c r="F23" s="14" t="n">
        <v>1</v>
      </c>
      <c r="G23" s="23">
        <f>IF($B23="","",$B$10+$B$11*$B23+$B$12*$C23+$B$13*$D23+$B$14*$E23)</f>
        <v/>
      </c>
      <c r="H23" s="22">
        <f>IFERROR(1/(1+EXP(-$G23)),"")</f>
        <v/>
      </c>
      <c r="I23" s="20">
        <f>IF($H23="","",IF($H23&gt;=$B$46,1,0))</f>
        <v/>
      </c>
    </row>
    <row r="24">
      <c r="A24" s="13" t="inlineStr">
        <is>
          <t>BA-2206 · 09:05</t>
        </is>
      </c>
      <c r="B24" s="14" t="n">
        <v>0</v>
      </c>
      <c r="C24" s="14" t="n">
        <v>0</v>
      </c>
      <c r="D24" s="15" t="n">
        <v>11</v>
      </c>
      <c r="E24" s="14" t="n">
        <v>3</v>
      </c>
      <c r="F24" s="14" t="n">
        <v>1</v>
      </c>
      <c r="G24" s="23">
        <f>IF($B24="","",$B$10+$B$11*$B24+$B$12*$C24+$B$13*$D24+$B$14*$E24)</f>
        <v/>
      </c>
      <c r="H24" s="22">
        <f>IFERROR(1/(1+EXP(-$G24)),"")</f>
        <v/>
      </c>
      <c r="I24" s="20">
        <f>IF($H24="","",IF($H24&gt;=$B$46,1,0))</f>
        <v/>
      </c>
    </row>
    <row r="25">
      <c r="A25" s="13" t="inlineStr">
        <is>
          <t>BA-2207 · 09:40</t>
        </is>
      </c>
      <c r="B25" s="14" t="n">
        <v>0</v>
      </c>
      <c r="C25" s="14" t="n">
        <v>0</v>
      </c>
      <c r="D25" s="15" t="n">
        <v>46</v>
      </c>
      <c r="E25" s="14" t="n">
        <v>2</v>
      </c>
      <c r="F25" s="14" t="n">
        <v>0</v>
      </c>
      <c r="G25" s="23">
        <f>IF($B25="","",$B$10+$B$11*$B25+$B$12*$C25+$B$13*$D25+$B$14*$E25)</f>
        <v/>
      </c>
      <c r="H25" s="22">
        <f>IFERROR(1/(1+EXP(-$G25)),"")</f>
        <v/>
      </c>
      <c r="I25" s="20">
        <f>IF($H25="","",IF($H25&gt;=$B$46,1,0))</f>
        <v/>
      </c>
    </row>
    <row r="26">
      <c r="A26" s="13" t="inlineStr">
        <is>
          <t>BA-2208 · 18:35</t>
        </is>
      </c>
      <c r="B26" s="14" t="n">
        <v>1</v>
      </c>
      <c r="C26" s="14" t="n">
        <v>1</v>
      </c>
      <c r="D26" s="15" t="n">
        <v>4</v>
      </c>
      <c r="E26" s="14" t="n">
        <v>0</v>
      </c>
      <c r="F26" s="14" t="n">
        <v>0</v>
      </c>
      <c r="G26" s="23">
        <f>IF($B26="","",$B$10+$B$11*$B26+$B$12*$C26+$B$13*$D26+$B$14*$E26)</f>
        <v/>
      </c>
      <c r="H26" s="22">
        <f>IFERROR(1/(1+EXP(-$G26)),"")</f>
        <v/>
      </c>
      <c r="I26" s="20">
        <f>IF($H26="","",IF($H26&gt;=$B$46,1,0))</f>
        <v/>
      </c>
    </row>
    <row r="27">
      <c r="A27" s="13" t="inlineStr">
        <is>
          <t>BA-2209 · 10:20</t>
        </is>
      </c>
      <c r="B27" s="14" t="n">
        <v>0</v>
      </c>
      <c r="C27" s="14" t="n">
        <v>0</v>
      </c>
      <c r="D27" s="15" t="n">
        <v>4</v>
      </c>
      <c r="E27" s="14" t="n">
        <v>0</v>
      </c>
      <c r="F27" s="14" t="n">
        <v>0</v>
      </c>
      <c r="G27" s="23">
        <f>IF($B27="","",$B$10+$B$11*$B27+$B$12*$C27+$B$13*$D27+$B$14*$E27)</f>
        <v/>
      </c>
      <c r="H27" s="22">
        <f>IFERROR(1/(1+EXP(-$G27)),"")</f>
        <v/>
      </c>
      <c r="I27" s="20">
        <f>IF($H27="","",IF($H27&gt;=$B$46,1,0))</f>
        <v/>
      </c>
    </row>
    <row r="28">
      <c r="A28" s="13" t="inlineStr">
        <is>
          <t>BA-2210 · 11:05</t>
        </is>
      </c>
      <c r="B28" s="14" t="n">
        <v>0</v>
      </c>
      <c r="C28" s="14" t="n">
        <v>0</v>
      </c>
      <c r="D28" s="15" t="n">
        <v>6</v>
      </c>
      <c r="E28" s="14" t="n">
        <v>0</v>
      </c>
      <c r="F28" s="14" t="n">
        <v>0</v>
      </c>
      <c r="G28" s="23">
        <f>IF($B28="","",$B$10+$B$11*$B28+$B$12*$C28+$B$13*$D28+$B$14*$E28)</f>
        <v/>
      </c>
      <c r="H28" s="22">
        <f>IFERROR(1/(1+EXP(-$G28)),"")</f>
        <v/>
      </c>
      <c r="I28" s="20">
        <f>IF($H28="","",IF($H28&gt;=$B$46,1,0))</f>
        <v/>
      </c>
    </row>
    <row r="29">
      <c r="A29" s="13" t="inlineStr">
        <is>
          <t>BA-2211 · 11:35</t>
        </is>
      </c>
      <c r="B29" s="14" t="n">
        <v>0</v>
      </c>
      <c r="C29" s="14" t="n">
        <v>1</v>
      </c>
      <c r="D29" s="15" t="n">
        <v>28</v>
      </c>
      <c r="E29" s="14" t="n">
        <v>0</v>
      </c>
      <c r="F29" s="14" t="n">
        <v>0</v>
      </c>
      <c r="G29" s="23">
        <f>IF($B29="","",$B$10+$B$11*$B29+$B$12*$C29+$B$13*$D29+$B$14*$E29)</f>
        <v/>
      </c>
      <c r="H29" s="22">
        <f>IFERROR(1/(1+EXP(-$G29)),"")</f>
        <v/>
      </c>
      <c r="I29" s="20">
        <f>IF($H29="","",IF($H29&gt;=$B$46,1,0))</f>
        <v/>
      </c>
    </row>
    <row r="30">
      <c r="A30" s="13" t="inlineStr">
        <is>
          <t>BA-2212 · 19:00</t>
        </is>
      </c>
      <c r="B30" s="14" t="n">
        <v>1</v>
      </c>
      <c r="C30" s="14" t="n">
        <v>1</v>
      </c>
      <c r="D30" s="15" t="n">
        <v>3</v>
      </c>
      <c r="E30" s="14" t="n">
        <v>2</v>
      </c>
      <c r="F30" s="14" t="n">
        <v>1</v>
      </c>
      <c r="G30" s="23">
        <f>IF($B30="","",$B$10+$B$11*$B30+$B$12*$C30+$B$13*$D30+$B$14*$E30)</f>
        <v/>
      </c>
      <c r="H30" s="22">
        <f>IFERROR(1/(1+EXP(-$G30)),"")</f>
        <v/>
      </c>
      <c r="I30" s="20">
        <f>IF($H30="","",IF($H30&gt;=$B$46,1,0))</f>
        <v/>
      </c>
    </row>
    <row r="31">
      <c r="A31" s="13" t="inlineStr">
        <is>
          <t>BA-2213 · 12:10</t>
        </is>
      </c>
      <c r="B31" s="14" t="n">
        <v>0</v>
      </c>
      <c r="C31" s="14" t="n">
        <v>0</v>
      </c>
      <c r="D31" s="15" t="n">
        <v>4</v>
      </c>
      <c r="E31" s="14" t="n">
        <v>1</v>
      </c>
      <c r="F31" s="14" t="n">
        <v>0</v>
      </c>
      <c r="G31" s="23">
        <f>IF($B31="","",$B$10+$B$11*$B31+$B$12*$C31+$B$13*$D31+$B$14*$E31)</f>
        <v/>
      </c>
      <c r="H31" s="22">
        <f>IFERROR(1/(1+EXP(-$G31)),"")</f>
        <v/>
      </c>
      <c r="I31" s="20">
        <f>IF($H31="","",IF($H31&gt;=$B$46,1,0))</f>
        <v/>
      </c>
    </row>
    <row r="32">
      <c r="A32" s="13" t="inlineStr">
        <is>
          <t>BA-2214 · 19:25</t>
        </is>
      </c>
      <c r="B32" s="14" t="n">
        <v>1</v>
      </c>
      <c r="C32" s="14" t="n">
        <v>1</v>
      </c>
      <c r="D32" s="15" t="n">
        <v>39</v>
      </c>
      <c r="E32" s="14" t="n">
        <v>0</v>
      </c>
      <c r="F32" s="14" t="n">
        <v>0</v>
      </c>
      <c r="G32" s="23">
        <f>IF($B32="","",$B$10+$B$11*$B32+$B$12*$C32+$B$13*$D32+$B$14*$E32)</f>
        <v/>
      </c>
      <c r="H32" s="22">
        <f>IFERROR(1/(1+EXP(-$G32)),"")</f>
        <v/>
      </c>
      <c r="I32" s="20">
        <f>IF($H32="","",IF($H32&gt;=$B$46,1,0))</f>
        <v/>
      </c>
    </row>
    <row r="33">
      <c r="A33" s="13" t="inlineStr">
        <is>
          <t>BA-2215 · 13:25</t>
        </is>
      </c>
      <c r="B33" s="14" t="n">
        <v>0</v>
      </c>
      <c r="C33" s="14" t="n">
        <v>0</v>
      </c>
      <c r="D33" s="15" t="n">
        <v>18</v>
      </c>
      <c r="E33" s="14" t="n">
        <v>0</v>
      </c>
      <c r="F33" s="14" t="n">
        <v>0</v>
      </c>
      <c r="G33" s="23">
        <f>IF($B33="","",$B$10+$B$11*$B33+$B$12*$C33+$B$13*$D33+$B$14*$E33)</f>
        <v/>
      </c>
      <c r="H33" s="22">
        <f>IFERROR(1/(1+EXP(-$G33)),"")</f>
        <v/>
      </c>
      <c r="I33" s="20">
        <f>IF($H33="","",IF($H33&gt;=$B$46,1,0))</f>
        <v/>
      </c>
    </row>
    <row r="34">
      <c r="A34" s="13" t="inlineStr">
        <is>
          <t>BA-2216 · 19:50</t>
        </is>
      </c>
      <c r="B34" s="14" t="n">
        <v>1</v>
      </c>
      <c r="C34" s="14" t="n">
        <v>1</v>
      </c>
      <c r="D34" s="15" t="n">
        <v>18</v>
      </c>
      <c r="E34" s="14" t="n">
        <v>1</v>
      </c>
      <c r="F34" s="14" t="n">
        <v>0</v>
      </c>
      <c r="G34" s="23">
        <f>IF($B34="","",$B$10+$B$11*$B34+$B$12*$C34+$B$13*$D34+$B$14*$E34)</f>
        <v/>
      </c>
      <c r="H34" s="22">
        <f>IFERROR(1/(1+EXP(-$G34)),"")</f>
        <v/>
      </c>
      <c r="I34" s="20">
        <f>IF($H34="","",IF($H34&gt;=$B$46,1,0))</f>
        <v/>
      </c>
    </row>
    <row r="35">
      <c r="A35" s="13" t="inlineStr">
        <is>
          <t>BA-2217 · 20:15</t>
        </is>
      </c>
      <c r="B35" s="14" t="n">
        <v>1</v>
      </c>
      <c r="C35" s="14" t="n">
        <v>1</v>
      </c>
      <c r="D35" s="15" t="n">
        <v>11</v>
      </c>
      <c r="E35" s="14" t="n">
        <v>1</v>
      </c>
      <c r="F35" s="14" t="n">
        <v>0</v>
      </c>
      <c r="G35" s="23">
        <f>IF($B35="","",$B$10+$B$11*$B35+$B$12*$C35+$B$13*$D35+$B$14*$E35)</f>
        <v/>
      </c>
      <c r="H35" s="22">
        <f>IFERROR(1/(1+EXP(-$G35)),"")</f>
        <v/>
      </c>
      <c r="I35" s="20">
        <f>IF($H35="","",IF($H35&gt;=$B$46,1,0))</f>
        <v/>
      </c>
    </row>
    <row r="36">
      <c r="A36" s="13" t="inlineStr">
        <is>
          <t>BA-2218 · 14:00</t>
        </is>
      </c>
      <c r="B36" s="14" t="n">
        <v>0</v>
      </c>
      <c r="C36" s="14" t="n">
        <v>0</v>
      </c>
      <c r="D36" s="15" t="n">
        <v>2</v>
      </c>
      <c r="E36" s="14" t="n">
        <v>1</v>
      </c>
      <c r="F36" s="14" t="n">
        <v>0</v>
      </c>
      <c r="G36" s="23">
        <f>IF($B36="","",$B$10+$B$11*$B36+$B$12*$C36+$B$13*$D36+$B$14*$E36)</f>
        <v/>
      </c>
      <c r="H36" s="22">
        <f>IFERROR(1/(1+EXP(-$G36)),"")</f>
        <v/>
      </c>
      <c r="I36" s="20">
        <f>IF($H36="","",IF($H36&gt;=$B$46,1,0))</f>
        <v/>
      </c>
    </row>
    <row r="37">
      <c r="A37" s="13" t="inlineStr">
        <is>
          <t>BA-2219 · 20:40</t>
        </is>
      </c>
      <c r="B37" s="14" t="n">
        <v>1</v>
      </c>
      <c r="C37" s="14" t="n">
        <v>0</v>
      </c>
      <c r="D37" s="15" t="n">
        <v>5</v>
      </c>
      <c r="E37" s="14" t="n">
        <v>2</v>
      </c>
      <c r="F37" s="14" t="n">
        <v>0</v>
      </c>
      <c r="G37" s="23">
        <f>IF($B37="","",$B$10+$B$11*$B37+$B$12*$C37+$B$13*$D37+$B$14*$E37)</f>
        <v/>
      </c>
      <c r="H37" s="22">
        <f>IFERROR(1/(1+EXP(-$G37)),"")</f>
        <v/>
      </c>
      <c r="I37" s="20">
        <f>IF($H37="","",IF($H37&gt;=$B$46,1,0))</f>
        <v/>
      </c>
    </row>
    <row r="38">
      <c r="A38" s="13" t="inlineStr">
        <is>
          <t>BA-2220 · 14:35</t>
        </is>
      </c>
      <c r="B38" s="14" t="n">
        <v>0</v>
      </c>
      <c r="C38" s="14" t="n">
        <v>0</v>
      </c>
      <c r="D38" s="15" t="n">
        <v>4</v>
      </c>
      <c r="E38" s="14" t="n">
        <v>2</v>
      </c>
      <c r="F38" s="14" t="n">
        <v>0</v>
      </c>
      <c r="G38" s="23">
        <f>IF($B38="","",$B$10+$B$11*$B38+$B$12*$C38+$B$13*$D38+$B$14*$E38)</f>
        <v/>
      </c>
      <c r="H38" s="22">
        <f>IFERROR(1/(1+EXP(-$G38)),"")</f>
        <v/>
      </c>
      <c r="I38" s="20">
        <f>IF($H38="","",IF($H38&gt;=$B$46,1,0))</f>
        <v/>
      </c>
    </row>
    <row r="39">
      <c r="A39" s="13" t="inlineStr">
        <is>
          <t>BA-2221 · 15:10</t>
        </is>
      </c>
      <c r="B39" s="14" t="n">
        <v>0</v>
      </c>
      <c r="C39" s="14" t="n">
        <v>0</v>
      </c>
      <c r="D39" s="15" t="n">
        <v>11</v>
      </c>
      <c r="E39" s="14" t="n">
        <v>0</v>
      </c>
      <c r="F39" s="14" t="n">
        <v>0</v>
      </c>
      <c r="G39" s="23">
        <f>IF($B39="","",$B$10+$B$11*$B39+$B$12*$C39+$B$13*$D39+$B$14*$E39)</f>
        <v/>
      </c>
      <c r="H39" s="22">
        <f>IFERROR(1/(1+EXP(-$G39)),"")</f>
        <v/>
      </c>
      <c r="I39" s="20">
        <f>IF($H39="","",IF($H39&gt;=$B$46,1,0))</f>
        <v/>
      </c>
    </row>
    <row r="40">
      <c r="A40" s="13" t="inlineStr">
        <is>
          <t>BA-2222 · 15:50</t>
        </is>
      </c>
      <c r="B40" s="14" t="n">
        <v>0</v>
      </c>
      <c r="C40" s="14" t="n">
        <v>0</v>
      </c>
      <c r="D40" s="15" t="n">
        <v>53</v>
      </c>
      <c r="E40" s="14" t="n">
        <v>1</v>
      </c>
      <c r="F40" s="14" t="n">
        <v>0</v>
      </c>
      <c r="G40" s="23">
        <f>IF($B40="","",$B$10+$B$11*$B40+$B$12*$C40+$B$13*$D40+$B$14*$E40)</f>
        <v/>
      </c>
      <c r="H40" s="22">
        <f>IFERROR(1/(1+EXP(-$G40)),"")</f>
        <v/>
      </c>
      <c r="I40" s="20">
        <f>IF($H40="","",IF($H40&gt;=$B$46,1,0))</f>
        <v/>
      </c>
    </row>
    <row r="41">
      <c r="A41" s="13" t="inlineStr">
        <is>
          <t>BA-2223 · 16:20</t>
        </is>
      </c>
      <c r="B41" s="14" t="n">
        <v>0</v>
      </c>
      <c r="C41" s="14" t="n">
        <v>0</v>
      </c>
      <c r="D41" s="15" t="n">
        <v>21</v>
      </c>
      <c r="E41" s="14" t="n">
        <v>1</v>
      </c>
      <c r="F41" s="14" t="n">
        <v>0</v>
      </c>
      <c r="G41" s="23">
        <f>IF($B41="","",$B$10+$B$11*$B41+$B$12*$C41+$B$13*$D41+$B$14*$E41)</f>
        <v/>
      </c>
      <c r="H41" s="22">
        <f>IFERROR(1/(1+EXP(-$G41)),"")</f>
        <v/>
      </c>
      <c r="I41" s="20">
        <f>IF($H41="","",IF($H41&gt;=$B$46,1,0))</f>
        <v/>
      </c>
    </row>
    <row r="42">
      <c r="A42" s="13" t="inlineStr">
        <is>
          <t>BA-2224 · 21:10</t>
        </is>
      </c>
      <c r="B42" s="14" t="n">
        <v>1</v>
      </c>
      <c r="C42" s="14" t="n">
        <v>1</v>
      </c>
      <c r="D42" s="15" t="n">
        <v>5</v>
      </c>
      <c r="E42" s="14" t="n">
        <v>1</v>
      </c>
      <c r="F42" s="14" t="n">
        <v>1</v>
      </c>
      <c r="G42" s="23">
        <f>IF($B42="","",$B$10+$B$11*$B42+$B$12*$C42+$B$13*$D42+$B$14*$E42)</f>
        <v/>
      </c>
      <c r="H42" s="22">
        <f>IFERROR(1/(1+EXP(-$G42)),"")</f>
        <v/>
      </c>
      <c r="I42" s="20">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35"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36"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16">
        <f>SUMPRODUCT(($I$19:$I$42=1)*($F$19:$F$42=1))</f>
        <v/>
      </c>
      <c r="C51" s="16">
        <f>SUMPRODUCT(($I$19:$I$42=1)*($F$19:$F$42=0))</f>
        <v/>
      </c>
      <c r="D51" s="16">
        <f>SUM($B51:$C51)</f>
        <v/>
      </c>
    </row>
    <row r="52">
      <c r="A52" s="8" t="inlineStr">
        <is>
          <t>Not flagged</t>
        </is>
      </c>
      <c r="B52" s="16">
        <f>SUMPRODUCT(($I$19:$I$42=0)*($F$19:$F$42=1))</f>
        <v/>
      </c>
      <c r="C52" s="16">
        <f>SUMPRODUCT(($I$19:$I$42=0)*($F$19:$F$42=0))</f>
        <v/>
      </c>
      <c r="D52" s="16">
        <f>SUM($B52:$C52)</f>
        <v/>
      </c>
    </row>
    <row r="53">
      <c r="A53" s="8" t="inlineStr">
        <is>
          <t>Total</t>
        </is>
      </c>
      <c r="B53" s="16">
        <f>SUM($B$51:$B$52)</f>
        <v/>
      </c>
      <c r="C53" s="16">
        <f>SUM($C$51:$C$52)</f>
        <v/>
      </c>
      <c r="D53" s="16">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2">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2">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2">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2">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2">
        <f>IFERROR(($B$51+$B$52)/($B$51+$C$51+$B$52+$C$52),"")</f>
        <v/>
      </c>
      <c r="C62" s="10" t="inlineStr">
        <is>
          <t>What you would score by always guessing 'no'. Accuracy has to beat this by a wide margin before it means anything at all.</t>
        </is>
      </c>
    </row>
    <row r="63" ht="30" customHeight="1">
      <c r="A63" s="8" t="inlineStr">
        <is>
          <t>Verdict at this threshold</t>
        </is>
      </c>
      <c r="B63" s="17">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