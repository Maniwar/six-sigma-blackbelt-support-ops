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8">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38">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7" borderId="1" pivotButton="0" quotePrefix="0" xfId="0"/>
    <xf numFmtId="0" fontId="5" fillId="7" borderId="1" pivotButton="0" quotePrefix="0" xfId="0"/>
    <xf numFmtId="2" fontId="0" fillId="0" borderId="0" pivotButton="0" quotePrefix="0" xfId="0"/>
    <xf numFmtId="3" fontId="0" fillId="0" borderId="0" pivotButton="0" quotePrefix="0" xfId="0"/>
    <xf numFmtId="0" fontId="7" fillId="0" borderId="0" applyAlignment="1" pivotButton="0" quotePrefix="0" xfId="0">
      <alignment vertical="top" wrapText="1"/>
    </xf>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3" fontId="0" fillId="4" borderId="1" pivotButton="0" quotePrefix="0" xfId="0"/>
    <xf numFmtId="0" fontId="0" fillId="0" borderId="0" applyAlignment="1" pivotButton="0" quotePrefix="0" xfId="0">
      <alignment vertical="center" wrapText="1"/>
    </xf>
    <xf numFmtId="2" fontId="5" fillId="7" borderId="1" applyAlignment="1" pivotButton="0" quotePrefix="0" xfId="0">
      <alignment vertical="center"/>
    </xf>
    <xf numFmtId="166" fontId="5" fillId="7" borderId="1" applyAlignment="1" pivotButton="0" quotePrefix="0" xfId="0">
      <alignment vertical="center"/>
    </xf>
    <xf numFmtId="0" fontId="5" fillId="7" borderId="1" applyAlignment="1" pivotButton="0" quotePrefix="0" xfId="0">
      <alignment vertical="top" wrapText="1"/>
    </xf>
    <xf numFmtId="3" fontId="5" fillId="7" borderId="1" applyAlignment="1" pivotButton="0" quotePrefix="0" xfId="0">
      <alignment vertical="center"/>
    </xf>
    <xf numFmtId="165" fontId="0" fillId="6" borderId="1" applyAlignment="1" pivotButton="0" quotePrefix="0" xfId="0">
      <alignment vertical="center"/>
    </xf>
    <xf numFmtId="0" fontId="0" fillId="6" borderId="1" applyAlignment="1" pivotButton="0" quotePrefix="0" xfId="0">
      <alignment vertical="center"/>
    </xf>
    <xf numFmtId="165" fontId="5" fillId="7" borderId="1" applyAlignment="1" pivotButton="0" quotePrefix="0" xfId="0">
      <alignment vertical="center"/>
    </xf>
    <xf numFmtId="9" fontId="0" fillId="4" borderId="1" pivotButton="0" quotePrefix="0" xfId="0"/>
    <xf numFmtId="2"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6"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7"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26</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row r="25"/>
    <row r="26"/>
    <row r="27"/>
    <row r="28"/>
    <row r="29"/>
    <row r="30"/>
    <row r="31"/>
    <row r="32"/>
    <row r="33"/>
    <row r="34"/>
    <row r="35"/>
    <row r="36"/>
    <row r="37"/>
    <row r="38"/>
    <row r="39"/>
    <row r="40"/>
  </sheetData>
  <mergeCells count="1">
    <mergeCell ref="B9"/>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R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26" customHeight="1">
      <c r="A1" s="3" t="inlineStr">
        <is>
          <t>Simple linear regression — one driver, one outcome</t>
        </is>
      </c>
      <c r="B1" s="4" t="n"/>
      <c r="C1" s="4" t="n"/>
      <c r="D1" s="4" t="n"/>
      <c r="E1" s="4" t="n"/>
      <c r="F1" s="4" t="n"/>
    </row>
    <row r="2">
      <c r="A2" s="5" t="inlineStr">
        <is>
          <t>Fit a straight line through two columns, then find out how much of the outcome that one driver actually explains. The green rows are a worked example — replace them with your own pairs. Yellow cells above are yours to set; everything blue is a formula you can point at.</t>
        </is>
      </c>
    </row>
    <row r="3"/>
    <row r="4">
      <c r="A4" s="6" t="inlineStr">
        <is>
          <t>THE QUESTION — what you are modelling, and where the rows came from</t>
        </is>
      </c>
      <c r="B4" s="7" t="n"/>
      <c r="C4" s="7" t="n"/>
      <c r="D4" s="7" t="n"/>
      <c r="E4" s="7" t="n"/>
      <c r="F4" s="7" t="n"/>
    </row>
    <row r="5" ht="30" customHeight="1">
      <c r="A5" s="8" t="inlineStr">
        <is>
          <t>Outcome (y) — the thing you want to move</t>
        </is>
      </c>
      <c r="B5" s="9" t="inlineStr">
        <is>
          <t>Handle time in seconds</t>
        </is>
      </c>
      <c r="C5" s="10" t="inlineStr">
        <is>
          <t>Name the measurement, not the ambition. 'Handle time from CRM open to CRM close, in seconds' is a column you can pull; 'efficiency' is not.</t>
        </is>
      </c>
    </row>
    <row r="6" ht="30" customHeight="1">
      <c r="A6" s="8" t="inlineStr">
        <is>
          <t>Driver (x) — the one thing you are testing</t>
        </is>
      </c>
      <c r="B6" s="9" t="inlineStr">
        <is>
          <t>Transfers before resolution</t>
        </is>
      </c>
      <c r="C6" s="10" t="inlineStr">
        <is>
          <t>One column, and one you could actually change. Start with the driver the process owner already believes in; you are testing their belief, not replacing it.</t>
        </is>
      </c>
    </row>
    <row r="7" ht="30" customHeight="1">
      <c r="A7" s="8" t="inlineStr">
        <is>
          <t>Where the rows come from</t>
        </is>
      </c>
      <c r="B7" s="9" t="inlineStr">
        <is>
          <t>24 of 966 March contacts</t>
        </is>
      </c>
      <c r="C7" s="10" t="inlineStr">
        <is>
          <t>Say the population and the sampling method. A convenience sample of the contacts you happened to remember will produce a slope, and the slope will be of your memory.</t>
        </is>
      </c>
    </row>
    <row r="8"/>
    <row r="9" ht="60" customHeight="1">
      <c r="A9" s="11" t="inlineStr">
        <is>
          <t>THE DATA — one row per contact. First the two columns you measured: x, the driver you are testing, then y, the outcome. Then three the sheet works out for you. Contact ref is the case number and the time of day it was raised  ·  Key:
• Fitted y = what the model predicts for that row, before you compare it with what actually happened
• Residual = what the model missed on that row: the value that actually happened minus the fitted one</t>
        </is>
      </c>
      <c r="B9" s="7" t="n"/>
      <c r="C9" s="7" t="n"/>
      <c r="D9" s="7" t="n"/>
      <c r="E9" s="7" t="n"/>
      <c r="F9" s="7" t="n"/>
    </row>
    <row r="10" ht="46" customHeight="1">
      <c r="A10" s="12" t="inlineStr">
        <is>
          <t>Contact ref · time raised</t>
        </is>
      </c>
      <c r="B10" s="12" t="inlineStr">
        <is>
          <t>x — transfers before resolution</t>
        </is>
      </c>
      <c r="C10" s="12" t="inlineStr">
        <is>
          <t>y — handle time, seconds (measured)</t>
        </is>
      </c>
      <c r="D10" s="12" t="inlineStr">
        <is>
          <t>Fitted y — seconds the line predicts for that x</t>
        </is>
      </c>
      <c r="E10" s="12" t="inlineStr">
        <is>
          <t>Residual — seconds the line missed by (y − fitted)</t>
        </is>
      </c>
      <c r="F10" s="12" t="inlineStr">
        <is>
          <t>Unusual? residual larger than 1.5 standard errors</t>
        </is>
      </c>
      <c r="G10" s="5" t="inlineStr">
        <is>
          <t>fitted line endpoints — the chart reads these</t>
        </is>
      </c>
    </row>
    <row r="11">
      <c r="A11" s="13" t="inlineStr">
        <is>
          <t>BA-2201 · 17:05</t>
        </is>
      </c>
      <c r="B11" s="14" t="n">
        <v>0</v>
      </c>
      <c r="C11" s="15" t="n">
        <v>280</v>
      </c>
      <c r="D11" s="16">
        <f>IF($C11="","",$B$41+$B$40*$B11)</f>
        <v/>
      </c>
      <c r="E11" s="16">
        <f>IF($D11="","",$C11-$D11)</f>
        <v/>
      </c>
      <c r="F11" s="17">
        <f>IF($E11="","",IF(ABS($E11)&gt;1.5*$B$44,"LOOK AT THIS ONE","on the line"))</f>
        <v/>
      </c>
      <c r="G11" s="18">
        <f>IFERROR(MIN($B$11:$B$34),0)</f>
        <v/>
      </c>
      <c r="H11" s="19">
        <f>IFERROR($B$41+$B$40*$G$11,"")</f>
        <v/>
      </c>
    </row>
    <row r="12">
      <c r="A12" s="13" t="inlineStr">
        <is>
          <t>BA-2202 · 17:20</t>
        </is>
      </c>
      <c r="B12" s="14" t="n">
        <v>1</v>
      </c>
      <c r="C12" s="15" t="n">
        <v>506</v>
      </c>
      <c r="D12" s="16">
        <f>IF($C12="","",$B$41+$B$40*$B12)</f>
        <v/>
      </c>
      <c r="E12" s="16">
        <f>IF($D12="","",$C12-$D12)</f>
        <v/>
      </c>
      <c r="F12" s="17">
        <f>IF($E12="","",IF(ABS($E12)&gt;1.5*$B$44,"LOOK AT THIS ONE","on the line"))</f>
        <v/>
      </c>
      <c r="G12" s="18">
        <f>IFERROR(MAX($B$11:$B$34),0)</f>
        <v/>
      </c>
      <c r="H12" s="19">
        <f>IFERROR($B$41+$B$40*$G$12,"")</f>
        <v/>
      </c>
    </row>
    <row r="13">
      <c r="A13" s="13" t="inlineStr">
        <is>
          <t>BA-2203 · 08:15</t>
        </is>
      </c>
      <c r="B13" s="14" t="n">
        <v>1</v>
      </c>
      <c r="C13" s="15" t="n">
        <v>344</v>
      </c>
      <c r="D13" s="16">
        <f>IF($C13="","",$B$41+$B$40*$B13)</f>
        <v/>
      </c>
      <c r="E13" s="16">
        <f>IF($D13="","",$C13-$D13)</f>
        <v/>
      </c>
      <c r="F13" s="17">
        <f>IF($E13="","",IF(ABS($E13)&gt;1.5*$B$44,"LOOK AT THIS ONE","on the line"))</f>
        <v/>
      </c>
    </row>
    <row r="14">
      <c r="A14" s="13" t="inlineStr">
        <is>
          <t>BA-2204 · 17:45</t>
        </is>
      </c>
      <c r="B14" s="14" t="n">
        <v>2</v>
      </c>
      <c r="C14" s="15" t="n">
        <v>479</v>
      </c>
      <c r="D14" s="16">
        <f>IF($C14="","",$B$41+$B$40*$B14)</f>
        <v/>
      </c>
      <c r="E14" s="16">
        <f>IF($D14="","",$C14-$D14)</f>
        <v/>
      </c>
      <c r="F14" s="17">
        <f>IF($E14="","",IF(ABS($E14)&gt;1.5*$B$44,"LOOK AT THIS ONE","on the line"))</f>
        <v/>
      </c>
    </row>
    <row r="15">
      <c r="A15" s="13" t="inlineStr">
        <is>
          <t>BA-2205 · 18:10</t>
        </is>
      </c>
      <c r="B15" s="14" t="n">
        <v>2</v>
      </c>
      <c r="C15" s="15" t="n">
        <v>422</v>
      </c>
      <c r="D15" s="16">
        <f>IF($C15="","",$B$41+$B$40*$B15)</f>
        <v/>
      </c>
      <c r="E15" s="16">
        <f>IF($D15="","",$C15-$D15)</f>
        <v/>
      </c>
      <c r="F15" s="17">
        <f>IF($E15="","",IF(ABS($E15)&gt;1.5*$B$44,"LOOK AT THIS ONE","on the line"))</f>
        <v/>
      </c>
    </row>
    <row r="16">
      <c r="A16" s="13" t="inlineStr">
        <is>
          <t>BA-2206 · 09:05</t>
        </is>
      </c>
      <c r="B16" s="14" t="n">
        <v>3</v>
      </c>
      <c r="C16" s="15" t="n">
        <v>452</v>
      </c>
      <c r="D16" s="16">
        <f>IF($C16="","",$B$41+$B$40*$B16)</f>
        <v/>
      </c>
      <c r="E16" s="16">
        <f>IF($D16="","",$C16-$D16)</f>
        <v/>
      </c>
      <c r="F16" s="17">
        <f>IF($E16="","",IF(ABS($E16)&gt;1.5*$B$44,"LOOK AT THIS ONE","on the line"))</f>
        <v/>
      </c>
    </row>
    <row r="17">
      <c r="A17" s="13" t="inlineStr">
        <is>
          <t>BA-2207 · 09:40</t>
        </is>
      </c>
      <c r="B17" s="14" t="n">
        <v>2</v>
      </c>
      <c r="C17" s="15" t="n">
        <v>374</v>
      </c>
      <c r="D17" s="16">
        <f>IF($C17="","",$B$41+$B$40*$B17)</f>
        <v/>
      </c>
      <c r="E17" s="16">
        <f>IF($D17="","",$C17-$D17)</f>
        <v/>
      </c>
      <c r="F17" s="17">
        <f>IF($E17="","",IF(ABS($E17)&gt;1.5*$B$44,"LOOK AT THIS ONE","on the line"))</f>
        <v/>
      </c>
    </row>
    <row r="18">
      <c r="A18" s="13" t="inlineStr">
        <is>
          <t>BA-2208 · 18:35</t>
        </is>
      </c>
      <c r="B18" s="14" t="n">
        <v>0</v>
      </c>
      <c r="C18" s="15" t="n">
        <v>451</v>
      </c>
      <c r="D18" s="16">
        <f>IF($C18="","",$B$41+$B$40*$B18)</f>
        <v/>
      </c>
      <c r="E18" s="16">
        <f>IF($D18="","",$C18-$D18)</f>
        <v/>
      </c>
      <c r="F18" s="17">
        <f>IF($E18="","",IF(ABS($E18)&gt;1.5*$B$44,"LOOK AT THIS ONE","on the line"))</f>
        <v/>
      </c>
    </row>
    <row r="19">
      <c r="A19" s="13" t="inlineStr">
        <is>
          <t>BA-2209 · 10:20</t>
        </is>
      </c>
      <c r="B19" s="14" t="n">
        <v>0</v>
      </c>
      <c r="C19" s="15" t="n">
        <v>360</v>
      </c>
      <c r="D19" s="16">
        <f>IF($C19="","",$B$41+$B$40*$B19)</f>
        <v/>
      </c>
      <c r="E19" s="16">
        <f>IF($D19="","",$C19-$D19)</f>
        <v/>
      </c>
      <c r="F19" s="17">
        <f>IF($E19="","",IF(ABS($E19)&gt;1.5*$B$44,"LOOK AT THIS ONE","on the line"))</f>
        <v/>
      </c>
    </row>
    <row r="20">
      <c r="A20" s="13" t="inlineStr">
        <is>
          <t>BA-2210 · 11:05</t>
        </is>
      </c>
      <c r="B20" s="14" t="n">
        <v>0</v>
      </c>
      <c r="C20" s="15" t="n">
        <v>260</v>
      </c>
      <c r="D20" s="16">
        <f>IF($C20="","",$B$41+$B$40*$B20)</f>
        <v/>
      </c>
      <c r="E20" s="16">
        <f>IF($D20="","",$C20-$D20)</f>
        <v/>
      </c>
      <c r="F20" s="17">
        <f>IF($E20="","",IF(ABS($E20)&gt;1.5*$B$44,"LOOK AT THIS ONE","on the line"))</f>
        <v/>
      </c>
    </row>
    <row r="21">
      <c r="A21" s="13" t="inlineStr">
        <is>
          <t>BA-2211 · 11:35</t>
        </is>
      </c>
      <c r="B21" s="14" t="n">
        <v>0</v>
      </c>
      <c r="C21" s="15" t="n">
        <v>415</v>
      </c>
      <c r="D21" s="16">
        <f>IF($C21="","",$B$41+$B$40*$B21)</f>
        <v/>
      </c>
      <c r="E21" s="16">
        <f>IF($D21="","",$C21-$D21)</f>
        <v/>
      </c>
      <c r="F21" s="17">
        <f>IF($E21="","",IF(ABS($E21)&gt;1.5*$B$44,"LOOK AT THIS ONE","on the line"))</f>
        <v/>
      </c>
    </row>
    <row r="22">
      <c r="A22" s="13" t="inlineStr">
        <is>
          <t>BA-2212 · 19:00</t>
        </is>
      </c>
      <c r="B22" s="14" t="n">
        <v>2</v>
      </c>
      <c r="C22" s="15" t="n">
        <v>555</v>
      </c>
      <c r="D22" s="16">
        <f>IF($C22="","",$B$41+$B$40*$B22)</f>
        <v/>
      </c>
      <c r="E22" s="16">
        <f>IF($D22="","",$C22-$D22)</f>
        <v/>
      </c>
      <c r="F22" s="17">
        <f>IF($E22="","",IF(ABS($E22)&gt;1.5*$B$44,"LOOK AT THIS ONE","on the line"))</f>
        <v/>
      </c>
    </row>
    <row r="23">
      <c r="A23" s="13" t="inlineStr">
        <is>
          <t>BA-2213 · 12:10</t>
        </is>
      </c>
      <c r="B23" s="14" t="n">
        <v>1</v>
      </c>
      <c r="C23" s="15" t="n">
        <v>393</v>
      </c>
      <c r="D23" s="16">
        <f>IF($C23="","",$B$41+$B$40*$B23)</f>
        <v/>
      </c>
      <c r="E23" s="16">
        <f>IF($D23="","",$C23-$D23)</f>
        <v/>
      </c>
      <c r="F23" s="17">
        <f>IF($E23="","",IF(ABS($E23)&gt;1.5*$B$44,"LOOK AT THIS ONE","on the line"))</f>
        <v/>
      </c>
    </row>
    <row r="24">
      <c r="A24" s="13" t="inlineStr">
        <is>
          <t>BA-2214 · 19:25</t>
        </is>
      </c>
      <c r="B24" s="14" t="n">
        <v>0</v>
      </c>
      <c r="C24" s="15" t="n">
        <v>454</v>
      </c>
      <c r="D24" s="16">
        <f>IF($C24="","",$B$41+$B$40*$B24)</f>
        <v/>
      </c>
      <c r="E24" s="16">
        <f>IF($D24="","",$C24-$D24)</f>
        <v/>
      </c>
      <c r="F24" s="17">
        <f>IF($E24="","",IF(ABS($E24)&gt;1.5*$B$44,"LOOK AT THIS ONE","on the line"))</f>
        <v/>
      </c>
    </row>
    <row r="25">
      <c r="A25" s="13" t="inlineStr">
        <is>
          <t>BA-2215 · 13:25</t>
        </is>
      </c>
      <c r="B25" s="14" t="n">
        <v>0</v>
      </c>
      <c r="C25" s="15" t="n">
        <v>257</v>
      </c>
      <c r="D25" s="16">
        <f>IF($C25="","",$B$41+$B$40*$B25)</f>
        <v/>
      </c>
      <c r="E25" s="16">
        <f>IF($D25="","",$C25-$D25)</f>
        <v/>
      </c>
      <c r="F25" s="17">
        <f>IF($E25="","",IF(ABS($E25)&gt;1.5*$B$44,"LOOK AT THIS ONE","on the line"))</f>
        <v/>
      </c>
    </row>
    <row r="26" ht="66" customHeight="1">
      <c r="A26" s="13" t="inlineStr">
        <is>
          <t>BA-2216 · 19:50</t>
        </is>
      </c>
      <c r="B26" s="14" t="n">
        <v>1</v>
      </c>
      <c r="C26" s="15" t="n">
        <v>544</v>
      </c>
      <c r="D26" s="16">
        <f>IF($C26="","",$B$41+$B$40*$B26)</f>
        <v/>
      </c>
      <c r="E26" s="16">
        <f>IF($D26="","",$C26-$D26)</f>
        <v/>
      </c>
      <c r="F26" s="17">
        <f>IF($E26="","",IF(ABS($E26)&gt;1.5*$B$44,"LOOK AT THIS ONE","on the line"))</f>
        <v/>
      </c>
      <c r="J26" s="20" t="inlineStr">
        <is>
          <t>HOW TO READ IT.  The line is what the model claims; the vertical distance from each point to it is what it got wrong. One driver explains 26.4% of the spread here, so three quarters of it is everything not on this chart. Read the residual plot on the next tab before you quote the slope anywhere.
SO:  Do not price a benefit off this slope. One driver explains 26.4% of the spread, so move to the multiple-regression tab and find the rest before anyone quotes seconds per transfer to Finance.</t>
        </is>
      </c>
    </row>
    <row r="27">
      <c r="A27" s="13" t="inlineStr">
        <is>
          <t>BA-2217 · 20:15</t>
        </is>
      </c>
      <c r="B27" s="14" t="n">
        <v>1</v>
      </c>
      <c r="C27" s="15" t="n">
        <v>482</v>
      </c>
      <c r="D27" s="16">
        <f>IF($C27="","",$B$41+$B$40*$B27)</f>
        <v/>
      </c>
      <c r="E27" s="16">
        <f>IF($D27="","",$C27-$D27)</f>
        <v/>
      </c>
      <c r="F27" s="17">
        <f>IF($E27="","",IF(ABS($E27)&gt;1.5*$B$44,"LOOK AT THIS ONE","on the line"))</f>
        <v/>
      </c>
    </row>
    <row r="28">
      <c r="A28" s="13" t="inlineStr">
        <is>
          <t>BA-2218 · 14:00</t>
        </is>
      </c>
      <c r="B28" s="14" t="n">
        <v>1</v>
      </c>
      <c r="C28" s="15" t="n">
        <v>403</v>
      </c>
      <c r="D28" s="16">
        <f>IF($C28="","",$B$41+$B$40*$B28)</f>
        <v/>
      </c>
      <c r="E28" s="16">
        <f>IF($D28="","",$C28-$D28)</f>
        <v/>
      </c>
      <c r="F28" s="17">
        <f>IF($E28="","",IF(ABS($E28)&gt;1.5*$B$44,"LOOK AT THIS ONE","on the line"))</f>
        <v/>
      </c>
    </row>
    <row r="29">
      <c r="A29" s="13" t="inlineStr">
        <is>
          <t>BA-2219 · 20:40</t>
        </is>
      </c>
      <c r="B29" s="14" t="n">
        <v>2</v>
      </c>
      <c r="C29" s="15" t="n">
        <v>433</v>
      </c>
      <c r="D29" s="16">
        <f>IF($C29="","",$B$41+$B$40*$B29)</f>
        <v/>
      </c>
      <c r="E29" s="16">
        <f>IF($D29="","",$C29-$D29)</f>
        <v/>
      </c>
      <c r="F29" s="17">
        <f>IF($E29="","",IF(ABS($E29)&gt;1.5*$B$44,"LOOK AT THIS ONE","on the line"))</f>
        <v/>
      </c>
    </row>
    <row r="30">
      <c r="A30" s="13" t="inlineStr">
        <is>
          <t>BA-2220 · 14:35</t>
        </is>
      </c>
      <c r="B30" s="14" t="n">
        <v>2</v>
      </c>
      <c r="C30" s="15" t="n">
        <v>483</v>
      </c>
      <c r="D30" s="16">
        <f>IF($C30="","",$B$41+$B$40*$B30)</f>
        <v/>
      </c>
      <c r="E30" s="16">
        <f>IF($D30="","",$C30-$D30)</f>
        <v/>
      </c>
      <c r="F30" s="17">
        <f>IF($E30="","",IF(ABS($E30)&gt;1.5*$B$44,"LOOK AT THIS ONE","on the line"))</f>
        <v/>
      </c>
    </row>
    <row r="31">
      <c r="A31" s="13" t="inlineStr">
        <is>
          <t>BA-2221 · 15:10</t>
        </is>
      </c>
      <c r="B31" s="14" t="n">
        <v>0</v>
      </c>
      <c r="C31" s="15" t="n">
        <v>261</v>
      </c>
      <c r="D31" s="16">
        <f>IF($C31="","",$B$41+$B$40*$B31)</f>
        <v/>
      </c>
      <c r="E31" s="16">
        <f>IF($D31="","",$C31-$D31)</f>
        <v/>
      </c>
      <c r="F31" s="17">
        <f>IF($E31="","",IF(ABS($E31)&gt;1.5*$B$44,"LOOK AT THIS ONE","on the line"))</f>
        <v/>
      </c>
    </row>
    <row r="32">
      <c r="A32" s="13" t="inlineStr">
        <is>
          <t>BA-2222 · 15:50</t>
        </is>
      </c>
      <c r="B32" s="14" t="n">
        <v>1</v>
      </c>
      <c r="C32" s="15" t="n">
        <v>424</v>
      </c>
      <c r="D32" s="16">
        <f>IF($C32="","",$B$41+$B$40*$B32)</f>
        <v/>
      </c>
      <c r="E32" s="16">
        <f>IF($D32="","",$C32-$D32)</f>
        <v/>
      </c>
      <c r="F32" s="17">
        <f>IF($E32="","",IF(ABS($E32)&gt;1.5*$B$44,"LOOK AT THIS ONE","on the line"))</f>
        <v/>
      </c>
    </row>
    <row r="33">
      <c r="A33" s="13" t="inlineStr">
        <is>
          <t>BA-2223 · 16:20</t>
        </is>
      </c>
      <c r="B33" s="14" t="n">
        <v>1</v>
      </c>
      <c r="C33" s="15" t="n">
        <v>359</v>
      </c>
      <c r="D33" s="16">
        <f>IF($C33="","",$B$41+$B$40*$B33)</f>
        <v/>
      </c>
      <c r="E33" s="16">
        <f>IF($D33="","",$C33-$D33)</f>
        <v/>
      </c>
      <c r="F33" s="17">
        <f>IF($E33="","",IF(ABS($E33)&gt;1.5*$B$44,"LOOK AT THIS ONE","on the line"))</f>
        <v/>
      </c>
    </row>
    <row r="34">
      <c r="A34" s="13" t="inlineStr">
        <is>
          <t>BA-2224 · 21:10</t>
        </is>
      </c>
      <c r="B34" s="14" t="n">
        <v>1</v>
      </c>
      <c r="C34" s="15" t="n">
        <v>505</v>
      </c>
      <c r="D34" s="16">
        <f>IF($C34="","",$B$41+$B$40*$B34)</f>
        <v/>
      </c>
      <c r="E34" s="16">
        <f>IF($D34="","",$C34-$D34)</f>
        <v/>
      </c>
      <c r="F34" s="17">
        <f>IF($E34="","",IF(ABS($E34)&gt;1.5*$B$44,"LOOK AT THIS ONE","on the line"))</f>
        <v/>
      </c>
    </row>
    <row r="35" ht="60" customHeight="1">
      <c r="A35" s="10"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6" t="inlineStr">
        <is>
          <t>STEP 1 — the line, and whether it is real</t>
        </is>
      </c>
      <c r="B37" s="7" t="n"/>
      <c r="C37" s="7" t="n"/>
      <c r="D37" s="7" t="n"/>
      <c r="E37" s="7" t="n"/>
      <c r="F37" s="7" t="n"/>
    </row>
    <row r="38" ht="30" customHeight="1">
      <c r="A38" s="12" t="inlineStr">
        <is>
          <t>Statistic</t>
        </is>
      </c>
      <c r="B38" s="12" t="inlineStr">
        <is>
          <t>Value</t>
        </is>
      </c>
      <c r="C38" s="12" t="inlineStr">
        <is>
          <t>What it tells you</t>
        </is>
      </c>
      <c r="D38" s="12" t="inlineStr"/>
      <c r="E38" s="12" t="inlineStr"/>
      <c r="F38" s="12" t="inlineStr"/>
    </row>
    <row r="39" ht="30" customHeight="1">
      <c r="A39" s="8" t="inlineStr">
        <is>
          <t>Contacts in the model (n)</t>
        </is>
      </c>
      <c r="B39" s="21">
        <f>COUNT($C$11:$C$34)</f>
        <v/>
      </c>
      <c r="C39" s="10" t="inlineStr">
        <is>
          <t>COUNT(y). Thirty is where a regression starts to be worth quoting; below about fifteen you are describing this sample and nothing beyond it.</t>
        </is>
      </c>
    </row>
    <row r="40" ht="30" customHeight="1">
      <c r="A40" s="8" t="inlineStr">
        <is>
          <t>Slope — seconds per extra transfer</t>
        </is>
      </c>
      <c r="B40" s="22">
        <f>SLOPE($C$11:$C$34,$B$11:$B$34)</f>
        <v/>
      </c>
      <c r="C40" s="10" t="inlineStr">
        <is>
          <t>SLOPE(y, x). How much y moves for one more transfer. This is the number that goes in a business case, not R².</t>
        </is>
      </c>
    </row>
    <row r="41" ht="30" customHeight="1">
      <c r="A41" s="8" t="inlineStr">
        <is>
          <t>Intercept — seconds at zero transfers</t>
        </is>
      </c>
      <c r="B41" s="22">
        <f>INTERCEPT($C$11:$C$34,$B$11:$B$34)</f>
        <v/>
      </c>
      <c r="C41" s="10" t="inlineStr">
        <is>
          <t>INTERCEPT(y, x). Only meaningful if zero is inside the range you actually observed. Here it is: plenty of these contacts were never transferred.</t>
        </is>
      </c>
    </row>
    <row r="42" ht="30" customHeight="1">
      <c r="A42" s="8" t="inlineStr">
        <is>
          <t>R² — share of the spread the line explains</t>
        </is>
      </c>
      <c r="B42" s="23">
        <f>RSQ($C$11:$C$34,$B$11:$B$34)</f>
        <v/>
      </c>
      <c r="C42" s="10" t="inlineStr">
        <is>
          <t>RSQ(y, x). The share of the variation in y this one driver accounts for. Everything else is the drivers you did not put in the model.</t>
        </is>
      </c>
    </row>
    <row r="43" ht="30" customHeight="1">
      <c r="A43" s="8" t="inlineStr">
        <is>
          <t>Correlation r</t>
        </is>
      </c>
      <c r="B43" s="24">
        <f>CORREL($C$11:$C$34,$B$11:$B$34)</f>
        <v/>
      </c>
      <c r="C43" s="10" t="inlineStr">
        <is>
          <t>CORREL(y, x). The square root of R², carrying the sign. Useful for direction; do not quote it as if it were a share of anything.</t>
        </is>
      </c>
    </row>
    <row r="44" ht="30" customHeight="1">
      <c r="A44" s="8" t="inlineStr">
        <is>
          <t>Standard error of the estimate</t>
        </is>
      </c>
      <c r="B44" s="22">
        <f>STEYX($C$11:$C$34,$B$11:$B$34)</f>
        <v/>
      </c>
      <c r="C44" s="10" t="inlineStr">
        <is>
          <t>STEYX(y, x). The typical distance a point sits from the line, in seconds. This is the honest width of a prediction from this model.</t>
        </is>
      </c>
    </row>
    <row r="45" ht="30" customHeight="1">
      <c r="A45" s="8" t="inlineStr">
        <is>
          <t>Standard error of the slope</t>
        </is>
      </c>
      <c r="B45" s="22">
        <f>INDEX(LINEST($C$11:$C$34,$B$11:$B$34,TRUE,TRUE),2,1)</f>
        <v/>
      </c>
      <c r="C45" s="10" t="inlineStr">
        <is>
          <t>INDEX(LINEST(y, x, TRUE, TRUE), 2, 1). LINEST returns a block; row 2 column 1 of it is how much the slope would wobble on another sample.</t>
        </is>
      </c>
    </row>
    <row r="46" ht="30" customHeight="1">
      <c r="A46" s="8" t="inlineStr">
        <is>
          <t>t-stat for the slope</t>
        </is>
      </c>
      <c r="B46" s="22">
        <f>IFERROR($B$40/$B$45,"")</f>
        <v/>
      </c>
      <c r="C46" s="10" t="inlineStr">
        <is>
          <t>Slope divided by its own standard error. Two or more and the slope is usually distinguishable from a flat line at this sample size.</t>
        </is>
      </c>
    </row>
    <row r="47" ht="30" customHeight="1">
      <c r="A47" s="8" t="inlineStr">
        <is>
          <t>Degrees of freedom</t>
        </is>
      </c>
      <c r="B47" s="21">
        <f>IFERROR(COUNT($C$11:$C$34)-2,"")</f>
        <v/>
      </c>
      <c r="C47" s="10" t="inlineStr">
        <is>
          <t>n − 2: one for the slope, one for the intercept. Everything about significance below depends on this being honest about your row count.</t>
        </is>
      </c>
    </row>
    <row r="48" ht="30" customHeight="1">
      <c r="A48" s="8" t="inlineStr">
        <is>
          <t>p-value for the slope</t>
        </is>
      </c>
      <c r="B48" s="25">
        <f>IFERROR(TDIST(ABS($B$46),$B$47,2),"")</f>
        <v/>
      </c>
      <c r="C48" s="10" t="inlineStr">
        <is>
          <t>TDIST(|t|, df, 2). The chance of a slope this far from flat if transfers made no difference at all.</t>
        </is>
      </c>
    </row>
    <row r="49"/>
    <row r="50">
      <c r="A50" s="6" t="inlineStr">
        <is>
          <t>THE MODEL, WRITTEN OUT — the sentence you are allowed to say</t>
        </is>
      </c>
      <c r="B50" s="7" t="n"/>
      <c r="C50" s="7" t="n"/>
      <c r="D50" s="7" t="n"/>
      <c r="E50" s="7" t="n"/>
      <c r="F50" s="7" t="n"/>
    </row>
    <row r="51" ht="30" customHeight="1">
      <c r="A51" s="26">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6">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6" t="inlineStr">
        <is>
          <t>THE DECISION RULE — read this before you quote the R²</t>
        </is>
      </c>
      <c r="B54" s="7" t="n"/>
      <c r="C54" s="7" t="n"/>
      <c r="D54" s="7" t="n"/>
      <c r="E54" s="7" t="n"/>
      <c r="F54" s="7" t="n"/>
    </row>
    <row r="55" ht="75" customHeight="1">
      <c r="A55" s="10"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0"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0"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7">
    <mergeCell ref="A54:F54"/>
    <mergeCell ref="C48:F48"/>
    <mergeCell ref="C39:F39"/>
    <mergeCell ref="A37:F37"/>
    <mergeCell ref="C7:F7"/>
    <mergeCell ref="A50:F50"/>
    <mergeCell ref="A56:F56"/>
    <mergeCell ref="J26:R2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AG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s>
  <sheetData>
    <row r="1" ht="26" customHeight="1">
      <c r="A1" s="3" t="inlineStr">
        <is>
          <t>Multiple regression — four candidate drivers at once</t>
        </is>
      </c>
      <c r="B1" s="4" t="n"/>
      <c r="C1" s="4" t="n"/>
      <c r="D1" s="4" t="n"/>
      <c r="E1" s="4" t="n"/>
      <c r="F1" s="4" t="n"/>
      <c r="G1" s="4" t="n"/>
      <c r="H1" s="4" t="n"/>
      <c r="I1" s="4" t="n"/>
    </row>
    <row r="2">
      <c r="A2" s="5" t="inlineStr">
        <is>
          <t>One driver at a time flatters whichever one you looked at first. This fits all four together, prices each one with the others held still, and shows you which of them the data cannot actually tell apart.</t>
        </is>
      </c>
    </row>
    <row r="3"/>
    <row r="4">
      <c r="A4" s="6" t="inlineStr">
        <is>
          <t>THE MODEL — the outcome, and the smallest effect worth acting on</t>
        </is>
      </c>
      <c r="B4" s="7" t="n"/>
      <c r="C4" s="7" t="n"/>
      <c r="D4" s="7" t="n"/>
      <c r="E4" s="7" t="n"/>
      <c r="F4" s="7" t="n"/>
      <c r="G4" s="7" t="n"/>
      <c r="H4" s="7" t="n"/>
      <c r="I4" s="7" t="n"/>
    </row>
    <row r="5" ht="30" customHeight="1">
      <c r="A5" s="8" t="inlineStr">
        <is>
          <t>Outcome (y) — what the model explains</t>
        </is>
      </c>
      <c r="B5" s="9" t="inlineStr">
        <is>
          <t>Handle time in seconds</t>
        </is>
      </c>
      <c r="C5" s="10" t="inlineStr">
        <is>
          <t>One continuous column. If your outcome is yes/no — reopened, escalated, breached — this is the wrong tab: go to Logistic regression.</t>
        </is>
      </c>
    </row>
    <row r="6" ht="30" customHeight="1">
      <c r="A6" s="8" t="inlineStr">
        <is>
          <t>Where the rows come from</t>
        </is>
      </c>
      <c r="B6" s="9" t="inlineStr">
        <is>
          <t>24 of 966 March contacts</t>
        </is>
      </c>
      <c r="C6" s="10" t="inlineStr">
        <is>
          <t>Population and sampling method. A model fitted on the contacts somebody escalated is a model of escalation, whatever you name the outcome.</t>
        </is>
      </c>
    </row>
    <row r="7" ht="45" customHeight="1">
      <c r="A7" s="8" t="inlineStr">
        <is>
          <t>Smallest effect worth acting on (seconds)</t>
        </is>
      </c>
      <c r="B7" s="27" t="n">
        <v>20</v>
      </c>
      <c r="C7" s="10"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48" customHeight="1">
      <c r="A9" s="11" t="inlineStr">
        <is>
          <t>THE DATA — the same 24 contacts, with all four drivers beside y. Contact ref is the case number and the time of day it was raised, which is where the 17:00 column comes from  ·  Key:
• Fitted y = what the model predicts for that row, before you compare it with what actually happened
• Residual = what the model missed on that row: the value that actually happened minus the fitted one</t>
        </is>
      </c>
      <c r="B9" s="7" t="n"/>
      <c r="C9" s="7" t="n"/>
      <c r="D9" s="7" t="n"/>
      <c r="E9" s="7" t="n"/>
      <c r="F9" s="7" t="n"/>
      <c r="G9" s="7" t="n"/>
      <c r="H9" s="7" t="n"/>
      <c r="I9" s="7" t="n"/>
    </row>
    <row r="10" ht="46" customHeight="1">
      <c r="A10" s="12" t="inlineStr">
        <is>
          <t>Contact ref</t>
        </is>
      </c>
      <c r="B10" s="12" t="inlineStr">
        <is>
          <t>Raised after 17:00 (1 = yes)</t>
        </is>
      </c>
      <c r="C10" s="12" t="inlineStr">
        <is>
          <t>Over the $50 authority limit (1 = yes)</t>
        </is>
      </c>
      <c r="D10" s="12" t="inlineStr">
        <is>
          <t>Agent tenure in months</t>
        </is>
      </c>
      <c r="E10" s="12" t="inlineStr">
        <is>
          <t>Transfers before resolution</t>
        </is>
      </c>
      <c r="F10" s="12" t="inlineStr">
        <is>
          <t>Handle time in seconds (y)</t>
        </is>
      </c>
      <c r="G10" s="12" t="inlineStr">
        <is>
          <t>Fitted y — what the model predicts</t>
        </is>
      </c>
      <c r="H10" s="12" t="inlineStr">
        <is>
          <t>Residual (y − fitted)</t>
        </is>
      </c>
      <c r="J10" s="5" t="inlineStr">
        <is>
          <t>VIF helper — the other three, for Raised after 17:00 (1 = yes)</t>
        </is>
      </c>
      <c r="M10" s="5" t="inlineStr">
        <is>
          <t>VIF helper — the other three, for Over the $50 authority limit (1 = yes)</t>
        </is>
      </c>
      <c r="P10" s="5" t="inlineStr">
        <is>
          <t>VIF helper — the other three, for Agent tenure in months</t>
        </is>
      </c>
      <c r="S10" s="5" t="inlineStr">
        <is>
          <t>VIF helper — the other three, for Transfers before resolution</t>
        </is>
      </c>
      <c r="V10" s="5" t="inlineStr">
        <is>
          <t>zero line — the chart reads these</t>
        </is>
      </c>
    </row>
    <row r="11">
      <c r="A11" s="13" t="inlineStr">
        <is>
          <t>BA-2201 · 17:05</t>
        </is>
      </c>
      <c r="B11" s="14" t="n">
        <v>1</v>
      </c>
      <c r="C11" s="14" t="n">
        <v>0</v>
      </c>
      <c r="D11" s="15" t="n">
        <v>7</v>
      </c>
      <c r="E11" s="14" t="n">
        <v>0</v>
      </c>
      <c r="F11" s="15" t="n">
        <v>280</v>
      </c>
      <c r="G11" s="16">
        <f>IF($F11="","",$B$40+$B$41*$B11+$B$42*$C11+$B$43*$D11+$B$44*$E11)</f>
        <v/>
      </c>
      <c r="H11" s="16">
        <f>IF($G11="","",$F11-$G11)</f>
        <v/>
      </c>
      <c r="J11" s="19">
        <f>C11</f>
        <v/>
      </c>
      <c r="K11" s="19">
        <f>D11</f>
        <v/>
      </c>
      <c r="L11" s="19">
        <f>E11</f>
        <v/>
      </c>
      <c r="M11" s="19">
        <f>B11</f>
        <v/>
      </c>
      <c r="N11" s="19">
        <f>D11</f>
        <v/>
      </c>
      <c r="O11" s="19">
        <f>E11</f>
        <v/>
      </c>
      <c r="P11" s="19">
        <f>B11</f>
        <v/>
      </c>
      <c r="Q11" s="19">
        <f>C11</f>
        <v/>
      </c>
      <c r="R11" s="19">
        <f>E11</f>
        <v/>
      </c>
      <c r="S11" s="19">
        <f>B11</f>
        <v/>
      </c>
      <c r="T11" s="19">
        <f>C11</f>
        <v/>
      </c>
      <c r="U11" s="19">
        <f>D11</f>
        <v/>
      </c>
      <c r="V11" s="19">
        <f>IFERROR(MIN($G$11:$G$34),0)</f>
        <v/>
      </c>
      <c r="W11" s="19" t="n">
        <v>0</v>
      </c>
    </row>
    <row r="12">
      <c r="A12" s="13" t="inlineStr">
        <is>
          <t>BA-2202 · 17:20</t>
        </is>
      </c>
      <c r="B12" s="14" t="n">
        <v>1</v>
      </c>
      <c r="C12" s="14" t="n">
        <v>1</v>
      </c>
      <c r="D12" s="15" t="n">
        <v>24</v>
      </c>
      <c r="E12" s="14" t="n">
        <v>1</v>
      </c>
      <c r="F12" s="15" t="n">
        <v>506</v>
      </c>
      <c r="G12" s="16">
        <f>IF($F12="","",$B$40+$B$41*$B12+$B$42*$C12+$B$43*$D12+$B$44*$E12)</f>
        <v/>
      </c>
      <c r="H12" s="16">
        <f>IF($G12="","",$F12-$G12)</f>
        <v/>
      </c>
      <c r="J12" s="19">
        <f>C12</f>
        <v/>
      </c>
      <c r="K12" s="19">
        <f>D12</f>
        <v/>
      </c>
      <c r="L12" s="19">
        <f>E12</f>
        <v/>
      </c>
      <c r="M12" s="19">
        <f>B12</f>
        <v/>
      </c>
      <c r="N12" s="19">
        <f>D12</f>
        <v/>
      </c>
      <c r="O12" s="19">
        <f>E12</f>
        <v/>
      </c>
      <c r="P12" s="19">
        <f>B12</f>
        <v/>
      </c>
      <c r="Q12" s="19">
        <f>C12</f>
        <v/>
      </c>
      <c r="R12" s="19">
        <f>E12</f>
        <v/>
      </c>
      <c r="S12" s="19">
        <f>B12</f>
        <v/>
      </c>
      <c r="T12" s="19">
        <f>C12</f>
        <v/>
      </c>
      <c r="U12" s="19">
        <f>D12</f>
        <v/>
      </c>
      <c r="V12" s="19">
        <f>IFERROR(MAX($G$11:$G$34),0)</f>
        <v/>
      </c>
      <c r="W12" s="19" t="n">
        <v>0</v>
      </c>
    </row>
    <row r="13">
      <c r="A13" s="13" t="inlineStr">
        <is>
          <t>BA-2203 · 08:15</t>
        </is>
      </c>
      <c r="B13" s="14" t="n">
        <v>0</v>
      </c>
      <c r="C13" s="14" t="n">
        <v>1</v>
      </c>
      <c r="D13" s="15" t="n">
        <v>39</v>
      </c>
      <c r="E13" s="14" t="n">
        <v>1</v>
      </c>
      <c r="F13" s="15" t="n">
        <v>344</v>
      </c>
      <c r="G13" s="16">
        <f>IF($F13="","",$B$40+$B$41*$B13+$B$42*$C13+$B$43*$D13+$B$44*$E13)</f>
        <v/>
      </c>
      <c r="H13" s="16">
        <f>IF($G13="","",$F13-$G13)</f>
        <v/>
      </c>
      <c r="J13" s="19">
        <f>C13</f>
        <v/>
      </c>
      <c r="K13" s="19">
        <f>D13</f>
        <v/>
      </c>
      <c r="L13" s="19">
        <f>E13</f>
        <v/>
      </c>
      <c r="M13" s="19">
        <f>B13</f>
        <v/>
      </c>
      <c r="N13" s="19">
        <f>D13</f>
        <v/>
      </c>
      <c r="O13" s="19">
        <f>E13</f>
        <v/>
      </c>
      <c r="P13" s="19">
        <f>B13</f>
        <v/>
      </c>
      <c r="Q13" s="19">
        <f>C13</f>
        <v/>
      </c>
      <c r="R13" s="19">
        <f>E13</f>
        <v/>
      </c>
      <c r="S13" s="19">
        <f>B13</f>
        <v/>
      </c>
      <c r="T13" s="19">
        <f>C13</f>
        <v/>
      </c>
      <c r="U13" s="19">
        <f>D13</f>
        <v/>
      </c>
    </row>
    <row r="14">
      <c r="A14" s="13" t="inlineStr">
        <is>
          <t>BA-2204 · 17:45</t>
        </is>
      </c>
      <c r="B14" s="14" t="n">
        <v>1</v>
      </c>
      <c r="C14" s="14" t="n">
        <v>1</v>
      </c>
      <c r="D14" s="15" t="n">
        <v>39</v>
      </c>
      <c r="E14" s="14" t="n">
        <v>2</v>
      </c>
      <c r="F14" s="15" t="n">
        <v>479</v>
      </c>
      <c r="G14" s="16">
        <f>IF($F14="","",$B$40+$B$41*$B14+$B$42*$C14+$B$43*$D14+$B$44*$E14)</f>
        <v/>
      </c>
      <c r="H14" s="16">
        <f>IF($G14="","",$F14-$G14)</f>
        <v/>
      </c>
      <c r="J14" s="19">
        <f>C14</f>
        <v/>
      </c>
      <c r="K14" s="19">
        <f>D14</f>
        <v/>
      </c>
      <c r="L14" s="19">
        <f>E14</f>
        <v/>
      </c>
      <c r="M14" s="19">
        <f>B14</f>
        <v/>
      </c>
      <c r="N14" s="19">
        <f>D14</f>
        <v/>
      </c>
      <c r="O14" s="19">
        <f>E14</f>
        <v/>
      </c>
      <c r="P14" s="19">
        <f>B14</f>
        <v/>
      </c>
      <c r="Q14" s="19">
        <f>C14</f>
        <v/>
      </c>
      <c r="R14" s="19">
        <f>E14</f>
        <v/>
      </c>
      <c r="S14" s="19">
        <f>B14</f>
        <v/>
      </c>
      <c r="T14" s="19">
        <f>C14</f>
        <v/>
      </c>
      <c r="U14" s="19">
        <f>D14</f>
        <v/>
      </c>
    </row>
    <row r="15">
      <c r="A15" s="13" t="inlineStr">
        <is>
          <t>BA-2205 · 18:10</t>
        </is>
      </c>
      <c r="B15" s="14" t="n">
        <v>1</v>
      </c>
      <c r="C15" s="14" t="n">
        <v>1</v>
      </c>
      <c r="D15" s="15" t="n">
        <v>33</v>
      </c>
      <c r="E15" s="14" t="n">
        <v>2</v>
      </c>
      <c r="F15" s="15" t="n">
        <v>422</v>
      </c>
      <c r="G15" s="16">
        <f>IF($F15="","",$B$40+$B$41*$B15+$B$42*$C15+$B$43*$D15+$B$44*$E15)</f>
        <v/>
      </c>
      <c r="H15" s="16">
        <f>IF($G15="","",$F15-$G15)</f>
        <v/>
      </c>
      <c r="J15" s="19">
        <f>C15</f>
        <v/>
      </c>
      <c r="K15" s="19">
        <f>D15</f>
        <v/>
      </c>
      <c r="L15" s="19">
        <f>E15</f>
        <v/>
      </c>
      <c r="M15" s="19">
        <f>B15</f>
        <v/>
      </c>
      <c r="N15" s="19">
        <f>D15</f>
        <v/>
      </c>
      <c r="O15" s="19">
        <f>E15</f>
        <v/>
      </c>
      <c r="P15" s="19">
        <f>B15</f>
        <v/>
      </c>
      <c r="Q15" s="19">
        <f>C15</f>
        <v/>
      </c>
      <c r="R15" s="19">
        <f>E15</f>
        <v/>
      </c>
      <c r="S15" s="19">
        <f>B15</f>
        <v/>
      </c>
      <c r="T15" s="19">
        <f>C15</f>
        <v/>
      </c>
      <c r="U15" s="19">
        <f>D15</f>
        <v/>
      </c>
    </row>
    <row r="16">
      <c r="A16" s="13" t="inlineStr">
        <is>
          <t>BA-2206 · 09:05</t>
        </is>
      </c>
      <c r="B16" s="14" t="n">
        <v>0</v>
      </c>
      <c r="C16" s="14" t="n">
        <v>0</v>
      </c>
      <c r="D16" s="15" t="n">
        <v>11</v>
      </c>
      <c r="E16" s="14" t="n">
        <v>3</v>
      </c>
      <c r="F16" s="15" t="n">
        <v>452</v>
      </c>
      <c r="G16" s="16">
        <f>IF($F16="","",$B$40+$B$41*$B16+$B$42*$C16+$B$43*$D16+$B$44*$E16)</f>
        <v/>
      </c>
      <c r="H16" s="16">
        <f>IF($G16="","",$F16-$G16)</f>
        <v/>
      </c>
      <c r="J16" s="19">
        <f>C16</f>
        <v/>
      </c>
      <c r="K16" s="19">
        <f>D16</f>
        <v/>
      </c>
      <c r="L16" s="19">
        <f>E16</f>
        <v/>
      </c>
      <c r="M16" s="19">
        <f>B16</f>
        <v/>
      </c>
      <c r="N16" s="19">
        <f>D16</f>
        <v/>
      </c>
      <c r="O16" s="19">
        <f>E16</f>
        <v/>
      </c>
      <c r="P16" s="19">
        <f>B16</f>
        <v/>
      </c>
      <c r="Q16" s="19">
        <f>C16</f>
        <v/>
      </c>
      <c r="R16" s="19">
        <f>E16</f>
        <v/>
      </c>
      <c r="S16" s="19">
        <f>B16</f>
        <v/>
      </c>
      <c r="T16" s="19">
        <f>C16</f>
        <v/>
      </c>
      <c r="U16" s="19">
        <f>D16</f>
        <v/>
      </c>
    </row>
    <row r="17">
      <c r="A17" s="13" t="inlineStr">
        <is>
          <t>BA-2207 · 09:40</t>
        </is>
      </c>
      <c r="B17" s="14" t="n">
        <v>0</v>
      </c>
      <c r="C17" s="14" t="n">
        <v>0</v>
      </c>
      <c r="D17" s="15" t="n">
        <v>46</v>
      </c>
      <c r="E17" s="14" t="n">
        <v>2</v>
      </c>
      <c r="F17" s="15" t="n">
        <v>374</v>
      </c>
      <c r="G17" s="16">
        <f>IF($F17="","",$B$40+$B$41*$B17+$B$42*$C17+$B$43*$D17+$B$44*$E17)</f>
        <v/>
      </c>
      <c r="H17" s="16">
        <f>IF($G17="","",$F17-$G17)</f>
        <v/>
      </c>
      <c r="J17" s="19">
        <f>C17</f>
        <v/>
      </c>
      <c r="K17" s="19">
        <f>D17</f>
        <v/>
      </c>
      <c r="L17" s="19">
        <f>E17</f>
        <v/>
      </c>
      <c r="M17" s="19">
        <f>B17</f>
        <v/>
      </c>
      <c r="N17" s="19">
        <f>D17</f>
        <v/>
      </c>
      <c r="O17" s="19">
        <f>E17</f>
        <v/>
      </c>
      <c r="P17" s="19">
        <f>B17</f>
        <v/>
      </c>
      <c r="Q17" s="19">
        <f>C17</f>
        <v/>
      </c>
      <c r="R17" s="19">
        <f>E17</f>
        <v/>
      </c>
      <c r="S17" s="19">
        <f>B17</f>
        <v/>
      </c>
      <c r="T17" s="19">
        <f>C17</f>
        <v/>
      </c>
      <c r="U17" s="19">
        <f>D17</f>
        <v/>
      </c>
    </row>
    <row r="18">
      <c r="A18" s="13" t="inlineStr">
        <is>
          <t>BA-2208 · 18:35</t>
        </is>
      </c>
      <c r="B18" s="14" t="n">
        <v>1</v>
      </c>
      <c r="C18" s="14" t="n">
        <v>1</v>
      </c>
      <c r="D18" s="15" t="n">
        <v>4</v>
      </c>
      <c r="E18" s="14" t="n">
        <v>0</v>
      </c>
      <c r="F18" s="15" t="n">
        <v>451</v>
      </c>
      <c r="G18" s="16">
        <f>IF($F18="","",$B$40+$B$41*$B18+$B$42*$C18+$B$43*$D18+$B$44*$E18)</f>
        <v/>
      </c>
      <c r="H18" s="16">
        <f>IF($G18="","",$F18-$G18)</f>
        <v/>
      </c>
      <c r="J18" s="19">
        <f>C18</f>
        <v/>
      </c>
      <c r="K18" s="19">
        <f>D18</f>
        <v/>
      </c>
      <c r="L18" s="19">
        <f>E18</f>
        <v/>
      </c>
      <c r="M18" s="19">
        <f>B18</f>
        <v/>
      </c>
      <c r="N18" s="19">
        <f>D18</f>
        <v/>
      </c>
      <c r="O18" s="19">
        <f>E18</f>
        <v/>
      </c>
      <c r="P18" s="19">
        <f>B18</f>
        <v/>
      </c>
      <c r="Q18" s="19">
        <f>C18</f>
        <v/>
      </c>
      <c r="R18" s="19">
        <f>E18</f>
        <v/>
      </c>
      <c r="S18" s="19">
        <f>B18</f>
        <v/>
      </c>
      <c r="T18" s="19">
        <f>C18</f>
        <v/>
      </c>
      <c r="U18" s="19">
        <f>D18</f>
        <v/>
      </c>
    </row>
    <row r="19">
      <c r="A19" s="13" t="inlineStr">
        <is>
          <t>BA-2209 · 10:20</t>
        </is>
      </c>
      <c r="B19" s="14" t="n">
        <v>0</v>
      </c>
      <c r="C19" s="14" t="n">
        <v>0</v>
      </c>
      <c r="D19" s="15" t="n">
        <v>4</v>
      </c>
      <c r="E19" s="14" t="n">
        <v>0</v>
      </c>
      <c r="F19" s="15" t="n">
        <v>360</v>
      </c>
      <c r="G19" s="16">
        <f>IF($F19="","",$B$40+$B$41*$B19+$B$42*$C19+$B$43*$D19+$B$44*$E19)</f>
        <v/>
      </c>
      <c r="H19" s="16">
        <f>IF($G19="","",$F19-$G19)</f>
        <v/>
      </c>
      <c r="J19" s="19">
        <f>C19</f>
        <v/>
      </c>
      <c r="K19" s="19">
        <f>D19</f>
        <v/>
      </c>
      <c r="L19" s="19">
        <f>E19</f>
        <v/>
      </c>
      <c r="M19" s="19">
        <f>B19</f>
        <v/>
      </c>
      <c r="N19" s="19">
        <f>D19</f>
        <v/>
      </c>
      <c r="O19" s="19">
        <f>E19</f>
        <v/>
      </c>
      <c r="P19" s="19">
        <f>B19</f>
        <v/>
      </c>
      <c r="Q19" s="19">
        <f>C19</f>
        <v/>
      </c>
      <c r="R19" s="19">
        <f>E19</f>
        <v/>
      </c>
      <c r="S19" s="19">
        <f>B19</f>
        <v/>
      </c>
      <c r="T19" s="19">
        <f>C19</f>
        <v/>
      </c>
      <c r="U19" s="19">
        <f>D19</f>
        <v/>
      </c>
    </row>
    <row r="20">
      <c r="A20" s="13" t="inlineStr">
        <is>
          <t>BA-2210 · 11:05</t>
        </is>
      </c>
      <c r="B20" s="14" t="n">
        <v>0</v>
      </c>
      <c r="C20" s="14" t="n">
        <v>0</v>
      </c>
      <c r="D20" s="15" t="n">
        <v>6</v>
      </c>
      <c r="E20" s="14" t="n">
        <v>0</v>
      </c>
      <c r="F20" s="15" t="n">
        <v>260</v>
      </c>
      <c r="G20" s="16">
        <f>IF($F20="","",$B$40+$B$41*$B20+$B$42*$C20+$B$43*$D20+$B$44*$E20)</f>
        <v/>
      </c>
      <c r="H20" s="16">
        <f>IF($G20="","",$F20-$G20)</f>
        <v/>
      </c>
      <c r="J20" s="19">
        <f>C20</f>
        <v/>
      </c>
      <c r="K20" s="19">
        <f>D20</f>
        <v/>
      </c>
      <c r="L20" s="19">
        <f>E20</f>
        <v/>
      </c>
      <c r="M20" s="19">
        <f>B20</f>
        <v/>
      </c>
      <c r="N20" s="19">
        <f>D20</f>
        <v/>
      </c>
      <c r="O20" s="19">
        <f>E20</f>
        <v/>
      </c>
      <c r="P20" s="19">
        <f>B20</f>
        <v/>
      </c>
      <c r="Q20" s="19">
        <f>C20</f>
        <v/>
      </c>
      <c r="R20" s="19">
        <f>E20</f>
        <v/>
      </c>
      <c r="S20" s="19">
        <f>B20</f>
        <v/>
      </c>
      <c r="T20" s="19">
        <f>C20</f>
        <v/>
      </c>
      <c r="U20" s="19">
        <f>D20</f>
        <v/>
      </c>
    </row>
    <row r="21">
      <c r="A21" s="13" t="inlineStr">
        <is>
          <t>BA-2211 · 11:35</t>
        </is>
      </c>
      <c r="B21" s="14" t="n">
        <v>0</v>
      </c>
      <c r="C21" s="14" t="n">
        <v>1</v>
      </c>
      <c r="D21" s="15" t="n">
        <v>28</v>
      </c>
      <c r="E21" s="14" t="n">
        <v>0</v>
      </c>
      <c r="F21" s="15" t="n">
        <v>415</v>
      </c>
      <c r="G21" s="16">
        <f>IF($F21="","",$B$40+$B$41*$B21+$B$42*$C21+$B$43*$D21+$B$44*$E21)</f>
        <v/>
      </c>
      <c r="H21" s="16">
        <f>IF($G21="","",$F21-$G21)</f>
        <v/>
      </c>
      <c r="J21" s="19">
        <f>C21</f>
        <v/>
      </c>
      <c r="K21" s="19">
        <f>D21</f>
        <v/>
      </c>
      <c r="L21" s="19">
        <f>E21</f>
        <v/>
      </c>
      <c r="M21" s="19">
        <f>B21</f>
        <v/>
      </c>
      <c r="N21" s="19">
        <f>D21</f>
        <v/>
      </c>
      <c r="O21" s="19">
        <f>E21</f>
        <v/>
      </c>
      <c r="P21" s="19">
        <f>B21</f>
        <v/>
      </c>
      <c r="Q21" s="19">
        <f>C21</f>
        <v/>
      </c>
      <c r="R21" s="19">
        <f>E21</f>
        <v/>
      </c>
      <c r="S21" s="19">
        <f>B21</f>
        <v/>
      </c>
      <c r="T21" s="19">
        <f>C21</f>
        <v/>
      </c>
      <c r="U21" s="19">
        <f>D21</f>
        <v/>
      </c>
    </row>
    <row r="22">
      <c r="A22" s="13" t="inlineStr">
        <is>
          <t>BA-2212 · 19:00</t>
        </is>
      </c>
      <c r="B22" s="14" t="n">
        <v>1</v>
      </c>
      <c r="C22" s="14" t="n">
        <v>1</v>
      </c>
      <c r="D22" s="15" t="n">
        <v>3</v>
      </c>
      <c r="E22" s="14" t="n">
        <v>2</v>
      </c>
      <c r="F22" s="15" t="n">
        <v>555</v>
      </c>
      <c r="G22" s="16">
        <f>IF($F22="","",$B$40+$B$41*$B22+$B$42*$C22+$B$43*$D22+$B$44*$E22)</f>
        <v/>
      </c>
      <c r="H22" s="16">
        <f>IF($G22="","",$F22-$G22)</f>
        <v/>
      </c>
      <c r="J22" s="19">
        <f>C22</f>
        <v/>
      </c>
      <c r="K22" s="19">
        <f>D22</f>
        <v/>
      </c>
      <c r="L22" s="19">
        <f>E22</f>
        <v/>
      </c>
      <c r="M22" s="19">
        <f>B22</f>
        <v/>
      </c>
      <c r="N22" s="19">
        <f>D22</f>
        <v/>
      </c>
      <c r="O22" s="19">
        <f>E22</f>
        <v/>
      </c>
      <c r="P22" s="19">
        <f>B22</f>
        <v/>
      </c>
      <c r="Q22" s="19">
        <f>C22</f>
        <v/>
      </c>
      <c r="R22" s="19">
        <f>E22</f>
        <v/>
      </c>
      <c r="S22" s="19">
        <f>B22</f>
        <v/>
      </c>
      <c r="T22" s="19">
        <f>C22</f>
        <v/>
      </c>
      <c r="U22" s="19">
        <f>D22</f>
        <v/>
      </c>
    </row>
    <row r="23">
      <c r="A23" s="13" t="inlineStr">
        <is>
          <t>BA-2213 · 12:10</t>
        </is>
      </c>
      <c r="B23" s="14" t="n">
        <v>0</v>
      </c>
      <c r="C23" s="14" t="n">
        <v>0</v>
      </c>
      <c r="D23" s="15" t="n">
        <v>4</v>
      </c>
      <c r="E23" s="14" t="n">
        <v>1</v>
      </c>
      <c r="F23" s="15" t="n">
        <v>393</v>
      </c>
      <c r="G23" s="16">
        <f>IF($F23="","",$B$40+$B$41*$B23+$B$42*$C23+$B$43*$D23+$B$44*$E23)</f>
        <v/>
      </c>
      <c r="H23" s="16">
        <f>IF($G23="","",$F23-$G23)</f>
        <v/>
      </c>
      <c r="J23" s="19">
        <f>C23</f>
        <v/>
      </c>
      <c r="K23" s="19">
        <f>D23</f>
        <v/>
      </c>
      <c r="L23" s="19">
        <f>E23</f>
        <v/>
      </c>
      <c r="M23" s="19">
        <f>B23</f>
        <v/>
      </c>
      <c r="N23" s="19">
        <f>D23</f>
        <v/>
      </c>
      <c r="O23" s="19">
        <f>E23</f>
        <v/>
      </c>
      <c r="P23" s="19">
        <f>B23</f>
        <v/>
      </c>
      <c r="Q23" s="19">
        <f>C23</f>
        <v/>
      </c>
      <c r="R23" s="19">
        <f>E23</f>
        <v/>
      </c>
      <c r="S23" s="19">
        <f>B23</f>
        <v/>
      </c>
      <c r="T23" s="19">
        <f>C23</f>
        <v/>
      </c>
      <c r="U23" s="19">
        <f>D23</f>
        <v/>
      </c>
    </row>
    <row r="24">
      <c r="A24" s="13" t="inlineStr">
        <is>
          <t>BA-2214 · 19:25</t>
        </is>
      </c>
      <c r="B24" s="14" t="n">
        <v>1</v>
      </c>
      <c r="C24" s="14" t="n">
        <v>1</v>
      </c>
      <c r="D24" s="15" t="n">
        <v>39</v>
      </c>
      <c r="E24" s="14" t="n">
        <v>0</v>
      </c>
      <c r="F24" s="15" t="n">
        <v>454</v>
      </c>
      <c r="G24" s="16">
        <f>IF($F24="","",$B$40+$B$41*$B24+$B$42*$C24+$B$43*$D24+$B$44*$E24)</f>
        <v/>
      </c>
      <c r="H24" s="16">
        <f>IF($G24="","",$F24-$G24)</f>
        <v/>
      </c>
      <c r="J24" s="19">
        <f>C24</f>
        <v/>
      </c>
      <c r="K24" s="19">
        <f>D24</f>
        <v/>
      </c>
      <c r="L24" s="19">
        <f>E24</f>
        <v/>
      </c>
      <c r="M24" s="19">
        <f>B24</f>
        <v/>
      </c>
      <c r="N24" s="19">
        <f>D24</f>
        <v/>
      </c>
      <c r="O24" s="19">
        <f>E24</f>
        <v/>
      </c>
      <c r="P24" s="19">
        <f>B24</f>
        <v/>
      </c>
      <c r="Q24" s="19">
        <f>C24</f>
        <v/>
      </c>
      <c r="R24" s="19">
        <f>E24</f>
        <v/>
      </c>
      <c r="S24" s="19">
        <f>B24</f>
        <v/>
      </c>
      <c r="T24" s="19">
        <f>C24</f>
        <v/>
      </c>
      <c r="U24" s="19">
        <f>D24</f>
        <v/>
      </c>
    </row>
    <row r="25">
      <c r="A25" s="13" t="inlineStr">
        <is>
          <t>BA-2215 · 13:25</t>
        </is>
      </c>
      <c r="B25" s="14" t="n">
        <v>0</v>
      </c>
      <c r="C25" s="14" t="n">
        <v>0</v>
      </c>
      <c r="D25" s="15" t="n">
        <v>18</v>
      </c>
      <c r="E25" s="14" t="n">
        <v>0</v>
      </c>
      <c r="F25" s="15" t="n">
        <v>257</v>
      </c>
      <c r="G25" s="16">
        <f>IF($F25="","",$B$40+$B$41*$B25+$B$42*$C25+$B$43*$D25+$B$44*$E25)</f>
        <v/>
      </c>
      <c r="H25" s="16">
        <f>IF($G25="","",$F25-$G25)</f>
        <v/>
      </c>
      <c r="J25" s="19">
        <f>C25</f>
        <v/>
      </c>
      <c r="K25" s="19">
        <f>D25</f>
        <v/>
      </c>
      <c r="L25" s="19">
        <f>E25</f>
        <v/>
      </c>
      <c r="M25" s="19">
        <f>B25</f>
        <v/>
      </c>
      <c r="N25" s="19">
        <f>D25</f>
        <v/>
      </c>
      <c r="O25" s="19">
        <f>E25</f>
        <v/>
      </c>
      <c r="P25" s="19">
        <f>B25</f>
        <v/>
      </c>
      <c r="Q25" s="19">
        <f>C25</f>
        <v/>
      </c>
      <c r="R25" s="19">
        <f>E25</f>
        <v/>
      </c>
      <c r="S25" s="19">
        <f>B25</f>
        <v/>
      </c>
      <c r="T25" s="19">
        <f>C25</f>
        <v/>
      </c>
      <c r="U25" s="19">
        <f>D25</f>
        <v/>
      </c>
    </row>
    <row r="26" ht="88" customHeight="1">
      <c r="A26" s="13" t="inlineStr">
        <is>
          <t>BA-2216 · 19:50</t>
        </is>
      </c>
      <c r="B26" s="14" t="n">
        <v>1</v>
      </c>
      <c r="C26" s="14" t="n">
        <v>1</v>
      </c>
      <c r="D26" s="15" t="n">
        <v>18</v>
      </c>
      <c r="E26" s="14" t="n">
        <v>1</v>
      </c>
      <c r="F26" s="15" t="n">
        <v>544</v>
      </c>
      <c r="G26" s="16">
        <f>IF($F26="","",$B$40+$B$41*$B26+$B$42*$C26+$B$43*$D26+$B$44*$E26)</f>
        <v/>
      </c>
      <c r="H26" s="16">
        <f>IF($G26="","",$F26-$G26)</f>
        <v/>
      </c>
      <c r="J26" s="19">
        <f>C26</f>
        <v/>
      </c>
      <c r="K26" s="19">
        <f>D26</f>
        <v/>
      </c>
      <c r="L26" s="19">
        <f>E26</f>
        <v/>
      </c>
      <c r="M26" s="19">
        <f>B26</f>
        <v/>
      </c>
      <c r="N26" s="19">
        <f>D26</f>
        <v/>
      </c>
      <c r="O26" s="19">
        <f>E26</f>
        <v/>
      </c>
      <c r="P26" s="19">
        <f>B26</f>
        <v/>
      </c>
      <c r="Q26" s="19">
        <f>C26</f>
        <v/>
      </c>
      <c r="R26" s="19">
        <f>E26</f>
        <v/>
      </c>
      <c r="S26" s="19">
        <f>B26</f>
        <v/>
      </c>
      <c r="T26" s="19">
        <f>C26</f>
        <v/>
      </c>
      <c r="U26" s="19">
        <f>D26</f>
        <v/>
      </c>
      <c r="Y26" s="20" t="inlineStr">
        <is>
          <t>HOW TO READ IT.  Fitted values across, misses up and down, zero as the reference line. A shapeless band means the straight line is a fair description. A funnel means the error grows with the prediction, and a curve means you have fitted a line to something bent — in both cases the p-values above are not trustworthy. The 24 residuals here sit between roughly -100 and +100 seconds with no funnel and no curve.
SO:  The model is safe to interpret, so go back to the coefficient table and act on the predictors whose intervals exclude zero — and only those. A clean residual plot licenses the p-values above it; it does not make a weak predictor worth acting on.</t>
        </is>
      </c>
    </row>
    <row r="27">
      <c r="A27" s="13" t="inlineStr">
        <is>
          <t>BA-2217 · 20:15</t>
        </is>
      </c>
      <c r="B27" s="14" t="n">
        <v>1</v>
      </c>
      <c r="C27" s="14" t="n">
        <v>1</v>
      </c>
      <c r="D27" s="15" t="n">
        <v>11</v>
      </c>
      <c r="E27" s="14" t="n">
        <v>1</v>
      </c>
      <c r="F27" s="15" t="n">
        <v>482</v>
      </c>
      <c r="G27" s="16">
        <f>IF($F27="","",$B$40+$B$41*$B27+$B$42*$C27+$B$43*$D27+$B$44*$E27)</f>
        <v/>
      </c>
      <c r="H27" s="16">
        <f>IF($G27="","",$F27-$G27)</f>
        <v/>
      </c>
      <c r="J27" s="19">
        <f>C27</f>
        <v/>
      </c>
      <c r="K27" s="19">
        <f>D27</f>
        <v/>
      </c>
      <c r="L27" s="19">
        <f>E27</f>
        <v/>
      </c>
      <c r="M27" s="19">
        <f>B27</f>
        <v/>
      </c>
      <c r="N27" s="19">
        <f>D27</f>
        <v/>
      </c>
      <c r="O27" s="19">
        <f>E27</f>
        <v/>
      </c>
      <c r="P27" s="19">
        <f>B27</f>
        <v/>
      </c>
      <c r="Q27" s="19">
        <f>C27</f>
        <v/>
      </c>
      <c r="R27" s="19">
        <f>E27</f>
        <v/>
      </c>
      <c r="S27" s="19">
        <f>B27</f>
        <v/>
      </c>
      <c r="T27" s="19">
        <f>C27</f>
        <v/>
      </c>
      <c r="U27" s="19">
        <f>D27</f>
        <v/>
      </c>
    </row>
    <row r="28">
      <c r="A28" s="13" t="inlineStr">
        <is>
          <t>BA-2218 · 14:00</t>
        </is>
      </c>
      <c r="B28" s="14" t="n">
        <v>0</v>
      </c>
      <c r="C28" s="14" t="n">
        <v>0</v>
      </c>
      <c r="D28" s="15" t="n">
        <v>2</v>
      </c>
      <c r="E28" s="14" t="n">
        <v>1</v>
      </c>
      <c r="F28" s="15" t="n">
        <v>403</v>
      </c>
      <c r="G28" s="16">
        <f>IF($F28="","",$B$40+$B$41*$B28+$B$42*$C28+$B$43*$D28+$B$44*$E28)</f>
        <v/>
      </c>
      <c r="H28" s="16">
        <f>IF($G28="","",$F28-$G28)</f>
        <v/>
      </c>
      <c r="J28" s="19">
        <f>C28</f>
        <v/>
      </c>
      <c r="K28" s="19">
        <f>D28</f>
        <v/>
      </c>
      <c r="L28" s="19">
        <f>E28</f>
        <v/>
      </c>
      <c r="M28" s="19">
        <f>B28</f>
        <v/>
      </c>
      <c r="N28" s="19">
        <f>D28</f>
        <v/>
      </c>
      <c r="O28" s="19">
        <f>E28</f>
        <v/>
      </c>
      <c r="P28" s="19">
        <f>B28</f>
        <v/>
      </c>
      <c r="Q28" s="19">
        <f>C28</f>
        <v/>
      </c>
      <c r="R28" s="19">
        <f>E28</f>
        <v/>
      </c>
      <c r="S28" s="19">
        <f>B28</f>
        <v/>
      </c>
      <c r="T28" s="19">
        <f>C28</f>
        <v/>
      </c>
      <c r="U28" s="19">
        <f>D28</f>
        <v/>
      </c>
    </row>
    <row r="29">
      <c r="A29" s="13" t="inlineStr">
        <is>
          <t>BA-2219 · 20:40</t>
        </is>
      </c>
      <c r="B29" s="14" t="n">
        <v>1</v>
      </c>
      <c r="C29" s="14" t="n">
        <v>0</v>
      </c>
      <c r="D29" s="15" t="n">
        <v>5</v>
      </c>
      <c r="E29" s="14" t="n">
        <v>2</v>
      </c>
      <c r="F29" s="15" t="n">
        <v>433</v>
      </c>
      <c r="G29" s="16">
        <f>IF($F29="","",$B$40+$B$41*$B29+$B$42*$C29+$B$43*$D29+$B$44*$E29)</f>
        <v/>
      </c>
      <c r="H29" s="16">
        <f>IF($G29="","",$F29-$G29)</f>
        <v/>
      </c>
      <c r="J29" s="19">
        <f>C29</f>
        <v/>
      </c>
      <c r="K29" s="19">
        <f>D29</f>
        <v/>
      </c>
      <c r="L29" s="19">
        <f>E29</f>
        <v/>
      </c>
      <c r="M29" s="19">
        <f>B29</f>
        <v/>
      </c>
      <c r="N29" s="19">
        <f>D29</f>
        <v/>
      </c>
      <c r="O29" s="19">
        <f>E29</f>
        <v/>
      </c>
      <c r="P29" s="19">
        <f>B29</f>
        <v/>
      </c>
      <c r="Q29" s="19">
        <f>C29</f>
        <v/>
      </c>
      <c r="R29" s="19">
        <f>E29</f>
        <v/>
      </c>
      <c r="S29" s="19">
        <f>B29</f>
        <v/>
      </c>
      <c r="T29" s="19">
        <f>C29</f>
        <v/>
      </c>
      <c r="U29" s="19">
        <f>D29</f>
        <v/>
      </c>
    </row>
    <row r="30">
      <c r="A30" s="13" t="inlineStr">
        <is>
          <t>BA-2220 · 14:35</t>
        </is>
      </c>
      <c r="B30" s="14" t="n">
        <v>0</v>
      </c>
      <c r="C30" s="14" t="n">
        <v>0</v>
      </c>
      <c r="D30" s="15" t="n">
        <v>4</v>
      </c>
      <c r="E30" s="14" t="n">
        <v>2</v>
      </c>
      <c r="F30" s="15" t="n">
        <v>483</v>
      </c>
      <c r="G30" s="16">
        <f>IF($F30="","",$B$40+$B$41*$B30+$B$42*$C30+$B$43*$D30+$B$44*$E30)</f>
        <v/>
      </c>
      <c r="H30" s="16">
        <f>IF($G30="","",$F30-$G30)</f>
        <v/>
      </c>
      <c r="J30" s="19">
        <f>C30</f>
        <v/>
      </c>
      <c r="K30" s="19">
        <f>D30</f>
        <v/>
      </c>
      <c r="L30" s="19">
        <f>E30</f>
        <v/>
      </c>
      <c r="M30" s="19">
        <f>B30</f>
        <v/>
      </c>
      <c r="N30" s="19">
        <f>D30</f>
        <v/>
      </c>
      <c r="O30" s="19">
        <f>E30</f>
        <v/>
      </c>
      <c r="P30" s="19">
        <f>B30</f>
        <v/>
      </c>
      <c r="Q30" s="19">
        <f>C30</f>
        <v/>
      </c>
      <c r="R30" s="19">
        <f>E30</f>
        <v/>
      </c>
      <c r="S30" s="19">
        <f>B30</f>
        <v/>
      </c>
      <c r="T30" s="19">
        <f>C30</f>
        <v/>
      </c>
      <c r="U30" s="19">
        <f>D30</f>
        <v/>
      </c>
    </row>
    <row r="31">
      <c r="A31" s="13" t="inlineStr">
        <is>
          <t>BA-2221 · 15:10</t>
        </is>
      </c>
      <c r="B31" s="14" t="n">
        <v>0</v>
      </c>
      <c r="C31" s="14" t="n">
        <v>0</v>
      </c>
      <c r="D31" s="15" t="n">
        <v>11</v>
      </c>
      <c r="E31" s="14" t="n">
        <v>0</v>
      </c>
      <c r="F31" s="15" t="n">
        <v>261</v>
      </c>
      <c r="G31" s="16">
        <f>IF($F31="","",$B$40+$B$41*$B31+$B$42*$C31+$B$43*$D31+$B$44*$E31)</f>
        <v/>
      </c>
      <c r="H31" s="16">
        <f>IF($G31="","",$F31-$G31)</f>
        <v/>
      </c>
      <c r="J31" s="19">
        <f>C31</f>
        <v/>
      </c>
      <c r="K31" s="19">
        <f>D31</f>
        <v/>
      </c>
      <c r="L31" s="19">
        <f>E31</f>
        <v/>
      </c>
      <c r="M31" s="19">
        <f>B31</f>
        <v/>
      </c>
      <c r="N31" s="19">
        <f>D31</f>
        <v/>
      </c>
      <c r="O31" s="19">
        <f>E31</f>
        <v/>
      </c>
      <c r="P31" s="19">
        <f>B31</f>
        <v/>
      </c>
      <c r="Q31" s="19">
        <f>C31</f>
        <v/>
      </c>
      <c r="R31" s="19">
        <f>E31</f>
        <v/>
      </c>
      <c r="S31" s="19">
        <f>B31</f>
        <v/>
      </c>
      <c r="T31" s="19">
        <f>C31</f>
        <v/>
      </c>
      <c r="U31" s="19">
        <f>D31</f>
        <v/>
      </c>
    </row>
    <row r="32">
      <c r="A32" s="13" t="inlineStr">
        <is>
          <t>BA-2222 · 15:50</t>
        </is>
      </c>
      <c r="B32" s="14" t="n">
        <v>0</v>
      </c>
      <c r="C32" s="14" t="n">
        <v>0</v>
      </c>
      <c r="D32" s="15" t="n">
        <v>53</v>
      </c>
      <c r="E32" s="14" t="n">
        <v>1</v>
      </c>
      <c r="F32" s="15" t="n">
        <v>424</v>
      </c>
      <c r="G32" s="16">
        <f>IF($F32="","",$B$40+$B$41*$B32+$B$42*$C32+$B$43*$D32+$B$44*$E32)</f>
        <v/>
      </c>
      <c r="H32" s="16">
        <f>IF($G32="","",$F32-$G32)</f>
        <v/>
      </c>
      <c r="J32" s="19">
        <f>C32</f>
        <v/>
      </c>
      <c r="K32" s="19">
        <f>D32</f>
        <v/>
      </c>
      <c r="L32" s="19">
        <f>E32</f>
        <v/>
      </c>
      <c r="M32" s="19">
        <f>B32</f>
        <v/>
      </c>
      <c r="N32" s="19">
        <f>D32</f>
        <v/>
      </c>
      <c r="O32" s="19">
        <f>E32</f>
        <v/>
      </c>
      <c r="P32" s="19">
        <f>B32</f>
        <v/>
      </c>
      <c r="Q32" s="19">
        <f>C32</f>
        <v/>
      </c>
      <c r="R32" s="19">
        <f>E32</f>
        <v/>
      </c>
      <c r="S32" s="19">
        <f>B32</f>
        <v/>
      </c>
      <c r="T32" s="19">
        <f>C32</f>
        <v/>
      </c>
      <c r="U32" s="19">
        <f>D32</f>
        <v/>
      </c>
    </row>
    <row r="33">
      <c r="A33" s="13" t="inlineStr">
        <is>
          <t>BA-2223 · 16:20</t>
        </is>
      </c>
      <c r="B33" s="14" t="n">
        <v>0</v>
      </c>
      <c r="C33" s="14" t="n">
        <v>0</v>
      </c>
      <c r="D33" s="15" t="n">
        <v>21</v>
      </c>
      <c r="E33" s="14" t="n">
        <v>1</v>
      </c>
      <c r="F33" s="15" t="n">
        <v>359</v>
      </c>
      <c r="G33" s="16">
        <f>IF($F33="","",$B$40+$B$41*$B33+$B$42*$C33+$B$43*$D33+$B$44*$E33)</f>
        <v/>
      </c>
      <c r="H33" s="16">
        <f>IF($G33="","",$F33-$G33)</f>
        <v/>
      </c>
      <c r="J33" s="19">
        <f>C33</f>
        <v/>
      </c>
      <c r="K33" s="19">
        <f>D33</f>
        <v/>
      </c>
      <c r="L33" s="19">
        <f>E33</f>
        <v/>
      </c>
      <c r="M33" s="19">
        <f>B33</f>
        <v/>
      </c>
      <c r="N33" s="19">
        <f>D33</f>
        <v/>
      </c>
      <c r="O33" s="19">
        <f>E33</f>
        <v/>
      </c>
      <c r="P33" s="19">
        <f>B33</f>
        <v/>
      </c>
      <c r="Q33" s="19">
        <f>C33</f>
        <v/>
      </c>
      <c r="R33" s="19">
        <f>E33</f>
        <v/>
      </c>
      <c r="S33" s="19">
        <f>B33</f>
        <v/>
      </c>
      <c r="T33" s="19">
        <f>C33</f>
        <v/>
      </c>
      <c r="U33" s="19">
        <f>D33</f>
        <v/>
      </c>
    </row>
    <row r="34">
      <c r="A34" s="13" t="inlineStr">
        <is>
          <t>BA-2224 · 21:10</t>
        </is>
      </c>
      <c r="B34" s="14" t="n">
        <v>1</v>
      </c>
      <c r="C34" s="14" t="n">
        <v>1</v>
      </c>
      <c r="D34" s="15" t="n">
        <v>5</v>
      </c>
      <c r="E34" s="14" t="n">
        <v>1</v>
      </c>
      <c r="F34" s="15" t="n">
        <v>505</v>
      </c>
      <c r="G34" s="16">
        <f>IF($F34="","",$B$40+$B$41*$B34+$B$42*$C34+$B$43*$D34+$B$44*$E34)</f>
        <v/>
      </c>
      <c r="H34" s="16">
        <f>IF($G34="","",$F34-$G34)</f>
        <v/>
      </c>
      <c r="J34" s="19">
        <f>C34</f>
        <v/>
      </c>
      <c r="K34" s="19">
        <f>D34</f>
        <v/>
      </c>
      <c r="L34" s="19">
        <f>E34</f>
        <v/>
      </c>
      <c r="M34" s="19">
        <f>B34</f>
        <v/>
      </c>
      <c r="N34" s="19">
        <f>D34</f>
        <v/>
      </c>
      <c r="O34" s="19">
        <f>E34</f>
        <v/>
      </c>
      <c r="P34" s="19">
        <f>B34</f>
        <v/>
      </c>
      <c r="Q34" s="19">
        <f>C34</f>
        <v/>
      </c>
      <c r="R34" s="19">
        <f>E34</f>
        <v/>
      </c>
      <c r="S34" s="19">
        <f>B34</f>
        <v/>
      </c>
      <c r="T34" s="19">
        <f>C34</f>
        <v/>
      </c>
      <c r="U34" s="19">
        <f>D34</f>
        <v/>
      </c>
    </row>
    <row r="35" ht="45" customHeight="1">
      <c r="A35" s="10"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144" customHeight="1">
      <c r="A38" s="11" t="inlineStr">
        <is>
          <t>STEP 1 — the coefficients, and which of them you can act on  ·  Key:
•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
• Effect across the observed range = the coefficient multiplied by the full span of that driver in the data you actually have. A coefficient answers 'per one unit'; this answers 'over the range that exists', which is the size a process owner can act on. A large per-unit effect on a driver that barely varies moves nothing in practice, and only this column shows that</t>
        </is>
      </c>
      <c r="B38" s="7" t="n"/>
      <c r="C38" s="7" t="n"/>
      <c r="D38" s="7" t="n"/>
      <c r="E38" s="7" t="n"/>
      <c r="F38" s="7" t="n"/>
      <c r="G38" s="7" t="n"/>
      <c r="H38" s="7" t="n"/>
      <c r="I38" s="7" t="n"/>
    </row>
    <row r="39" ht="46" customHeight="1">
      <c r="A39" s="12" t="inlineStr">
        <is>
          <t>Predictor</t>
        </is>
      </c>
      <c r="B39" s="12" t="inlineStr">
        <is>
          <t>Coefficient</t>
        </is>
      </c>
      <c r="C39" s="12" t="inlineStr">
        <is>
          <t>Std error</t>
        </is>
      </c>
      <c r="D39" s="12" t="inlineStr">
        <is>
          <t>t-stat</t>
        </is>
      </c>
      <c r="E39" s="12" t="inlineStr">
        <is>
          <t>p-value</t>
        </is>
      </c>
      <c r="F39" s="12" t="inlineStr">
        <is>
          <t>VIF</t>
        </is>
      </c>
      <c r="G39" s="12" t="inlineStr">
        <is>
          <t>Effect across the observed range</t>
        </is>
      </c>
      <c r="H39" s="12" t="inlineStr">
        <is>
          <t>Act on it?</t>
        </is>
      </c>
      <c r="I39" s="12" t="inlineStr">
        <is>
          <t>What it means</t>
        </is>
      </c>
    </row>
    <row r="40" ht="84" customHeight="1">
      <c r="A40" s="28" t="inlineStr">
        <is>
          <t>Intercept</t>
        </is>
      </c>
      <c r="B40" s="29">
        <f>IFERROR(INDEX(LINEST($F$11:$F$34,$B$11:$E$34,TRUE,TRUE),1,5),"")</f>
        <v/>
      </c>
      <c r="C40" s="29">
        <f>IFERROR(INDEX(LINEST($F$11:$F$34,$B$11:$E$34,TRUE,TRUE),2,5),"")</f>
        <v/>
      </c>
      <c r="D40" s="29">
        <f>IFERROR($B40/$C40,"")</f>
        <v/>
      </c>
      <c r="E40" s="30">
        <f>IFERROR(TDIST(ABS($D40),$B$55,2),"")</f>
        <v/>
      </c>
      <c r="I40" s="31">
        <f>IF($B40="","","Predicted handle time for a contact with every driver at zero — before 17:00, under the limit, a brand-new agent, no transfers. Read it as the starting point the four effects are added to, not as a prediction.")</f>
        <v/>
      </c>
    </row>
    <row r="41" ht="60" customHeight="1">
      <c r="A41" s="28" t="inlineStr">
        <is>
          <t>Raised after 17:00 (1 = yes)</t>
        </is>
      </c>
      <c r="B41" s="29">
        <f>IFERROR(INDEX(LINEST($F$11:$F$34,$B$11:$E$34,TRUE,TRUE),1,4),"")</f>
        <v/>
      </c>
      <c r="C41" s="29">
        <f>IFERROR(INDEX(LINEST($F$11:$F$34,$B$11:$E$34,TRUE,TRUE),2,4),"")</f>
        <v/>
      </c>
      <c r="D41" s="29">
        <f>IFERROR($B41/$C41,"")</f>
        <v/>
      </c>
      <c r="E41" s="30">
        <f>IFERROR(TDIST(ABS($D41),$B$55,2),"")</f>
        <v/>
      </c>
      <c r="F41" s="29">
        <f>IFERROR(1/(1-INDEX(LINEST($B$11:$B$34,$J$11:$L$34,TRUE,TRUE),3,1)),"")</f>
        <v/>
      </c>
      <c r="G41" s="32">
        <f>IFERROR($B41*(MAX($B$11:$B$34)-MIN($B$11:$B$34)),"")</f>
        <v/>
      </c>
      <c r="H41" s="26">
        <f>IF($E41="","",IF($E41&gt;=0.05,"NOT PROVEN — cannot be separated from zero",IF(ABS($G41)&lt;$B$7,"REAL BUT TOO SMALL — under the "&amp;TEXT($B$7,"0")&amp;" seconds you set","ACT ON IT — real, and big enough to matter")))</f>
        <v/>
      </c>
      <c r="I41" s="31">
        <f>IF($B41="","","Seconds the after-17:00 flag adds once the other three are held still. Compare it with the p-value beside it before you repeat it out loud.")</f>
        <v/>
      </c>
    </row>
    <row r="42" ht="48" customHeight="1">
      <c r="A42" s="28" t="inlineStr">
        <is>
          <t>Over the $50 authority limit (1 = yes)</t>
        </is>
      </c>
      <c r="B42" s="29">
        <f>IFERROR(INDEX(LINEST($F$11:$F$34,$B$11:$E$34,TRUE,TRUE),1,3),"")</f>
        <v/>
      </c>
      <c r="C42" s="29">
        <f>IFERROR(INDEX(LINEST($F$11:$F$34,$B$11:$E$34,TRUE,TRUE),2,3),"")</f>
        <v/>
      </c>
      <c r="D42" s="29">
        <f>IFERROR($B42/$C42,"")</f>
        <v/>
      </c>
      <c r="E42" s="30">
        <f>IFERROR(TDIST(ABS($D42),$B$55,2),"")</f>
        <v/>
      </c>
      <c r="F42" s="29">
        <f>IFERROR(1/(1-INDEX(LINEST($C$11:$C$34,$M$11:$O$34,TRUE,TRUE),3,1)),"")</f>
        <v/>
      </c>
      <c r="G42" s="32">
        <f>IFERROR($B42*(MAX($C$11:$C$34)-MIN($C$11:$C$34)),"")</f>
        <v/>
      </c>
      <c r="H42" s="26">
        <f>IF($E42="","",IF($E42&gt;=0.05,"NOT PROVEN — cannot be separated from zero",IF(ABS($G42)&lt;$B$7,"REAL BUT TOO SMALL — under the "&amp;TEXT($B$7,"0")&amp;" seconds you set","ACT ON IT — real, and big enough to matter")))</f>
        <v/>
      </c>
      <c r="I42" s="31">
        <f>IF($B42="","","Seconds the $50 authority limit adds once the other three are held still. This is the queue, not the money.")</f>
        <v/>
      </c>
    </row>
    <row r="43" ht="60" customHeight="1">
      <c r="A43" s="28" t="inlineStr">
        <is>
          <t>Agent tenure in months</t>
        </is>
      </c>
      <c r="B43" s="29">
        <f>IFERROR(INDEX(LINEST($F$11:$F$34,$B$11:$E$34,TRUE,TRUE),1,2),"")</f>
        <v/>
      </c>
      <c r="C43" s="29">
        <f>IFERROR(INDEX(LINEST($F$11:$F$34,$B$11:$E$34,TRUE,TRUE),2,2),"")</f>
        <v/>
      </c>
      <c r="D43" s="29">
        <f>IFERROR($B43/$C43,"")</f>
        <v/>
      </c>
      <c r="E43" s="30">
        <f>IFERROR(TDIST(ABS($D43),$B$55,2),"")</f>
        <v/>
      </c>
      <c r="F43" s="29">
        <f>IFERROR(1/(1-INDEX(LINEST($D$11:$D$34,$P$11:$R$34,TRUE,TRUE),3,1)),"")</f>
        <v/>
      </c>
      <c r="G43" s="32">
        <f>IFERROR($B43*(MAX($D$11:$D$34)-MIN($D$11:$D$34)),"")</f>
        <v/>
      </c>
      <c r="H43" s="26">
        <f>IF($E43="","",IF($E43&gt;=0.05,"NOT PROVEN — cannot be separated from zero",IF(ABS($G43)&lt;$B$7,"REAL BUT TOO SMALL — under the "&amp;TEXT($B$7,"0")&amp;" seconds you set","ACT ON IT — real, and big enough to matter")))</f>
        <v/>
      </c>
      <c r="I43" s="31">
        <f>IF($B43="","","Seconds per extra month of tenure — negative means longer-serving agents are quicker. Small per month, so read the range column, not this one.")</f>
        <v/>
      </c>
    </row>
    <row r="44" ht="60" customHeight="1">
      <c r="A44" s="28" t="inlineStr">
        <is>
          <t>Transfers before resolution</t>
        </is>
      </c>
      <c r="B44" s="29">
        <f>IFERROR(INDEX(LINEST($F$11:$F$34,$B$11:$E$34,TRUE,TRUE),1,1),"")</f>
        <v/>
      </c>
      <c r="C44" s="29">
        <f>IFERROR(INDEX(LINEST($F$11:$F$34,$B$11:$E$34,TRUE,TRUE),2,1),"")</f>
        <v/>
      </c>
      <c r="D44" s="29">
        <f>IFERROR($B44/$C44,"")</f>
        <v/>
      </c>
      <c r="E44" s="30">
        <f>IFERROR(TDIST(ABS($D44),$B$55,2),"")</f>
        <v/>
      </c>
      <c r="F44" s="29">
        <f>IFERROR(1/(1-INDEX(LINEST($E$11:$E$34,$S$11:$U$34,TRUE,TRUE),3,1)),"")</f>
        <v/>
      </c>
      <c r="G44" s="32">
        <f>IFERROR($B44*(MAX($E$11:$E$34)-MIN($E$11:$E$34)),"")</f>
        <v/>
      </c>
      <c r="H44" s="26">
        <f>IF($E44="","",IF($E44&gt;=0.05,"NOT PROVEN — cannot be separated from zero",IF(ABS($G44)&lt;$B$7,"REAL BUT TOO SMALL — under the "&amp;TEXT($B$7,"0")&amp;" seconds you set","ACT ON IT — real, and big enough to matter")))</f>
        <v/>
      </c>
      <c r="I44" s="31">
        <f>IF($B44="","","Seconds each extra transfer adds once the other three are held still. Compare it with the 50.7 seconds the single-driver tab gave you.")</f>
        <v/>
      </c>
    </row>
    <row r="45" ht="90" customHeight="1">
      <c r="A45" s="10"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6" t="inlineStr">
        <is>
          <t>STEP 2 — the model as a whole</t>
        </is>
      </c>
      <c r="B47" s="7" t="n"/>
      <c r="C47" s="7" t="n"/>
      <c r="D47" s="7" t="n"/>
      <c r="E47" s="7" t="n"/>
      <c r="F47" s="7" t="n"/>
      <c r="G47" s="7" t="n"/>
      <c r="H47" s="7" t="n"/>
      <c r="I47" s="7" t="n"/>
    </row>
    <row r="48" ht="30" customHeight="1">
      <c r="A48" s="12" t="inlineStr">
        <is>
          <t>Statistic</t>
        </is>
      </c>
      <c r="B48" s="12" t="inlineStr">
        <is>
          <t>Value</t>
        </is>
      </c>
      <c r="C48" s="12" t="inlineStr">
        <is>
          <t>What it tells you</t>
        </is>
      </c>
      <c r="D48" s="12" t="inlineStr"/>
      <c r="E48" s="12" t="inlineStr"/>
      <c r="F48" s="12" t="inlineStr"/>
      <c r="G48" s="12" t="inlineStr"/>
      <c r="H48" s="12" t="inlineStr"/>
      <c r="I48" s="12" t="inlineStr"/>
    </row>
    <row r="49" ht="30" customHeight="1">
      <c r="A49" s="8" t="inlineStr">
        <is>
          <t>Contacts in the model (n)</t>
        </is>
      </c>
      <c r="B49" s="21">
        <f>COUNT($F$11:$F$34)</f>
        <v/>
      </c>
      <c r="C49" s="10" t="inlineStr">
        <is>
          <t>COUNT(y). Four predictors on 24 rows is already thin. The rule of thumb is ten to fifteen rows per predictor before the coefficients settle down.</t>
        </is>
      </c>
    </row>
    <row r="50" ht="30" customHeight="1">
      <c r="A50" s="8" t="inlineStr">
        <is>
          <t>Predictors (k)</t>
        </is>
      </c>
      <c r="B50" s="21">
        <f>4</f>
        <v/>
      </c>
      <c r="C50" s="10" t="inlineStr">
        <is>
          <t>How many x columns the model is fitting. Every one you add uses up a degree of freedom and lifts R² whether or not it means anything.</t>
        </is>
      </c>
    </row>
    <row r="51" ht="30" customHeight="1">
      <c r="A51" s="8" t="inlineStr">
        <is>
          <t>R²</t>
        </is>
      </c>
      <c r="B51" s="23">
        <f>IFERROR(INDEX(LINEST($F$11:$F$34,$B$11:$E$34,TRUE,TRUE),3,1),"")</f>
        <v/>
      </c>
      <c r="C51" s="10" t="inlineStr">
        <is>
          <t>INDEX(LINEST(...), 3, 1). The share of the spread in handle time all four drivers explain together.</t>
        </is>
      </c>
    </row>
    <row r="52" ht="30" customHeight="1">
      <c r="A52" s="8" t="inlineStr">
        <is>
          <t>Adjusted R²</t>
        </is>
      </c>
      <c r="B52" s="23">
        <f>IFERROR(1-(1-$B$51)*($B$49-1)/($B$49-$B$50-1),"")</f>
        <v/>
      </c>
      <c r="C52" s="10" t="inlineStr">
        <is>
          <t>R² with a penalty for each predictor: 1 − (1 − R²)(n − 1)/(n − k − 1). If this sits well below R², some of your columns are paying their way in arithmetic rather than in meaning.</t>
        </is>
      </c>
    </row>
    <row r="53" ht="30" customHeight="1">
      <c r="A53" s="8" t="inlineStr">
        <is>
          <t>Standard error of the estimate</t>
        </is>
      </c>
      <c r="B53" s="22">
        <f>IFERROR(INDEX(LINEST($F$11:$F$34,$B$11:$E$34,TRUE,TRUE),3,2),"")</f>
        <v/>
      </c>
      <c r="C53" s="10" t="inlineStr">
        <is>
          <t>INDEX(LINEST(...), 3, 2). The typical miss, in seconds. Quote a prediction as fitted ± roughly two of these, or do not quote it.</t>
        </is>
      </c>
    </row>
    <row r="54" ht="30" customHeight="1">
      <c r="A54" s="8" t="inlineStr">
        <is>
          <t>F</t>
        </is>
      </c>
      <c r="B54" s="22">
        <f>IFERROR(INDEX(LINEST($F$11:$F$34,$B$11:$E$34,TRUE,TRUE),4,1),"")</f>
        <v/>
      </c>
      <c r="C54" s="10" t="inlineStr">
        <is>
          <t>INDEX(LINEST(...), 4, 1). Tests the whole model at once: is this set of four better than no model at all?</t>
        </is>
      </c>
    </row>
    <row r="55" ht="30" customHeight="1">
      <c r="A55" s="8" t="inlineStr">
        <is>
          <t>Degrees of freedom (residual)</t>
        </is>
      </c>
      <c r="B55" s="21">
        <f>IFERROR(INDEX(LINEST($F$11:$F$34,$B$11:$E$34,TRUE,TRUE),4,2),"")</f>
        <v/>
      </c>
      <c r="C55" s="10" t="inlineStr">
        <is>
          <t>INDEX(LINEST(...), 4, 2). n − k − 1. Every per-coefficient p-value on the table above reads this cell.</t>
        </is>
      </c>
    </row>
    <row r="56" ht="30" customHeight="1">
      <c r="A56" s="8" t="inlineStr">
        <is>
          <t>p-value for F</t>
        </is>
      </c>
      <c r="B56" s="25">
        <f>IFERROR(FDIST($B$54,$B$50,$B$55),"")</f>
        <v/>
      </c>
      <c r="C56" s="10" t="inlineStr">
        <is>
          <t>FDIST(F, k, df). Small means the four together explain something. It does NOT mean each of them does — that is what the p-values above are for.</t>
        </is>
      </c>
    </row>
    <row r="57" ht="30" customHeight="1">
      <c r="A57" s="8" t="inlineStr">
        <is>
          <t>Verdict</t>
        </is>
      </c>
      <c r="B57" s="17">
        <f>IF($B$56="","",IF($B$56&gt;=0.05,"NO MODEL — these four together explain nothing",IF($B$52&lt;0.3,"USABLE BUT WEAK — read the effect sizes, not the R²","USABLE — now go and look at the residual chart")))</f>
        <v/>
      </c>
      <c r="C57" s="10" t="inlineStr">
        <is>
          <t>Read this with the residual chart beside it. A model can pass every number here and still be unusable if the residuals have a shape.</t>
        </is>
      </c>
    </row>
    <row r="58"/>
    <row r="59">
      <c r="A59" s="6" t="inlineStr">
        <is>
          <t>THE DECISION RULE — what this model does and does not license</t>
        </is>
      </c>
      <c r="B59" s="7" t="n"/>
      <c r="C59" s="7" t="n"/>
      <c r="D59" s="7" t="n"/>
      <c r="E59" s="7" t="n"/>
      <c r="F59" s="7" t="n"/>
      <c r="G59" s="7" t="n"/>
      <c r="H59" s="7" t="n"/>
      <c r="I59" s="7" t="n"/>
    </row>
    <row r="60" ht="75" customHeight="1">
      <c r="A60" s="10"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0"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0"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0"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6">
    <mergeCell ref="C52:I52"/>
    <mergeCell ref="C7:I7"/>
    <mergeCell ref="Y26:AG26"/>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9"/>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3" t="inlineStr">
        <is>
          <t>Logistic regression — the scoring sheet for a model fitted elsewhere</t>
        </is>
      </c>
      <c r="B1" s="4" t="n"/>
      <c r="C1" s="4" t="n"/>
      <c r="D1" s="4" t="n"/>
      <c r="E1" s="4" t="n"/>
      <c r="F1" s="4" t="n"/>
      <c r="G1" s="4" t="n"/>
      <c r="H1" s="4" t="n"/>
      <c r="I1" s="4" t="n"/>
    </row>
    <row r="2">
      <c r="A2" s="5"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6" t="inlineStr">
        <is>
          <t>READ THIS FIRST — what this tab does, and what it deliberately does not</t>
        </is>
      </c>
      <c r="B4" s="7" t="n"/>
      <c r="C4" s="7" t="n"/>
      <c r="D4" s="7" t="n"/>
      <c r="E4" s="7" t="n"/>
      <c r="F4" s="7" t="n"/>
      <c r="G4" s="7" t="n"/>
      <c r="H4" s="7" t="n"/>
      <c r="I4" s="7" t="n"/>
    </row>
    <row r="5" ht="75" customHeight="1">
      <c r="A5" s="10"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0"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84" customHeight="1">
      <c r="A8" s="11" t="inlineStr">
        <is>
          <t>STEP 1 — paste the coefficient table your tool produced  ·  Key:
•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7" t="n"/>
      <c r="C8" s="7" t="n"/>
      <c r="D8" s="7" t="n"/>
      <c r="E8" s="7" t="n"/>
      <c r="F8" s="7" t="n"/>
      <c r="G8" s="7" t="n"/>
      <c r="H8" s="7" t="n"/>
      <c r="I8" s="7" t="n"/>
    </row>
    <row r="9" ht="46" customHeight="1">
      <c r="A9" s="12" t="inlineStr">
        <is>
          <t>Term</t>
        </is>
      </c>
      <c r="B9" s="12" t="inlineStr">
        <is>
          <t>Coefficient (log-odds)</t>
        </is>
      </c>
      <c r="C9" s="12" t="inlineStr">
        <is>
          <t>Std error</t>
        </is>
      </c>
      <c r="D9" s="12" t="inlineStr">
        <is>
          <t>p-value</t>
        </is>
      </c>
      <c r="E9" s="12" t="inlineStr">
        <is>
          <t>Odds ratio</t>
        </is>
      </c>
      <c r="F9" s="12" t="inlineStr">
        <is>
          <t>Odds ratio 95% CI low</t>
        </is>
      </c>
      <c r="G9" s="12" t="inlineStr">
        <is>
          <t>Odds ratio 95% CI high</t>
        </is>
      </c>
      <c r="H9" s="12" t="inlineStr">
        <is>
          <t>What it means</t>
        </is>
      </c>
      <c r="I9" s="12" t="inlineStr"/>
    </row>
    <row r="10" ht="72" customHeight="1">
      <c r="A10" s="28" t="inlineStr">
        <is>
          <t>Intercept</t>
        </is>
      </c>
      <c r="B10" s="33" t="n">
        <v>-3.05</v>
      </c>
      <c r="C10" s="33" t="n">
        <v>0.24</v>
      </c>
      <c r="D10" s="34" t="inlineStr">
        <is>
          <t>&lt;0.0001</t>
        </is>
      </c>
      <c r="E10" s="35">
        <f>IFERROR(EXP($B10),"")</f>
        <v/>
      </c>
      <c r="F10" s="35">
        <f>IFERROR(EXP($B10-1.96*$C10),"")</f>
        <v/>
      </c>
      <c r="G10" s="35">
        <f>IFERROR(EXP($B10+1.96*$C10),"")</f>
        <v/>
      </c>
      <c r="H10" s="31">
        <f>"Baseline odds of a reopen with every driver at zero: "&amp;TEXT($E10,"0.000")&amp;" to 1, which is "&amp;TEXT($E10/(1+$E10),"0.0%")&amp;" probability."</f>
        <v/>
      </c>
    </row>
    <row r="11" ht="84" customHeight="1">
      <c r="A11" s="28" t="inlineStr">
        <is>
          <t>Raised after 17:00 (1 = yes)</t>
        </is>
      </c>
      <c r="B11" s="33" t="n">
        <v>1.16</v>
      </c>
      <c r="C11" s="33" t="n">
        <v>0.21</v>
      </c>
      <c r="D11" s="34" t="inlineStr">
        <is>
          <t>&lt;0.0001</t>
        </is>
      </c>
      <c r="E11" s="35">
        <f>IFERROR(EXP($B11),"")</f>
        <v/>
      </c>
      <c r="F11" s="35">
        <f>IFERROR(EXP($B11-1.96*$C11),"")</f>
        <v/>
      </c>
      <c r="G11" s="35">
        <f>IFERROR(EXP($B11+1.96*$C11),"")</f>
        <v/>
      </c>
      <c r="H11" s="31">
        <f>"Raising the adjustment after 17:00 multiplies the odds of a reopen by "&amp;TEXT($E11,"0.00")&amp;". This is the posting-batch effect, and it is the largest single driver in the model."</f>
        <v/>
      </c>
    </row>
    <row r="12" ht="72" customHeight="1">
      <c r="A12" s="28" t="inlineStr">
        <is>
          <t>Over the $50 authority limit (1 = yes)</t>
        </is>
      </c>
      <c r="B12" s="33" t="n">
        <v>0.83</v>
      </c>
      <c r="C12" s="33" t="n">
        <v>0.22</v>
      </c>
      <c r="D12" s="34" t="inlineStr">
        <is>
          <t>0.0002</t>
        </is>
      </c>
      <c r="E12" s="35">
        <f>IFERROR(EXP($B12),"")</f>
        <v/>
      </c>
      <c r="F12" s="35">
        <f>IFERROR(EXP($B12-1.96*$C12),"")</f>
        <v/>
      </c>
      <c r="G12" s="35">
        <f>IFERROR(EXP($B12+1.96*$C12),"")</f>
        <v/>
      </c>
      <c r="H12" s="31">
        <f>"Clearing the $50 authority limit multiplies the odds of a reopen by "&amp;TEXT($E12,"0.00")&amp;", because the case waits in a queue for approval."</f>
        <v/>
      </c>
    </row>
    <row r="13" ht="84" customHeight="1">
      <c r="A13" s="28" t="inlineStr">
        <is>
          <t>Agent tenure in months</t>
        </is>
      </c>
      <c r="B13" s="33" t="n">
        <v>-0.038</v>
      </c>
      <c r="C13" s="33" t="n">
        <v>0.008999999999999999</v>
      </c>
      <c r="D13" s="34" t="inlineStr">
        <is>
          <t>&lt;0.0001</t>
        </is>
      </c>
      <c r="E13" s="35">
        <f>IFERROR(EXP($B13),"")</f>
        <v/>
      </c>
      <c r="F13" s="35">
        <f>IFERROR(EXP($B13-1.96*$C13),"")</f>
        <v/>
      </c>
      <c r="G13" s="35">
        <f>IFERROR(EXP($B13+1.96*$C13),"")</f>
        <v/>
      </c>
      <c r="H13" s="31">
        <f>"Each extra month of tenure multiplies the odds by "&amp;TEXT($E13,"0.000")&amp;" — so a 24-month agent runs at "&amp;TEXT($E13^24,"0.00")&amp;" times the odds of a first-week agent."</f>
        <v/>
      </c>
    </row>
    <row r="14" ht="72" customHeight="1">
      <c r="A14" s="28" t="inlineStr">
        <is>
          <t>Transfers before resolution</t>
        </is>
      </c>
      <c r="B14" s="33" t="n">
        <v>0.61</v>
      </c>
      <c r="C14" s="33" t="n">
        <v>0.12</v>
      </c>
      <c r="D14" s="34" t="inlineStr">
        <is>
          <t>&lt;0.0001</t>
        </is>
      </c>
      <c r="E14" s="35">
        <f>IFERROR(EXP($B14),"")</f>
        <v/>
      </c>
      <c r="F14" s="35">
        <f>IFERROR(EXP($B14-1.96*$C14),"")</f>
        <v/>
      </c>
      <c r="G14" s="35">
        <f>IFERROR(EXP($B14+1.96*$C14),"")</f>
        <v/>
      </c>
      <c r="H14" s="31">
        <f>"Each extra transfer multiplies the odds of a reopen by "&amp;TEXT($E14,"0.00")&amp;". Multiply by how common transfers are before you rank it against the others."</f>
        <v/>
      </c>
    </row>
    <row r="15" ht="75" customHeight="1">
      <c r="A15" s="10"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60" customHeight="1">
      <c r="A17" s="11" t="inlineStr">
        <is>
          <t>STEP 2 — the same 24 contacts, scored with those coefficients. Contact ref is the case number and the time of day it was raised, which is where the 17:00 column comes from. The last two columns are the model's working: the logit it computes, then the same thing as a probability  ·  Key:
• Logit = the log-odds the model works in, before it is turned back into a probability
• Predicted probability = the model's chance that this particular row ends in the outcome</t>
        </is>
      </c>
      <c r="B17" s="7" t="n"/>
      <c r="C17" s="7" t="n"/>
      <c r="D17" s="7" t="n"/>
      <c r="E17" s="7" t="n"/>
      <c r="F17" s="7" t="n"/>
      <c r="G17" s="7" t="n"/>
      <c r="H17" s="7" t="n"/>
      <c r="I17" s="7" t="n"/>
    </row>
    <row r="18" ht="46" customHeight="1">
      <c r="A18" s="12" t="inlineStr">
        <is>
          <t>Contact ref</t>
        </is>
      </c>
      <c r="B18" s="12" t="inlineStr">
        <is>
          <t>Raised after 17:00 (1 = yes)</t>
        </is>
      </c>
      <c r="C18" s="12" t="inlineStr">
        <is>
          <t>Over the $50 authority limit (1 = yes)</t>
        </is>
      </c>
      <c r="D18" s="12" t="inlineStr">
        <is>
          <t>Agent tenure in months</t>
        </is>
      </c>
      <c r="E18" s="12" t="inlineStr">
        <is>
          <t>Transfers before resolution</t>
        </is>
      </c>
      <c r="F18" s="12" t="inlineStr">
        <is>
          <t>Reopened within 7 days (1 = yes)</t>
        </is>
      </c>
      <c r="G18" s="12" t="inlineStr">
        <is>
          <t>Logit</t>
        </is>
      </c>
      <c r="H18" s="12" t="inlineStr">
        <is>
          <t>Predicted probability</t>
        </is>
      </c>
      <c r="I18" s="12" t="inlineStr">
        <is>
          <t>Flagged at your threshold (1 = yes)</t>
        </is>
      </c>
    </row>
    <row r="19">
      <c r="A19" s="13" t="inlineStr">
        <is>
          <t>BA-2201 · 17:05</t>
        </is>
      </c>
      <c r="B19" s="14" t="n">
        <v>1</v>
      </c>
      <c r="C19" s="14" t="n">
        <v>0</v>
      </c>
      <c r="D19" s="15" t="n">
        <v>7</v>
      </c>
      <c r="E19" s="14" t="n">
        <v>0</v>
      </c>
      <c r="F19" s="14" t="n">
        <v>0</v>
      </c>
      <c r="G19" s="24">
        <f>IF($B19="","",$B$10+$B$11*$B19+$B$12*$C19+$B$13*$D19+$B$14*$E19)</f>
        <v/>
      </c>
      <c r="H19" s="23">
        <f>IFERROR(1/(1+EXP(-$G19)),"")</f>
        <v/>
      </c>
      <c r="I19" s="21">
        <f>IF($H19="","",IF($H19&gt;=$B$46,1,0))</f>
        <v/>
      </c>
    </row>
    <row r="20">
      <c r="A20" s="13" t="inlineStr">
        <is>
          <t>BA-2202 · 17:20</t>
        </is>
      </c>
      <c r="B20" s="14" t="n">
        <v>1</v>
      </c>
      <c r="C20" s="14" t="n">
        <v>1</v>
      </c>
      <c r="D20" s="15" t="n">
        <v>24</v>
      </c>
      <c r="E20" s="14" t="n">
        <v>1</v>
      </c>
      <c r="F20" s="14" t="n">
        <v>0</v>
      </c>
      <c r="G20" s="24">
        <f>IF($B20="","",$B$10+$B$11*$B20+$B$12*$C20+$B$13*$D20+$B$14*$E20)</f>
        <v/>
      </c>
      <c r="H20" s="23">
        <f>IFERROR(1/(1+EXP(-$G20)),"")</f>
        <v/>
      </c>
      <c r="I20" s="21">
        <f>IF($H20="","",IF($H20&gt;=$B$46,1,0))</f>
        <v/>
      </c>
    </row>
    <row r="21">
      <c r="A21" s="13" t="inlineStr">
        <is>
          <t>BA-2203 · 08:15</t>
        </is>
      </c>
      <c r="B21" s="14" t="n">
        <v>0</v>
      </c>
      <c r="C21" s="14" t="n">
        <v>1</v>
      </c>
      <c r="D21" s="15" t="n">
        <v>39</v>
      </c>
      <c r="E21" s="14" t="n">
        <v>1</v>
      </c>
      <c r="F21" s="14" t="n">
        <v>0</v>
      </c>
      <c r="G21" s="24">
        <f>IF($B21="","",$B$10+$B$11*$B21+$B$12*$C21+$B$13*$D21+$B$14*$E21)</f>
        <v/>
      </c>
      <c r="H21" s="23">
        <f>IFERROR(1/(1+EXP(-$G21)),"")</f>
        <v/>
      </c>
      <c r="I21" s="21">
        <f>IF($H21="","",IF($H21&gt;=$B$46,1,0))</f>
        <v/>
      </c>
    </row>
    <row r="22">
      <c r="A22" s="13" t="inlineStr">
        <is>
          <t>BA-2204 · 17:45</t>
        </is>
      </c>
      <c r="B22" s="14" t="n">
        <v>1</v>
      </c>
      <c r="C22" s="14" t="n">
        <v>1</v>
      </c>
      <c r="D22" s="15" t="n">
        <v>39</v>
      </c>
      <c r="E22" s="14" t="n">
        <v>2</v>
      </c>
      <c r="F22" s="14" t="n">
        <v>0</v>
      </c>
      <c r="G22" s="24">
        <f>IF($B22="","",$B$10+$B$11*$B22+$B$12*$C22+$B$13*$D22+$B$14*$E22)</f>
        <v/>
      </c>
      <c r="H22" s="23">
        <f>IFERROR(1/(1+EXP(-$G22)),"")</f>
        <v/>
      </c>
      <c r="I22" s="21">
        <f>IF($H22="","",IF($H22&gt;=$B$46,1,0))</f>
        <v/>
      </c>
    </row>
    <row r="23">
      <c r="A23" s="13" t="inlineStr">
        <is>
          <t>BA-2205 · 18:10</t>
        </is>
      </c>
      <c r="B23" s="14" t="n">
        <v>1</v>
      </c>
      <c r="C23" s="14" t="n">
        <v>1</v>
      </c>
      <c r="D23" s="15" t="n">
        <v>33</v>
      </c>
      <c r="E23" s="14" t="n">
        <v>2</v>
      </c>
      <c r="F23" s="14" t="n">
        <v>1</v>
      </c>
      <c r="G23" s="24">
        <f>IF($B23="","",$B$10+$B$11*$B23+$B$12*$C23+$B$13*$D23+$B$14*$E23)</f>
        <v/>
      </c>
      <c r="H23" s="23">
        <f>IFERROR(1/(1+EXP(-$G23)),"")</f>
        <v/>
      </c>
      <c r="I23" s="21">
        <f>IF($H23="","",IF($H23&gt;=$B$46,1,0))</f>
        <v/>
      </c>
    </row>
    <row r="24">
      <c r="A24" s="13" t="inlineStr">
        <is>
          <t>BA-2206 · 09:05</t>
        </is>
      </c>
      <c r="B24" s="14" t="n">
        <v>0</v>
      </c>
      <c r="C24" s="14" t="n">
        <v>0</v>
      </c>
      <c r="D24" s="15" t="n">
        <v>11</v>
      </c>
      <c r="E24" s="14" t="n">
        <v>3</v>
      </c>
      <c r="F24" s="14" t="n">
        <v>1</v>
      </c>
      <c r="G24" s="24">
        <f>IF($B24="","",$B$10+$B$11*$B24+$B$12*$C24+$B$13*$D24+$B$14*$E24)</f>
        <v/>
      </c>
      <c r="H24" s="23">
        <f>IFERROR(1/(1+EXP(-$G24)),"")</f>
        <v/>
      </c>
      <c r="I24" s="21">
        <f>IF($H24="","",IF($H24&gt;=$B$46,1,0))</f>
        <v/>
      </c>
    </row>
    <row r="25">
      <c r="A25" s="13" t="inlineStr">
        <is>
          <t>BA-2207 · 09:40</t>
        </is>
      </c>
      <c r="B25" s="14" t="n">
        <v>0</v>
      </c>
      <c r="C25" s="14" t="n">
        <v>0</v>
      </c>
      <c r="D25" s="15" t="n">
        <v>46</v>
      </c>
      <c r="E25" s="14" t="n">
        <v>2</v>
      </c>
      <c r="F25" s="14" t="n">
        <v>0</v>
      </c>
      <c r="G25" s="24">
        <f>IF($B25="","",$B$10+$B$11*$B25+$B$12*$C25+$B$13*$D25+$B$14*$E25)</f>
        <v/>
      </c>
      <c r="H25" s="23">
        <f>IFERROR(1/(1+EXP(-$G25)),"")</f>
        <v/>
      </c>
      <c r="I25" s="21">
        <f>IF($H25="","",IF($H25&gt;=$B$46,1,0))</f>
        <v/>
      </c>
    </row>
    <row r="26">
      <c r="A26" s="13" t="inlineStr">
        <is>
          <t>BA-2208 · 18:35</t>
        </is>
      </c>
      <c r="B26" s="14" t="n">
        <v>1</v>
      </c>
      <c r="C26" s="14" t="n">
        <v>1</v>
      </c>
      <c r="D26" s="15" t="n">
        <v>4</v>
      </c>
      <c r="E26" s="14" t="n">
        <v>0</v>
      </c>
      <c r="F26" s="14" t="n">
        <v>0</v>
      </c>
      <c r="G26" s="24">
        <f>IF($B26="","",$B$10+$B$11*$B26+$B$12*$C26+$B$13*$D26+$B$14*$E26)</f>
        <v/>
      </c>
      <c r="H26" s="23">
        <f>IFERROR(1/(1+EXP(-$G26)),"")</f>
        <v/>
      </c>
      <c r="I26" s="21">
        <f>IF($H26="","",IF($H26&gt;=$B$46,1,0))</f>
        <v/>
      </c>
    </row>
    <row r="27">
      <c r="A27" s="13" t="inlineStr">
        <is>
          <t>BA-2209 · 10:20</t>
        </is>
      </c>
      <c r="B27" s="14" t="n">
        <v>0</v>
      </c>
      <c r="C27" s="14" t="n">
        <v>0</v>
      </c>
      <c r="D27" s="15" t="n">
        <v>4</v>
      </c>
      <c r="E27" s="14" t="n">
        <v>0</v>
      </c>
      <c r="F27" s="14" t="n">
        <v>0</v>
      </c>
      <c r="G27" s="24">
        <f>IF($B27="","",$B$10+$B$11*$B27+$B$12*$C27+$B$13*$D27+$B$14*$E27)</f>
        <v/>
      </c>
      <c r="H27" s="23">
        <f>IFERROR(1/(1+EXP(-$G27)),"")</f>
        <v/>
      </c>
      <c r="I27" s="21">
        <f>IF($H27="","",IF($H27&gt;=$B$46,1,0))</f>
        <v/>
      </c>
    </row>
    <row r="28">
      <c r="A28" s="13" t="inlineStr">
        <is>
          <t>BA-2210 · 11:05</t>
        </is>
      </c>
      <c r="B28" s="14" t="n">
        <v>0</v>
      </c>
      <c r="C28" s="14" t="n">
        <v>0</v>
      </c>
      <c r="D28" s="15" t="n">
        <v>6</v>
      </c>
      <c r="E28" s="14" t="n">
        <v>0</v>
      </c>
      <c r="F28" s="14" t="n">
        <v>0</v>
      </c>
      <c r="G28" s="24">
        <f>IF($B28="","",$B$10+$B$11*$B28+$B$12*$C28+$B$13*$D28+$B$14*$E28)</f>
        <v/>
      </c>
      <c r="H28" s="23">
        <f>IFERROR(1/(1+EXP(-$G28)),"")</f>
        <v/>
      </c>
      <c r="I28" s="21">
        <f>IF($H28="","",IF($H28&gt;=$B$46,1,0))</f>
        <v/>
      </c>
    </row>
    <row r="29">
      <c r="A29" s="13" t="inlineStr">
        <is>
          <t>BA-2211 · 11:35</t>
        </is>
      </c>
      <c r="B29" s="14" t="n">
        <v>0</v>
      </c>
      <c r="C29" s="14" t="n">
        <v>1</v>
      </c>
      <c r="D29" s="15" t="n">
        <v>28</v>
      </c>
      <c r="E29" s="14" t="n">
        <v>0</v>
      </c>
      <c r="F29" s="14" t="n">
        <v>0</v>
      </c>
      <c r="G29" s="24">
        <f>IF($B29="","",$B$10+$B$11*$B29+$B$12*$C29+$B$13*$D29+$B$14*$E29)</f>
        <v/>
      </c>
      <c r="H29" s="23">
        <f>IFERROR(1/(1+EXP(-$G29)),"")</f>
        <v/>
      </c>
      <c r="I29" s="21">
        <f>IF($H29="","",IF($H29&gt;=$B$46,1,0))</f>
        <v/>
      </c>
    </row>
    <row r="30">
      <c r="A30" s="13" t="inlineStr">
        <is>
          <t>BA-2212 · 19:00</t>
        </is>
      </c>
      <c r="B30" s="14" t="n">
        <v>1</v>
      </c>
      <c r="C30" s="14" t="n">
        <v>1</v>
      </c>
      <c r="D30" s="15" t="n">
        <v>3</v>
      </c>
      <c r="E30" s="14" t="n">
        <v>2</v>
      </c>
      <c r="F30" s="14" t="n">
        <v>1</v>
      </c>
      <c r="G30" s="24">
        <f>IF($B30="","",$B$10+$B$11*$B30+$B$12*$C30+$B$13*$D30+$B$14*$E30)</f>
        <v/>
      </c>
      <c r="H30" s="23">
        <f>IFERROR(1/(1+EXP(-$G30)),"")</f>
        <v/>
      </c>
      <c r="I30" s="21">
        <f>IF($H30="","",IF($H30&gt;=$B$46,1,0))</f>
        <v/>
      </c>
    </row>
    <row r="31">
      <c r="A31" s="13" t="inlineStr">
        <is>
          <t>BA-2213 · 12:10</t>
        </is>
      </c>
      <c r="B31" s="14" t="n">
        <v>0</v>
      </c>
      <c r="C31" s="14" t="n">
        <v>0</v>
      </c>
      <c r="D31" s="15" t="n">
        <v>4</v>
      </c>
      <c r="E31" s="14" t="n">
        <v>1</v>
      </c>
      <c r="F31" s="14" t="n">
        <v>0</v>
      </c>
      <c r="G31" s="24">
        <f>IF($B31="","",$B$10+$B$11*$B31+$B$12*$C31+$B$13*$D31+$B$14*$E31)</f>
        <v/>
      </c>
      <c r="H31" s="23">
        <f>IFERROR(1/(1+EXP(-$G31)),"")</f>
        <v/>
      </c>
      <c r="I31" s="21">
        <f>IF($H31="","",IF($H31&gt;=$B$46,1,0))</f>
        <v/>
      </c>
    </row>
    <row r="32">
      <c r="A32" s="13" t="inlineStr">
        <is>
          <t>BA-2214 · 19:25</t>
        </is>
      </c>
      <c r="B32" s="14" t="n">
        <v>1</v>
      </c>
      <c r="C32" s="14" t="n">
        <v>1</v>
      </c>
      <c r="D32" s="15" t="n">
        <v>39</v>
      </c>
      <c r="E32" s="14" t="n">
        <v>0</v>
      </c>
      <c r="F32" s="14" t="n">
        <v>0</v>
      </c>
      <c r="G32" s="24">
        <f>IF($B32="","",$B$10+$B$11*$B32+$B$12*$C32+$B$13*$D32+$B$14*$E32)</f>
        <v/>
      </c>
      <c r="H32" s="23">
        <f>IFERROR(1/(1+EXP(-$G32)),"")</f>
        <v/>
      </c>
      <c r="I32" s="21">
        <f>IF($H32="","",IF($H32&gt;=$B$46,1,0))</f>
        <v/>
      </c>
    </row>
    <row r="33">
      <c r="A33" s="13" t="inlineStr">
        <is>
          <t>BA-2215 · 13:25</t>
        </is>
      </c>
      <c r="B33" s="14" t="n">
        <v>0</v>
      </c>
      <c r="C33" s="14" t="n">
        <v>0</v>
      </c>
      <c r="D33" s="15" t="n">
        <v>18</v>
      </c>
      <c r="E33" s="14" t="n">
        <v>0</v>
      </c>
      <c r="F33" s="14" t="n">
        <v>0</v>
      </c>
      <c r="G33" s="24">
        <f>IF($B33="","",$B$10+$B$11*$B33+$B$12*$C33+$B$13*$D33+$B$14*$E33)</f>
        <v/>
      </c>
      <c r="H33" s="23">
        <f>IFERROR(1/(1+EXP(-$G33)),"")</f>
        <v/>
      </c>
      <c r="I33" s="21">
        <f>IF($H33="","",IF($H33&gt;=$B$46,1,0))</f>
        <v/>
      </c>
    </row>
    <row r="34">
      <c r="A34" s="13" t="inlineStr">
        <is>
          <t>BA-2216 · 19:50</t>
        </is>
      </c>
      <c r="B34" s="14" t="n">
        <v>1</v>
      </c>
      <c r="C34" s="14" t="n">
        <v>1</v>
      </c>
      <c r="D34" s="15" t="n">
        <v>18</v>
      </c>
      <c r="E34" s="14" t="n">
        <v>1</v>
      </c>
      <c r="F34" s="14" t="n">
        <v>0</v>
      </c>
      <c r="G34" s="24">
        <f>IF($B34="","",$B$10+$B$11*$B34+$B$12*$C34+$B$13*$D34+$B$14*$E34)</f>
        <v/>
      </c>
      <c r="H34" s="23">
        <f>IFERROR(1/(1+EXP(-$G34)),"")</f>
        <v/>
      </c>
      <c r="I34" s="21">
        <f>IF($H34="","",IF($H34&gt;=$B$46,1,0))</f>
        <v/>
      </c>
    </row>
    <row r="35">
      <c r="A35" s="13" t="inlineStr">
        <is>
          <t>BA-2217 · 20:15</t>
        </is>
      </c>
      <c r="B35" s="14" t="n">
        <v>1</v>
      </c>
      <c r="C35" s="14" t="n">
        <v>1</v>
      </c>
      <c r="D35" s="15" t="n">
        <v>11</v>
      </c>
      <c r="E35" s="14" t="n">
        <v>1</v>
      </c>
      <c r="F35" s="14" t="n">
        <v>0</v>
      </c>
      <c r="G35" s="24">
        <f>IF($B35="","",$B$10+$B$11*$B35+$B$12*$C35+$B$13*$D35+$B$14*$E35)</f>
        <v/>
      </c>
      <c r="H35" s="23">
        <f>IFERROR(1/(1+EXP(-$G35)),"")</f>
        <v/>
      </c>
      <c r="I35" s="21">
        <f>IF($H35="","",IF($H35&gt;=$B$46,1,0))</f>
        <v/>
      </c>
    </row>
    <row r="36">
      <c r="A36" s="13" t="inlineStr">
        <is>
          <t>BA-2218 · 14:00</t>
        </is>
      </c>
      <c r="B36" s="14" t="n">
        <v>0</v>
      </c>
      <c r="C36" s="14" t="n">
        <v>0</v>
      </c>
      <c r="D36" s="15" t="n">
        <v>2</v>
      </c>
      <c r="E36" s="14" t="n">
        <v>1</v>
      </c>
      <c r="F36" s="14" t="n">
        <v>0</v>
      </c>
      <c r="G36" s="24">
        <f>IF($B36="","",$B$10+$B$11*$B36+$B$12*$C36+$B$13*$D36+$B$14*$E36)</f>
        <v/>
      </c>
      <c r="H36" s="23">
        <f>IFERROR(1/(1+EXP(-$G36)),"")</f>
        <v/>
      </c>
      <c r="I36" s="21">
        <f>IF($H36="","",IF($H36&gt;=$B$46,1,0))</f>
        <v/>
      </c>
    </row>
    <row r="37">
      <c r="A37" s="13" t="inlineStr">
        <is>
          <t>BA-2219 · 20:40</t>
        </is>
      </c>
      <c r="B37" s="14" t="n">
        <v>1</v>
      </c>
      <c r="C37" s="14" t="n">
        <v>0</v>
      </c>
      <c r="D37" s="15" t="n">
        <v>5</v>
      </c>
      <c r="E37" s="14" t="n">
        <v>2</v>
      </c>
      <c r="F37" s="14" t="n">
        <v>0</v>
      </c>
      <c r="G37" s="24">
        <f>IF($B37="","",$B$10+$B$11*$B37+$B$12*$C37+$B$13*$D37+$B$14*$E37)</f>
        <v/>
      </c>
      <c r="H37" s="23">
        <f>IFERROR(1/(1+EXP(-$G37)),"")</f>
        <v/>
      </c>
      <c r="I37" s="21">
        <f>IF($H37="","",IF($H37&gt;=$B$46,1,0))</f>
        <v/>
      </c>
    </row>
    <row r="38">
      <c r="A38" s="13" t="inlineStr">
        <is>
          <t>BA-2220 · 14:35</t>
        </is>
      </c>
      <c r="B38" s="14" t="n">
        <v>0</v>
      </c>
      <c r="C38" s="14" t="n">
        <v>0</v>
      </c>
      <c r="D38" s="15" t="n">
        <v>4</v>
      </c>
      <c r="E38" s="14" t="n">
        <v>2</v>
      </c>
      <c r="F38" s="14" t="n">
        <v>0</v>
      </c>
      <c r="G38" s="24">
        <f>IF($B38="","",$B$10+$B$11*$B38+$B$12*$C38+$B$13*$D38+$B$14*$E38)</f>
        <v/>
      </c>
      <c r="H38" s="23">
        <f>IFERROR(1/(1+EXP(-$G38)),"")</f>
        <v/>
      </c>
      <c r="I38" s="21">
        <f>IF($H38="","",IF($H38&gt;=$B$46,1,0))</f>
        <v/>
      </c>
    </row>
    <row r="39">
      <c r="A39" s="13" t="inlineStr">
        <is>
          <t>BA-2221 · 15:10</t>
        </is>
      </c>
      <c r="B39" s="14" t="n">
        <v>0</v>
      </c>
      <c r="C39" s="14" t="n">
        <v>0</v>
      </c>
      <c r="D39" s="15" t="n">
        <v>11</v>
      </c>
      <c r="E39" s="14" t="n">
        <v>0</v>
      </c>
      <c r="F39" s="14" t="n">
        <v>0</v>
      </c>
      <c r="G39" s="24">
        <f>IF($B39="","",$B$10+$B$11*$B39+$B$12*$C39+$B$13*$D39+$B$14*$E39)</f>
        <v/>
      </c>
      <c r="H39" s="23">
        <f>IFERROR(1/(1+EXP(-$G39)),"")</f>
        <v/>
      </c>
      <c r="I39" s="21">
        <f>IF($H39="","",IF($H39&gt;=$B$46,1,0))</f>
        <v/>
      </c>
    </row>
    <row r="40">
      <c r="A40" s="13" t="inlineStr">
        <is>
          <t>BA-2222 · 15:50</t>
        </is>
      </c>
      <c r="B40" s="14" t="n">
        <v>0</v>
      </c>
      <c r="C40" s="14" t="n">
        <v>0</v>
      </c>
      <c r="D40" s="15" t="n">
        <v>53</v>
      </c>
      <c r="E40" s="14" t="n">
        <v>1</v>
      </c>
      <c r="F40" s="14" t="n">
        <v>0</v>
      </c>
      <c r="G40" s="24">
        <f>IF($B40="","",$B$10+$B$11*$B40+$B$12*$C40+$B$13*$D40+$B$14*$E40)</f>
        <v/>
      </c>
      <c r="H40" s="23">
        <f>IFERROR(1/(1+EXP(-$G40)),"")</f>
        <v/>
      </c>
      <c r="I40" s="21">
        <f>IF($H40="","",IF($H40&gt;=$B$46,1,0))</f>
        <v/>
      </c>
    </row>
    <row r="41">
      <c r="A41" s="13" t="inlineStr">
        <is>
          <t>BA-2223 · 16:20</t>
        </is>
      </c>
      <c r="B41" s="14" t="n">
        <v>0</v>
      </c>
      <c r="C41" s="14" t="n">
        <v>0</v>
      </c>
      <c r="D41" s="15" t="n">
        <v>21</v>
      </c>
      <c r="E41" s="14" t="n">
        <v>1</v>
      </c>
      <c r="F41" s="14" t="n">
        <v>0</v>
      </c>
      <c r="G41" s="24">
        <f>IF($B41="","",$B$10+$B$11*$B41+$B$12*$C41+$B$13*$D41+$B$14*$E41)</f>
        <v/>
      </c>
      <c r="H41" s="23">
        <f>IFERROR(1/(1+EXP(-$G41)),"")</f>
        <v/>
      </c>
      <c r="I41" s="21">
        <f>IF($H41="","",IF($H41&gt;=$B$46,1,0))</f>
        <v/>
      </c>
    </row>
    <row r="42">
      <c r="A42" s="13" t="inlineStr">
        <is>
          <t>BA-2224 · 21:10</t>
        </is>
      </c>
      <c r="B42" s="14" t="n">
        <v>1</v>
      </c>
      <c r="C42" s="14" t="n">
        <v>1</v>
      </c>
      <c r="D42" s="15" t="n">
        <v>5</v>
      </c>
      <c r="E42" s="14" t="n">
        <v>1</v>
      </c>
      <c r="F42" s="14" t="n">
        <v>1</v>
      </c>
      <c r="G42" s="24">
        <f>IF($B42="","",$B$10+$B$11*$B42+$B$12*$C42+$B$13*$D42+$B$14*$E42)</f>
        <v/>
      </c>
      <c r="H42" s="23">
        <f>IFERROR(1/(1+EXP(-$G42)),"")</f>
        <v/>
      </c>
      <c r="I42" s="21">
        <f>IF($H42="","",IF($H42&gt;=$B$46,1,0))</f>
        <v/>
      </c>
    </row>
    <row r="43"/>
    <row r="44" ht="45" customHeight="1">
      <c r="A44" s="10"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5">
      <c r="A45" s="6" t="inlineStr">
        <is>
          <t>STEP 3 — the threshold you choose, and what it costs you</t>
        </is>
      </c>
      <c r="B45" s="7" t="n"/>
      <c r="C45" s="7" t="n"/>
      <c r="D45" s="7" t="n"/>
      <c r="E45" s="7" t="n"/>
      <c r="F45" s="7" t="n"/>
      <c r="G45" s="7" t="n"/>
      <c r="H45" s="7" t="n"/>
      <c r="I45" s="7" t="n"/>
    </row>
    <row r="46" ht="60" customHeight="1">
      <c r="A46" s="8" t="inlineStr">
        <is>
          <t>Flag a contact at this probability or above</t>
        </is>
      </c>
      <c r="B46" s="36" t="n">
        <v>0.2</v>
      </c>
      <c r="C46" s="10"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7" ht="45" customHeight="1">
      <c r="A47" s="8" t="inlineStr">
        <is>
          <t>AUC the tool reported</t>
        </is>
      </c>
      <c r="B47" s="37" t="n">
        <v>0.74</v>
      </c>
      <c r="C47" s="10"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8"/>
    <row r="49">
      <c r="A49" s="6" t="inlineStr">
        <is>
          <t>STEP 4 — the classification table at that threshold</t>
        </is>
      </c>
      <c r="B49" s="7" t="n"/>
      <c r="C49" s="7" t="n"/>
      <c r="D49" s="7" t="n"/>
      <c r="E49" s="7" t="n"/>
      <c r="F49" s="7" t="n"/>
      <c r="G49" s="7" t="n"/>
      <c r="H49" s="7" t="n"/>
      <c r="I49" s="7" t="n"/>
    </row>
    <row r="50" ht="30" customHeight="1">
      <c r="A50" s="12" t="inlineStr">
        <is>
          <t>What the model said</t>
        </is>
      </c>
      <c r="B50" s="12" t="inlineStr">
        <is>
          <t>Actually reopened</t>
        </is>
      </c>
      <c r="C50" s="12" t="inlineStr">
        <is>
          <t>Did not reopen</t>
        </is>
      </c>
      <c r="D50" s="12" t="inlineStr">
        <is>
          <t>Total</t>
        </is>
      </c>
      <c r="E50" s="12" t="inlineStr"/>
      <c r="F50" s="12" t="inlineStr"/>
      <c r="G50" s="12" t="inlineStr"/>
      <c r="H50" s="12" t="inlineStr"/>
      <c r="I50" s="12" t="inlineStr"/>
    </row>
    <row r="51">
      <c r="A51" s="8" t="inlineStr">
        <is>
          <t>Flagged — predicted reopen</t>
        </is>
      </c>
      <c r="B51" s="16">
        <f>SUMPRODUCT(($I$19:$I$42=1)*($F$19:$F$42=1))</f>
        <v/>
      </c>
      <c r="C51" s="16">
        <f>SUMPRODUCT(($I$19:$I$42=1)*($F$19:$F$42=0))</f>
        <v/>
      </c>
      <c r="D51" s="16">
        <f>SUM($B51:$C51)</f>
        <v/>
      </c>
    </row>
    <row r="52">
      <c r="A52" s="8" t="inlineStr">
        <is>
          <t>Not flagged</t>
        </is>
      </c>
      <c r="B52" s="16">
        <f>SUMPRODUCT(($I$19:$I$42=0)*($F$19:$F$42=1))</f>
        <v/>
      </c>
      <c r="C52" s="16">
        <f>SUMPRODUCT(($I$19:$I$42=0)*($F$19:$F$42=0))</f>
        <v/>
      </c>
      <c r="D52" s="16">
        <f>SUM($B52:$C52)</f>
        <v/>
      </c>
    </row>
    <row r="53">
      <c r="A53" s="8" t="inlineStr">
        <is>
          <t>Total</t>
        </is>
      </c>
      <c r="B53" s="16">
        <f>SUM($B$51:$B$52)</f>
        <v/>
      </c>
      <c r="C53" s="16">
        <f>SUM($C$51:$C$52)</f>
        <v/>
      </c>
      <c r="D53" s="16">
        <f>SUM($D$51:$D$52)</f>
        <v/>
      </c>
    </row>
    <row r="54" ht="45" customHeight="1">
      <c r="A54" s="10"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5"/>
    <row r="56">
      <c r="A56" s="6" t="inlineStr">
        <is>
          <t>STEP 5 — what that table says about the model</t>
        </is>
      </c>
      <c r="B56" s="7" t="n"/>
      <c r="C56" s="7" t="n"/>
      <c r="D56" s="7" t="n"/>
      <c r="E56" s="7" t="n"/>
      <c r="F56" s="7" t="n"/>
      <c r="G56" s="7" t="n"/>
      <c r="H56" s="7" t="n"/>
      <c r="I56" s="7" t="n"/>
    </row>
    <row r="57" ht="30" customHeight="1">
      <c r="A57" s="12" t="inlineStr">
        <is>
          <t>Measure</t>
        </is>
      </c>
      <c r="B57" s="12" t="inlineStr">
        <is>
          <t>Value</t>
        </is>
      </c>
      <c r="C57" s="12" t="inlineStr">
        <is>
          <t>What it tells you</t>
        </is>
      </c>
      <c r="D57" s="12" t="inlineStr"/>
      <c r="E57" s="12" t="inlineStr"/>
      <c r="F57" s="12" t="inlineStr"/>
      <c r="G57" s="12" t="inlineStr"/>
      <c r="H57" s="12" t="inlineStr"/>
      <c r="I57" s="12" t="inlineStr"/>
    </row>
    <row r="58" ht="30" customHeight="1">
      <c r="A58" s="8" t="inlineStr">
        <is>
          <t>Sensitivity — reopens you caught</t>
        </is>
      </c>
      <c r="B58" s="23">
        <f>IFERROR($B$51/($B$51+$B$52),"")</f>
        <v/>
      </c>
      <c r="C58" s="10" t="inlineStr">
        <is>
          <t>Of the contacts that did reopen, the share the model flagged. This is the number the improvement is actually paid on: a reopen you never flagged is a reopen you never prevented.</t>
        </is>
      </c>
    </row>
    <row r="59" ht="30" customHeight="1">
      <c r="A59" s="8" t="inlineStr">
        <is>
          <t>Specificity — quiet contacts left alone</t>
        </is>
      </c>
      <c r="B59" s="23">
        <f>IFERROR($C$52/($C$52+$C$51),"")</f>
        <v/>
      </c>
      <c r="C59" s="10" t="inlineStr">
        <is>
          <t>Of the contacts that did not reopen, the share the model correctly left alone. Falls as you lower the threshold; that is the trade.</t>
        </is>
      </c>
    </row>
    <row r="60" ht="30" customHeight="1">
      <c r="A60" s="8" t="inlineStr">
        <is>
          <t>Precision — flags that were right</t>
        </is>
      </c>
      <c r="B60" s="23">
        <f>IFERROR($B$51/($B$51+$C$51),"")</f>
        <v/>
      </c>
      <c r="C60" s="10" t="inlineStr">
        <is>
          <t>Of the contacts you flagged, the share that really reopened. At a 14% base rate this is always the ugly number, and it is the one that decides whether the team trusts the flag.</t>
        </is>
      </c>
    </row>
    <row r="61" ht="45" customHeight="1">
      <c r="A61" s="8" t="inlineStr">
        <is>
          <t>Accuracy — rows called correctly</t>
        </is>
      </c>
      <c r="B61" s="23">
        <f>IFERROR(($B$51+$C$52)/($B$51+$C$51+$B$52+$C$52),"")</f>
        <v/>
      </c>
      <c r="C61" s="10" t="inlineStr">
        <is>
          <t>The share of all rows called right. Almost useless on its own: predicting 'never reopens' for every row scores whatever the base rate below leaves it, and prevents nothing. Quote it only beside that base rate.</t>
        </is>
      </c>
    </row>
    <row r="62" ht="30" customHeight="1">
      <c r="A62" s="8" t="inlineStr">
        <is>
          <t>Base rate — share that actually reopened</t>
        </is>
      </c>
      <c r="B62" s="23">
        <f>IFERROR(($B$51+$B$52)/($B$51+$C$51+$B$52+$C$52),"")</f>
        <v/>
      </c>
      <c r="C62" s="10" t="inlineStr">
        <is>
          <t>What you would score by always guessing 'no'. Accuracy has to beat this by a wide margin before it means anything at all.</t>
        </is>
      </c>
    </row>
    <row r="63" ht="30" customHeight="1">
      <c r="A63" s="8" t="inlineStr">
        <is>
          <t>Verdict at this threshold</t>
        </is>
      </c>
      <c r="B63" s="17">
        <f>IF($B$51+$B$52=0,"NO REOPENS IN THE SAMPLE",IF($B$51/($B$51+$B$52)&lt;0.5,"MISSES MORE THAN HALF — lower the threshold",IF($B$51/($B$51+$C$51)&lt;0.2,"TOO MANY FALSE ALARMS — raise the threshold","USABLE FOR TARGETING — check it against the cost of a flag")))</f>
        <v/>
      </c>
      <c r="C63" s="10" t="inlineStr">
        <is>
          <t>Sensitivity is what the model buys you; precision is what it costs the team. Move the threshold in step 3 and watch both move.</t>
        </is>
      </c>
    </row>
    <row r="64"/>
    <row r="65">
      <c r="A65" s="6" t="inlineStr">
        <is>
          <t>THE DECISION RULE — before this leaves the room</t>
        </is>
      </c>
      <c r="B65" s="7" t="n"/>
      <c r="C65" s="7" t="n"/>
      <c r="D65" s="7" t="n"/>
      <c r="E65" s="7" t="n"/>
      <c r="F65" s="7" t="n"/>
      <c r="G65" s="7" t="n"/>
      <c r="H65" s="7" t="n"/>
      <c r="I65" s="7" t="n"/>
    </row>
    <row r="66" ht="45" customHeight="1">
      <c r="A66" s="10"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7" ht="60" customHeight="1">
      <c r="A67" s="10"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8" ht="60" customHeight="1">
      <c r="A68" s="10"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9" ht="75" customHeight="1">
      <c r="A69" s="10"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6:I56"/>
    <mergeCell ref="A2:I2"/>
    <mergeCell ref="A5:I5"/>
    <mergeCell ref="A17:I17"/>
    <mergeCell ref="A8:I8"/>
    <mergeCell ref="C62:I62"/>
    <mergeCell ref="A4:I4"/>
    <mergeCell ref="C58:I58"/>
    <mergeCell ref="A68:I68"/>
    <mergeCell ref="A44:I44"/>
    <mergeCell ref="A67:I67"/>
    <mergeCell ref="C47:I47"/>
    <mergeCell ref="C63:I63"/>
    <mergeCell ref="A15:I15"/>
    <mergeCell ref="A49:I49"/>
    <mergeCell ref="C59:I59"/>
    <mergeCell ref="A1:I1"/>
    <mergeCell ref="A45:I45"/>
    <mergeCell ref="C46:I46"/>
    <mergeCell ref="A6:I6"/>
    <mergeCell ref="C60:I60"/>
    <mergeCell ref="A69:I69"/>
    <mergeCell ref="A54:I54"/>
  </mergeCells>
  <dataValidations count="2">
    <dataValidation sqref="B46"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