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Pick your chart" sheetId="2" state="visible" r:id="rId2"/>
    <sheet name="I-MR" sheetId="3" state="visible" r:id="rId3"/>
    <sheet name="Laney p-prime" sheetId="4" state="visible" r:id="rId4"/>
    <sheet name="Laney u-prime" sheetId="5" state="visible" r:id="rId5"/>
    <sheet name="Xbar-R" sheetId="6" state="visible" r:id="rId6"/>
    <sheet name="EWMA" sheetId="7" state="visible" r:id="rId7"/>
    <sheet name="CUSUM" sheetId="8" state="visible" r:id="rId8"/>
    <sheet name="t and g (rare events)" sheetId="9" state="visible" r:id="rId9"/>
  </sheets>
  <definedNames/>
  <calcPr calcId="124519" fullCalcOnLoad="1"/>
</workbook>
</file>

<file path=xl/styles.xml><?xml version="1.0" encoding="utf-8"?>
<styleSheet xmlns="http://schemas.openxmlformats.org/spreadsheetml/2006/main">
  <numFmts count="5">
    <numFmt numFmtId="164" formatCode="#,##0.000"/>
    <numFmt numFmtId="165" formatCode="0.0000"/>
    <numFmt numFmtId="166" formatCode="#,##0.0000"/>
    <numFmt numFmtId="167" formatCode="0.0"/>
    <numFmt numFmtId="168" formatCode="#,##0.0"/>
  </numFmts>
  <fonts count="9">
    <font>
      <name val="Calibri"/>
      <family val="2"/>
      <color theme="1"/>
      <sz val="11"/>
      <scheme val="minor"/>
    </font>
    <font>
      <b val="1"/>
      <color rgb="FFFFFFFF"/>
      <sz val="15"/>
    </font>
    <font>
      <i val="1"/>
      <color rgb="FF6B7280"/>
      <sz val="9"/>
    </font>
    <font>
      <color rgb="FFFFFFFF"/>
      <sz val="9"/>
    </font>
    <font>
      <b val="1"/>
      <sz val="11"/>
    </font>
    <font>
      <color rgb="FF1D4ED8"/>
      <sz val="11"/>
    </font>
    <font>
      <b val="1"/>
      <color rgb="FFFFFFFF"/>
      <sz val="10"/>
    </font>
    <font>
      <b val="1"/>
      <color rgb="FFB45309"/>
    </font>
    <font>
      <sz val="11"/>
    </font>
  </fonts>
  <fills count="8">
    <fill>
      <patternFill/>
    </fill>
    <fill>
      <patternFill patternType="gray125"/>
    </fill>
    <fill>
      <patternFill patternType="solid">
        <fgColor rgb="FF151B24"/>
      </patternFill>
    </fill>
    <fill>
      <patternFill patternType="solid">
        <fgColor rgb="FFFFF9E3"/>
      </patternFill>
    </fill>
    <fill>
      <patternFill patternType="solid">
        <fgColor rgb="FFEEF1F6"/>
      </patternFill>
    </fill>
    <fill>
      <patternFill patternType="solid">
        <fgColor rgb="FFF2F7FF"/>
      </patternFill>
    </fill>
    <fill>
      <patternFill patternType="solid">
        <fgColor rgb="FF333C49"/>
      </patternFill>
    </fill>
    <fill>
      <patternFill patternType="solid">
        <fgColor rgb="FFECFAEF"/>
      </patternFill>
    </fill>
  </fills>
  <borders count="2">
    <border>
      <left/>
      <right/>
      <top/>
      <bottom/>
      <diagonal/>
    </border>
    <border>
      <bottom style="thin">
        <color rgb="FFD8DEE7"/>
      </bottom>
    </border>
  </borders>
  <cellStyleXfs count="1">
    <xf numFmtId="0" fontId="0" fillId="0" borderId="0"/>
  </cellStyleXfs>
  <cellXfs count="37">
    <xf numFmtId="0" fontId="0" fillId="0" borderId="0" pivotButton="0" quotePrefix="0" xfId="0"/>
    <xf numFmtId="0" fontId="4" fillId="0" borderId="0" applyAlignment="1" pivotButton="0" quotePrefix="0" xfId="0">
      <alignment vertical="top" wrapText="1"/>
    </xf>
    <xf numFmtId="0" fontId="8" fillId="0" borderId="0" applyAlignment="1" pivotButton="0" quotePrefix="0" xfId="0">
      <alignment vertical="top" wrapText="1"/>
    </xf>
    <xf numFmtId="0" fontId="1" fillId="2" borderId="0" pivotButton="0" quotePrefix="0" xfId="0"/>
    <xf numFmtId="0" fontId="0" fillId="2" borderId="0" pivotButton="0" quotePrefix="0" xfId="0"/>
    <xf numFmtId="0" fontId="2" fillId="0" borderId="0" pivotButton="0" quotePrefix="0" xfId="0"/>
    <xf numFmtId="0" fontId="6" fillId="6" borderId="0" applyAlignment="1" pivotButton="0" quotePrefix="0" xfId="0">
      <alignment vertical="center" wrapText="1"/>
    </xf>
    <xf numFmtId="0" fontId="0" fillId="0" borderId="1" applyAlignment="1" pivotButton="0" quotePrefix="0" xfId="0">
      <alignment vertical="top" wrapText="1"/>
    </xf>
    <xf numFmtId="0" fontId="7" fillId="0" borderId="1" applyAlignment="1" pivotButton="0" quotePrefix="0" xfId="0">
      <alignment vertical="top"/>
    </xf>
    <xf numFmtId="0" fontId="4" fillId="4" borderId="0" pivotButton="0" quotePrefix="0" xfId="0"/>
    <xf numFmtId="0" fontId="0" fillId="4" borderId="0" pivotButton="0" quotePrefix="0" xfId="0"/>
    <xf numFmtId="0" fontId="0" fillId="0" borderId="0" applyAlignment="1" pivotButton="0" quotePrefix="0" xfId="0">
      <alignment vertical="top" wrapText="1"/>
    </xf>
    <xf numFmtId="0" fontId="4" fillId="0" borderId="0" pivotButton="0" quotePrefix="0" xfId="0"/>
    <xf numFmtId="1" fontId="0" fillId="3" borderId="1" pivotButton="0" quotePrefix="0" xfId="0"/>
    <xf numFmtId="1" fontId="5" fillId="5" borderId="1" pivotButton="0" quotePrefix="0" xfId="0"/>
    <xf numFmtId="0" fontId="2" fillId="0" borderId="0" applyAlignment="1" pivotButton="0" quotePrefix="0" xfId="0">
      <alignment vertical="center" wrapText="1"/>
    </xf>
    <xf numFmtId="4" fontId="5" fillId="5" borderId="1" pivotButton="0" quotePrefix="0" xfId="0"/>
    <xf numFmtId="4" fontId="0" fillId="7" borderId="1" pivotButton="0" quotePrefix="0" xfId="0"/>
    <xf numFmtId="0" fontId="5" fillId="5" borderId="1" pivotButton="0" quotePrefix="0" xfId="0"/>
    <xf numFmtId="0" fontId="3" fillId="0" borderId="0" pivotButton="0" quotePrefix="0" xfId="0"/>
    <xf numFmtId="4" fontId="0" fillId="3" borderId="1" pivotButton="0" quotePrefix="0" xfId="0"/>
    <xf numFmtId="10" fontId="5" fillId="5" borderId="1" pivotButton="0" quotePrefix="0" xfId="0"/>
    <xf numFmtId="164" fontId="5" fillId="5" borderId="1" pivotButton="0" quotePrefix="0" xfId="0"/>
    <xf numFmtId="49" fontId="5" fillId="5" borderId="1" pivotButton="0" quotePrefix="0" xfId="0"/>
    <xf numFmtId="0" fontId="6" fillId="6" borderId="0" pivotButton="0" quotePrefix="0" xfId="0"/>
    <xf numFmtId="3" fontId="0" fillId="7" borderId="1" pivotButton="0" quotePrefix="0" xfId="0"/>
    <xf numFmtId="165" fontId="5" fillId="5" borderId="1" pivotButton="0" quotePrefix="0" xfId="0"/>
    <xf numFmtId="10" fontId="0" fillId="0" borderId="0" pivotButton="0" quotePrefix="0" xfId="0"/>
    <xf numFmtId="3" fontId="0" fillId="3" borderId="1" pivotButton="0" quotePrefix="0" xfId="0"/>
    <xf numFmtId="166" fontId="5" fillId="5" borderId="1" pivotButton="0" quotePrefix="0" xfId="0"/>
    <xf numFmtId="165" fontId="0" fillId="0" borderId="0" pivotButton="0" quotePrefix="0" xfId="0"/>
    <xf numFmtId="4" fontId="0" fillId="0" borderId="0" pivotButton="0" quotePrefix="0" xfId="0"/>
    <xf numFmtId="2" fontId="5" fillId="3" borderId="1" pivotButton="0" quotePrefix="0" xfId="0"/>
    <xf numFmtId="167" fontId="5" fillId="3" borderId="1" pivotButton="0" quotePrefix="0" xfId="0"/>
    <xf numFmtId="3" fontId="5" fillId="5" borderId="1" pivotButton="0" quotePrefix="0" xfId="0"/>
    <xf numFmtId="168" fontId="0" fillId="0" borderId="0" pivotButton="0" quotePrefix="0" xfId="0"/>
    <xf numFmtId="3"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roundedCorners val="0"/>
  <style val="2"/>
  <chart>
    <title>
      <tx>
        <rich>
          <a:bodyPr/>
          <a:p>
            <a:pPr>
              <a:defRPr/>
            </a:pPr>
            <a:r>
              <a:t>Individuals — is the process stable?</a:t>
            </a:r>
          </a:p>
        </rich>
      </tx>
    </title>
    <plotArea>
      <lineChart>
        <grouping val="standard"/>
        <ser>
          <idx val="0"/>
          <order val="0"/>
          <tx>
            <v>Out of control</v>
          </tx>
          <spPr>
            <a:ln>
              <a:noFill/>
              <a:prstDash val="solid"/>
            </a:ln>
          </spPr>
          <marker>
            <symbol val="circle"/>
            <size val="11"/>
            <spPr>
              <a:solidFill>
                <a:srgbClr val="C0392B"/>
              </a:solidFill>
              <a:ln>
                <a:solidFill>
                  <a:srgbClr val="C0392B"/>
                </a:solidFill>
                <a:prstDash val="solid"/>
              </a:ln>
            </spPr>
          </marker>
          <cat>
            <numRef>
              <f>'I-MR'!$A$14:$A$37</f>
            </numRef>
          </cat>
          <val>
            <numRef>
              <f>'I-MR'!$AD$14:$AD$37</f>
            </numRef>
          </val>
          <smooth val="0"/>
        </ser>
        <ser>
          <idx val="1"/>
          <order val="1"/>
          <tx>
            <v>8 in a row one side — shift</v>
          </tx>
          <spPr>
            <a:ln>
              <a:noFill/>
              <a:prstDash val="solid"/>
            </a:ln>
          </spPr>
          <marker>
            <symbol val="circle"/>
            <size val="11"/>
            <spPr>
              <a:solidFill>
                <a:srgbClr val="B45309"/>
              </a:solidFill>
              <a:ln>
                <a:solidFill>
                  <a:srgbClr val="B45309"/>
                </a:solidFill>
                <a:prstDash val="solid"/>
              </a:ln>
            </spPr>
          </marker>
          <cat>
            <numRef>
              <f>'I-MR'!$A$14:$A$37</f>
            </numRef>
          </cat>
          <val>
            <numRef>
              <f>'I-MR'!$AE$14:$AE$37</f>
            </numRef>
          </val>
          <smooth val="0"/>
        </ser>
        <ser>
          <idx val="2"/>
          <order val="2"/>
          <tx>
            <v>Value</v>
          </tx>
          <spPr>
            <a:ln w="28000">
              <a:solidFill>
                <a:srgbClr val="1F4E79"/>
              </a:solidFill>
              <a:prstDash val="solid"/>
            </a:ln>
          </spPr>
          <marker>
            <symbol val="circle"/>
            <size val="6"/>
            <spPr>
              <a:solidFill>
                <a:srgbClr val="1F4E79"/>
              </a:solidFill>
              <a:ln>
                <a:prstDash val="solid"/>
              </a:ln>
            </spPr>
          </marker>
          <cat>
            <numRef>
              <f>'I-MR'!$A$14:$A$37</f>
            </numRef>
          </cat>
          <val>
            <numRef>
              <f>'I-MR'!$B$14:$B$37</f>
            </numRef>
          </val>
          <smooth val="0"/>
        </ser>
        <ser>
          <idx val="3"/>
          <order val="3"/>
          <tx>
            <v>Centre line</v>
          </tx>
          <spPr>
            <a:ln w="28000">
              <a:solidFill>
                <a:srgbClr val="3F8F5A"/>
              </a:solidFill>
              <a:prstDash val="solid"/>
            </a:ln>
          </spPr>
          <marker>
            <symbol val="none"/>
            <spPr>
              <a:ln>
                <a:prstDash val="solid"/>
              </a:ln>
            </spPr>
          </marker>
          <cat>
            <numRef>
              <f>'I-MR'!$A$14:$A$37</f>
            </numRef>
          </cat>
          <val>
            <numRef>
              <f>'I-MR'!$D$14:$D$37</f>
            </numRef>
          </val>
          <smooth val="0"/>
        </ser>
        <ser>
          <idx val="4"/>
          <order val="4"/>
          <tx>
            <v>UCL</v>
          </tx>
          <spPr>
            <a:ln w="16000">
              <a:solidFill>
                <a:srgbClr val="C0392B"/>
              </a:solidFill>
              <a:prstDash val="dash"/>
            </a:ln>
          </spPr>
          <marker>
            <symbol val="none"/>
            <spPr>
              <a:ln>
                <a:prstDash val="solid"/>
              </a:ln>
            </spPr>
          </marker>
          <cat>
            <numRef>
              <f>'I-MR'!$A$14:$A$37</f>
            </numRef>
          </cat>
          <val>
            <numRef>
              <f>'I-MR'!$E$14:$E$37</f>
            </numRef>
          </val>
          <smooth val="0"/>
        </ser>
        <ser>
          <idx val="5"/>
          <order val="5"/>
          <tx>
            <v>LCL</v>
          </tx>
          <spPr>
            <a:ln w="16000">
              <a:solidFill>
                <a:srgbClr val="C0392B"/>
              </a:solidFill>
              <a:prstDash val="dash"/>
            </a:ln>
          </spPr>
          <marker>
            <symbol val="none"/>
            <spPr>
              <a:ln>
                <a:prstDash val="solid"/>
              </a:ln>
            </spPr>
          </marker>
          <cat>
            <numRef>
              <f>'I-MR'!$A$14:$A$37</f>
            </numRef>
          </cat>
          <val>
            <numRef>
              <f>'I-MR'!$F$14:$F$37</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480.6867971014493"/>
          <min val="351.8965362318841"/>
        </scaling>
        <delete val="0"/>
        <axPos val="l"/>
        <majorGridlines/>
        <majorTickMark val="none"/>
        <minorTickMark val="none"/>
        <tickLblPos val="nextTo"/>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roundedCorners val="0"/>
  <style val="2"/>
  <chart>
    <title>
      <tx>
        <rich>
          <a:bodyPr/>
          <a:p>
            <a:pPr>
              <a:defRPr/>
            </a:pPr>
            <a:r>
              <a:t>Moving range — did it jump between periods?</a:t>
            </a:r>
          </a:p>
        </rich>
      </tx>
    </title>
    <plotArea>
      <lineChart>
        <grouping val="standard"/>
        <ser>
          <idx val="0"/>
          <order val="0"/>
          <tx>
            <v>Out of control</v>
          </tx>
          <spPr>
            <a:ln>
              <a:noFill/>
              <a:prstDash val="solid"/>
            </a:ln>
          </spPr>
          <marker>
            <symbol val="circle"/>
            <size val="11"/>
            <spPr>
              <a:solidFill>
                <a:srgbClr val="C0392B"/>
              </a:solidFill>
              <a:ln>
                <a:solidFill>
                  <a:srgbClr val="C0392B"/>
                </a:solidFill>
                <a:prstDash val="solid"/>
              </a:ln>
            </spPr>
          </marker>
          <cat>
            <numRef>
              <f>'I-MR'!$A$14:$A$37</f>
            </numRef>
          </cat>
          <val>
            <numRef>
              <f>'I-MR'!$AF$14:$AF$37</f>
            </numRef>
          </val>
          <smooth val="0"/>
        </ser>
        <ser>
          <idx val="1"/>
          <order val="1"/>
          <tx>
            <v>Moving range</v>
          </tx>
          <spPr>
            <a:ln w="28000">
              <a:solidFill>
                <a:srgbClr val="6B4FA0"/>
              </a:solidFill>
              <a:prstDash val="solid"/>
            </a:ln>
          </spPr>
          <marker>
            <symbol val="circle"/>
            <size val="6"/>
            <spPr>
              <a:solidFill>
                <a:srgbClr val="6B4FA0"/>
              </a:solidFill>
              <a:ln>
                <a:prstDash val="solid"/>
              </a:ln>
            </spPr>
          </marker>
          <cat>
            <numRef>
              <f>'I-MR'!$A$14:$A$37</f>
            </numRef>
          </cat>
          <val>
            <numRef>
              <f>'I-MR'!$C$14:$C$37</f>
            </numRef>
          </val>
          <smooth val="0"/>
        </ser>
        <ser>
          <idx val="2"/>
          <order val="2"/>
          <tx>
            <v>MR centre line</v>
          </tx>
          <spPr>
            <a:ln w="28000">
              <a:solidFill>
                <a:srgbClr val="3F8F5A"/>
              </a:solidFill>
              <a:prstDash val="solid"/>
            </a:ln>
          </spPr>
          <marker>
            <symbol val="none"/>
            <spPr>
              <a:ln>
                <a:prstDash val="solid"/>
              </a:ln>
            </spPr>
          </marker>
          <cat>
            <numRef>
              <f>'I-MR'!$A$14:$A$37</f>
            </numRef>
          </cat>
          <val>
            <numRef>
              <f>'I-MR'!$G$14:$G$37</f>
            </numRef>
          </val>
          <smooth val="0"/>
        </ser>
        <ser>
          <idx val="3"/>
          <order val="3"/>
          <tx>
            <v>MR UCL</v>
          </tx>
          <spPr>
            <a:ln w="16000">
              <a:solidFill>
                <a:srgbClr val="C0392B"/>
              </a:solidFill>
              <a:prstDash val="dash"/>
            </a:ln>
          </spPr>
          <marker>
            <symbol val="none"/>
            <spPr>
              <a:ln>
                <a:prstDash val="solid"/>
              </a:ln>
            </spPr>
          </marker>
          <cat>
            <numRef>
              <f>'I-MR'!$A$14:$A$37</f>
            </numRef>
          </cat>
          <val>
            <numRef>
              <f>'I-MR'!$H$14:$H$37</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72.49899130434784"/>
          <min val="0"/>
        </scaling>
        <delete val="0"/>
        <axPos val="l"/>
        <majorGridlines/>
        <majorTickMark val="none"/>
        <minorTickMark val="none"/>
        <tickLblPos val="nextTo"/>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roundedCorners val="0"/>
  <style val="2"/>
  <chart>
    <title>
      <tx>
        <rich>
          <a:bodyPr/>
          <a:p>
            <a:pPr>
              <a:defRPr/>
            </a:pPr>
            <a:r>
              <a:t>Laney p′ — limits that survive 8,000 contacts a day</a:t>
            </a:r>
          </a:p>
        </rich>
      </tx>
    </title>
    <plotArea>
      <lineChart>
        <grouping val="standard"/>
        <ser>
          <idx val="0"/>
          <order val="0"/>
          <tx>
            <v>Out of control</v>
          </tx>
          <spPr>
            <a:ln>
              <a:noFill/>
              <a:prstDash val="solid"/>
            </a:ln>
          </spPr>
          <marker>
            <symbol val="circle"/>
            <size val="11"/>
            <spPr>
              <a:solidFill>
                <a:srgbClr val="C0392B"/>
              </a:solidFill>
              <a:ln>
                <a:solidFill>
                  <a:srgbClr val="C0392B"/>
                </a:solidFill>
                <a:prstDash val="solid"/>
              </a:ln>
            </spPr>
          </marker>
          <cat>
            <numRef>
              <f>'Laney p-prime'!$A$14:$A$37</f>
            </numRef>
          </cat>
          <val>
            <numRef>
              <f>'Laney p-prime'!$AD$14:$AD$37</f>
            </numRef>
          </val>
          <smooth val="0"/>
        </ser>
        <ser>
          <idx val="1"/>
          <order val="1"/>
          <tx>
            <v>8 in a row one side — shift</v>
          </tx>
          <spPr>
            <a:ln>
              <a:noFill/>
              <a:prstDash val="solid"/>
            </a:ln>
          </spPr>
          <marker>
            <symbol val="circle"/>
            <size val="11"/>
            <spPr>
              <a:solidFill>
                <a:srgbClr val="B45309"/>
              </a:solidFill>
              <a:ln>
                <a:solidFill>
                  <a:srgbClr val="B45309"/>
                </a:solidFill>
                <a:prstDash val="solid"/>
              </a:ln>
            </spPr>
          </marker>
          <cat>
            <numRef>
              <f>'Laney p-prime'!$A$14:$A$37</f>
            </numRef>
          </cat>
          <val>
            <numRef>
              <f>'Laney p-prime'!$AE$14:$AE$37</f>
            </numRef>
          </val>
          <smooth val="0"/>
        </ser>
        <ser>
          <idx val="2"/>
          <order val="2"/>
          <tx>
            <v>Proportion</v>
          </tx>
          <spPr>
            <a:ln w="28000">
              <a:solidFill>
                <a:srgbClr val="1F4E79"/>
              </a:solidFill>
              <a:prstDash val="solid"/>
            </a:ln>
          </spPr>
          <marker>
            <symbol val="circle"/>
            <size val="6"/>
            <spPr>
              <a:solidFill>
                <a:srgbClr val="1F4E79"/>
              </a:solidFill>
              <a:ln>
                <a:prstDash val="solid"/>
              </a:ln>
            </spPr>
          </marker>
          <cat>
            <numRef>
              <f>'Laney p-prime'!$A$14:$A$37</f>
            </numRef>
          </cat>
          <val>
            <numRef>
              <f>'Laney p-prime'!$D$14:$D$37</f>
            </numRef>
          </val>
          <smooth val="0"/>
        </ser>
        <ser>
          <idx val="3"/>
          <order val="3"/>
          <tx>
            <v>Centre line</v>
          </tx>
          <spPr>
            <a:ln w="28000">
              <a:solidFill>
                <a:srgbClr val="3F8F5A"/>
              </a:solidFill>
              <a:prstDash val="solid"/>
            </a:ln>
          </spPr>
          <marker>
            <symbol val="none"/>
            <spPr>
              <a:ln>
                <a:prstDash val="solid"/>
              </a:ln>
            </spPr>
          </marker>
          <cat>
            <numRef>
              <f>'Laney p-prime'!$A$14:$A$37</f>
            </numRef>
          </cat>
          <val>
            <numRef>
              <f>'Laney p-prime'!$M$14:$M$37</f>
            </numRef>
          </val>
          <smooth val="0"/>
        </ser>
        <ser>
          <idx val="4"/>
          <order val="4"/>
          <tx>
            <v>UCL</v>
          </tx>
          <spPr>
            <a:ln w="16000">
              <a:solidFill>
                <a:srgbClr val="C0392B"/>
              </a:solidFill>
              <a:prstDash val="dash"/>
            </a:ln>
          </spPr>
          <marker>
            <symbol val="none"/>
            <spPr>
              <a:ln>
                <a:prstDash val="solid"/>
              </a:ln>
            </spPr>
          </marker>
          <cat>
            <numRef>
              <f>'Laney p-prime'!$A$14:$A$37</f>
            </numRef>
          </cat>
          <val>
            <numRef>
              <f>'Laney p-prime'!$K$14:$K$37</f>
            </numRef>
          </val>
          <smooth val="0"/>
        </ser>
        <ser>
          <idx val="5"/>
          <order val="5"/>
          <tx>
            <v>LCL</v>
          </tx>
          <spPr>
            <a:ln w="16000">
              <a:solidFill>
                <a:srgbClr val="C0392B"/>
              </a:solidFill>
              <a:prstDash val="dash"/>
            </a:ln>
          </spPr>
          <marker>
            <symbol val="none"/>
            <spPr>
              <a:ln>
                <a:prstDash val="solid"/>
              </a:ln>
            </spPr>
          </marker>
          <cat>
            <numRef>
              <f>'Laney p-prime'!$A$14:$A$37</f>
            </numRef>
          </cat>
          <val>
            <numRef>
              <f>'Laney p-prime'!$L$14:$L$37</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0.7986299651466527"/>
          <min val="0.6419525892095937"/>
        </scaling>
        <delete val="0"/>
        <axPos val="l"/>
        <majorGridlines/>
        <numFmt formatCode="0.0%" sourceLinked="0"/>
        <majorTickMark val="none"/>
        <minorTickMark val="none"/>
        <tickLblPos val="nextTo"/>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roundedCorners val="0"/>
  <style val="2"/>
  <chart>
    <title>
      <tx>
        <rich>
          <a:bodyPr/>
          <a:p>
            <a:pPr>
              <a:defRPr/>
            </a:pPr>
            <a:r>
              <a:t>Laney u′ — defects per unit</a:t>
            </a:r>
          </a:p>
        </rich>
      </tx>
    </title>
    <plotArea>
      <lineChart>
        <grouping val="standard"/>
        <ser>
          <idx val="0"/>
          <order val="0"/>
          <tx>
            <v>Out of control</v>
          </tx>
          <spPr>
            <a:ln>
              <a:noFill/>
              <a:prstDash val="solid"/>
            </a:ln>
          </spPr>
          <marker>
            <symbol val="circle"/>
            <size val="11"/>
            <spPr>
              <a:solidFill>
                <a:srgbClr val="C0392B"/>
              </a:solidFill>
              <a:ln>
                <a:solidFill>
                  <a:srgbClr val="C0392B"/>
                </a:solidFill>
                <a:prstDash val="solid"/>
              </a:ln>
            </spPr>
          </marker>
          <cat>
            <numRef>
              <f>'Laney u-prime'!$A$14:$A$37</f>
            </numRef>
          </cat>
          <val>
            <numRef>
              <f>'Laney u-prime'!$AD$14:$AD$37</f>
            </numRef>
          </val>
          <smooth val="0"/>
        </ser>
        <ser>
          <idx val="1"/>
          <order val="1"/>
          <tx>
            <v>8 in a row one side — shift</v>
          </tx>
          <spPr>
            <a:ln>
              <a:noFill/>
              <a:prstDash val="solid"/>
            </a:ln>
          </spPr>
          <marker>
            <symbol val="circle"/>
            <size val="11"/>
            <spPr>
              <a:solidFill>
                <a:srgbClr val="B45309"/>
              </a:solidFill>
              <a:ln>
                <a:solidFill>
                  <a:srgbClr val="B45309"/>
                </a:solidFill>
                <a:prstDash val="solid"/>
              </a:ln>
            </spPr>
          </marker>
          <cat>
            <numRef>
              <f>'Laney u-prime'!$A$14:$A$37</f>
            </numRef>
          </cat>
          <val>
            <numRef>
              <f>'Laney u-prime'!$AE$14:$AE$37</f>
            </numRef>
          </val>
          <smooth val="0"/>
        </ser>
        <ser>
          <idx val="2"/>
          <order val="2"/>
          <tx>
            <v>Rate</v>
          </tx>
          <spPr>
            <a:ln w="28000">
              <a:solidFill>
                <a:srgbClr val="1F4E79"/>
              </a:solidFill>
              <a:prstDash val="solid"/>
            </a:ln>
          </spPr>
          <marker>
            <symbol val="circle"/>
            <size val="6"/>
            <spPr>
              <a:solidFill>
                <a:srgbClr val="1F4E79"/>
              </a:solidFill>
              <a:ln>
                <a:prstDash val="solid"/>
              </a:ln>
            </spPr>
          </marker>
          <cat>
            <numRef>
              <f>'Laney u-prime'!$A$14:$A$37</f>
            </numRef>
          </cat>
          <val>
            <numRef>
              <f>'Laney u-prime'!$D$14:$D$37</f>
            </numRef>
          </val>
          <smooth val="0"/>
        </ser>
        <ser>
          <idx val="3"/>
          <order val="3"/>
          <tx>
            <v>Centre line</v>
          </tx>
          <spPr>
            <a:ln w="28000">
              <a:solidFill>
                <a:srgbClr val="3F8F5A"/>
              </a:solidFill>
              <a:prstDash val="solid"/>
            </a:ln>
          </spPr>
          <marker>
            <symbol val="none"/>
            <spPr>
              <a:ln>
                <a:prstDash val="solid"/>
              </a:ln>
            </spPr>
          </marker>
          <cat>
            <numRef>
              <f>'Laney u-prime'!$A$14:$A$37</f>
            </numRef>
          </cat>
          <val>
            <numRef>
              <f>'Laney u-prime'!$M$14:$M$37</f>
            </numRef>
          </val>
          <smooth val="0"/>
        </ser>
        <ser>
          <idx val="4"/>
          <order val="4"/>
          <tx>
            <v>UCL</v>
          </tx>
          <spPr>
            <a:ln w="16000">
              <a:solidFill>
                <a:srgbClr val="C0392B"/>
              </a:solidFill>
              <a:prstDash val="dash"/>
            </a:ln>
          </spPr>
          <marker>
            <symbol val="none"/>
            <spPr>
              <a:ln>
                <a:prstDash val="solid"/>
              </a:ln>
            </spPr>
          </marker>
          <cat>
            <numRef>
              <f>'Laney u-prime'!$A$14:$A$37</f>
            </numRef>
          </cat>
          <val>
            <numRef>
              <f>'Laney u-prime'!$K$14:$K$37</f>
            </numRef>
          </val>
          <smooth val="0"/>
        </ser>
        <ser>
          <idx val="5"/>
          <order val="5"/>
          <tx>
            <v>LCL</v>
          </tx>
          <spPr>
            <a:ln w="16000">
              <a:solidFill>
                <a:srgbClr val="C0392B"/>
              </a:solidFill>
              <a:prstDash val="dash"/>
            </a:ln>
          </spPr>
          <marker>
            <symbol val="none"/>
            <spPr>
              <a:ln>
                <a:prstDash val="solid"/>
              </a:ln>
            </spPr>
          </marker>
          <cat>
            <numRef>
              <f>'Laney u-prime'!$A$14:$A$37</f>
            </numRef>
          </cat>
          <val>
            <numRef>
              <f>'Laney u-prime'!$L$14:$L$37</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0.1001696681397611"/>
          <min val="0"/>
        </scaling>
        <delete val="0"/>
        <axPos val="l"/>
        <majorGridlines/>
        <majorTickMark val="none"/>
        <minorTickMark val="none"/>
        <tickLblPos val="nextTo"/>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roundedCorners val="0"/>
  <style val="2"/>
  <chart>
    <title>
      <tx>
        <rich>
          <a:bodyPr/>
          <a:p>
            <a:pPr>
              <a:defRPr/>
            </a:pPr>
            <a:r>
              <a:t>Xbar — is the average stable?</a:t>
            </a:r>
          </a:p>
        </rich>
      </tx>
    </title>
    <plotArea>
      <lineChart>
        <grouping val="standard"/>
        <ser>
          <idx val="0"/>
          <order val="0"/>
          <tx>
            <v>Out of control</v>
          </tx>
          <spPr>
            <a:ln>
              <a:noFill/>
              <a:prstDash val="solid"/>
            </a:ln>
          </spPr>
          <marker>
            <symbol val="circle"/>
            <size val="11"/>
            <spPr>
              <a:solidFill>
                <a:srgbClr val="C0392B"/>
              </a:solidFill>
              <a:ln>
                <a:solidFill>
                  <a:srgbClr val="C0392B"/>
                </a:solidFill>
                <a:prstDash val="solid"/>
              </a:ln>
            </spPr>
          </marker>
          <cat>
            <numRef>
              <f>'Xbar-R'!$A$14:$A$37</f>
            </numRef>
          </cat>
          <val>
            <numRef>
              <f>'Xbar-R'!$AD$14:$AD$37</f>
            </numRef>
          </val>
          <smooth val="0"/>
        </ser>
        <ser>
          <idx val="1"/>
          <order val="1"/>
          <tx>
            <v>8 in a row one side — shift</v>
          </tx>
          <spPr>
            <a:ln>
              <a:noFill/>
              <a:prstDash val="solid"/>
            </a:ln>
          </spPr>
          <marker>
            <symbol val="circle"/>
            <size val="11"/>
            <spPr>
              <a:solidFill>
                <a:srgbClr val="B45309"/>
              </a:solidFill>
              <a:ln>
                <a:solidFill>
                  <a:srgbClr val="B45309"/>
                </a:solidFill>
                <a:prstDash val="solid"/>
              </a:ln>
            </spPr>
          </marker>
          <cat>
            <numRef>
              <f>'Xbar-R'!$A$14:$A$37</f>
            </numRef>
          </cat>
          <val>
            <numRef>
              <f>'Xbar-R'!$AE$14:$AE$37</f>
            </numRef>
          </val>
          <smooth val="0"/>
        </ser>
        <ser>
          <idx val="2"/>
          <order val="2"/>
          <tx>
            <v>Subgroup average</v>
          </tx>
          <spPr>
            <a:ln w="28000">
              <a:solidFill>
                <a:srgbClr val="1F4E79"/>
              </a:solidFill>
              <a:prstDash val="solid"/>
            </a:ln>
          </spPr>
          <marker>
            <symbol val="circle"/>
            <size val="6"/>
            <spPr>
              <a:solidFill>
                <a:srgbClr val="1F4E79"/>
              </a:solidFill>
              <a:ln>
                <a:prstDash val="solid"/>
              </a:ln>
            </spPr>
          </marker>
          <cat>
            <numRef>
              <f>'Xbar-R'!$A$14:$A$37</f>
            </numRef>
          </cat>
          <val>
            <numRef>
              <f>'Xbar-R'!$G$14:$G$37</f>
            </numRef>
          </val>
          <smooth val="0"/>
        </ser>
        <ser>
          <idx val="3"/>
          <order val="3"/>
          <tx>
            <v>Centre line</v>
          </tx>
          <spPr>
            <a:ln w="28000">
              <a:solidFill>
                <a:srgbClr val="3F8F5A"/>
              </a:solidFill>
              <a:prstDash val="solid"/>
            </a:ln>
          </spPr>
          <marker>
            <symbol val="none"/>
            <spPr>
              <a:ln>
                <a:prstDash val="solid"/>
              </a:ln>
            </spPr>
          </marker>
          <cat>
            <numRef>
              <f>'Xbar-R'!$A$14:$A$37</f>
            </numRef>
          </cat>
          <val>
            <numRef>
              <f>'Xbar-R'!$I$14:$I$37</f>
            </numRef>
          </val>
          <smooth val="0"/>
        </ser>
        <ser>
          <idx val="4"/>
          <order val="4"/>
          <tx>
            <v>UCL</v>
          </tx>
          <spPr>
            <a:ln w="16000">
              <a:solidFill>
                <a:srgbClr val="C0392B"/>
              </a:solidFill>
              <a:prstDash val="dash"/>
            </a:ln>
          </spPr>
          <marker>
            <symbol val="none"/>
            <spPr>
              <a:ln>
                <a:prstDash val="solid"/>
              </a:ln>
            </spPr>
          </marker>
          <cat>
            <numRef>
              <f>'Xbar-R'!$A$14:$A$37</f>
            </numRef>
          </cat>
          <val>
            <numRef>
              <f>'Xbar-R'!$J$14:$J$37</f>
            </numRef>
          </val>
          <smooth val="0"/>
        </ser>
        <ser>
          <idx val="5"/>
          <order val="5"/>
          <tx>
            <v>LCL</v>
          </tx>
          <spPr>
            <a:ln w="16000">
              <a:solidFill>
                <a:srgbClr val="C0392B"/>
              </a:solidFill>
              <a:prstDash val="dash"/>
            </a:ln>
          </spPr>
          <marker>
            <symbol val="none"/>
            <spPr>
              <a:ln>
                <a:prstDash val="solid"/>
              </a:ln>
            </spPr>
          </marker>
          <cat>
            <numRef>
              <f>'Xbar-R'!$A$14:$A$37</f>
            </numRef>
          </cat>
          <val>
            <numRef>
              <f>'Xbar-R'!$K$14:$K$37</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434.94"/>
          <min val="380.46"/>
        </scaling>
        <delete val="0"/>
        <axPos val="l"/>
        <majorGridlines/>
        <majorTickMark val="none"/>
        <minorTickMark val="none"/>
        <tickLblPos val="nextTo"/>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roundedCorners val="0"/>
  <style val="2"/>
  <chart>
    <title>
      <tx>
        <rich>
          <a:bodyPr/>
          <a:p>
            <a:pPr>
              <a:defRPr/>
            </a:pPr>
            <a:r>
              <a:t>R — is the spread stable? Read this one first</a:t>
            </a:r>
          </a:p>
        </rich>
      </tx>
    </title>
    <plotArea>
      <lineChart>
        <grouping val="standard"/>
        <ser>
          <idx val="0"/>
          <order val="0"/>
          <tx>
            <v>Out of control</v>
          </tx>
          <spPr>
            <a:ln>
              <a:noFill/>
              <a:prstDash val="solid"/>
            </a:ln>
          </spPr>
          <marker>
            <symbol val="circle"/>
            <size val="11"/>
            <spPr>
              <a:solidFill>
                <a:srgbClr val="C0392B"/>
              </a:solidFill>
              <a:ln>
                <a:solidFill>
                  <a:srgbClr val="C0392B"/>
                </a:solidFill>
                <a:prstDash val="solid"/>
              </a:ln>
            </spPr>
          </marker>
          <cat>
            <numRef>
              <f>'Xbar-R'!$A$14:$A$37</f>
            </numRef>
          </cat>
          <val>
            <numRef>
              <f>'Xbar-R'!$AF$14:$AF$37</f>
            </numRef>
          </val>
          <smooth val="0"/>
        </ser>
        <ser>
          <idx val="1"/>
          <order val="1"/>
          <tx>
            <v>Subgroup range</v>
          </tx>
          <spPr>
            <a:ln w="28000">
              <a:solidFill>
                <a:srgbClr val="6B4FA0"/>
              </a:solidFill>
              <a:prstDash val="solid"/>
            </a:ln>
          </spPr>
          <marker>
            <symbol val="circle"/>
            <size val="6"/>
            <spPr>
              <a:solidFill>
                <a:srgbClr val="6B4FA0"/>
              </a:solidFill>
              <a:ln>
                <a:prstDash val="solid"/>
              </a:ln>
            </spPr>
          </marker>
          <cat>
            <numRef>
              <f>'Xbar-R'!$A$14:$A$37</f>
            </numRef>
          </cat>
          <val>
            <numRef>
              <f>'Xbar-R'!$H$14:$H$37</f>
            </numRef>
          </val>
          <smooth val="0"/>
        </ser>
        <ser>
          <idx val="2"/>
          <order val="2"/>
          <tx>
            <v>R centre line</v>
          </tx>
          <spPr>
            <a:ln w="28000">
              <a:solidFill>
                <a:srgbClr val="3F8F5A"/>
              </a:solidFill>
              <a:prstDash val="solid"/>
            </a:ln>
          </spPr>
          <marker>
            <symbol val="none"/>
            <spPr>
              <a:ln>
                <a:prstDash val="solid"/>
              </a:ln>
            </spPr>
          </marker>
          <cat>
            <numRef>
              <f>'Xbar-R'!$A$14:$A$37</f>
            </numRef>
          </cat>
          <val>
            <numRef>
              <f>'Xbar-R'!$N$14:$N$37</f>
            </numRef>
          </val>
          <smooth val="0"/>
        </ser>
        <ser>
          <idx val="3"/>
          <order val="3"/>
          <tx>
            <v>R UCL</v>
          </tx>
          <spPr>
            <a:ln w="16000">
              <a:solidFill>
                <a:srgbClr val="C0392B"/>
              </a:solidFill>
              <a:prstDash val="dash"/>
            </a:ln>
          </spPr>
          <marker>
            <symbol val="none"/>
            <spPr>
              <a:ln>
                <a:prstDash val="solid"/>
              </a:ln>
            </spPr>
          </marker>
          <cat>
            <numRef>
              <f>'Xbar-R'!$A$14:$A$37</f>
            </numRef>
          </cat>
          <val>
            <numRef>
              <f>'Xbar-R'!$O$14:$O$37</f>
            </numRef>
          </val>
          <smooth val="0"/>
        </ser>
        <ser>
          <idx val="4"/>
          <order val="4"/>
          <tx>
            <v>R LCL</v>
          </tx>
          <spPr>
            <a:ln w="16000">
              <a:solidFill>
                <a:srgbClr val="C0392B"/>
              </a:solidFill>
              <a:prstDash val="dash"/>
            </a:ln>
          </spPr>
          <marker>
            <symbol val="none"/>
            <spPr>
              <a:ln>
                <a:prstDash val="solid"/>
              </a:ln>
            </spPr>
          </marker>
          <cat>
            <numRef>
              <f>'Xbar-R'!$A$14:$A$37</f>
            </numRef>
          </cat>
          <val>
            <numRef>
              <f>'Xbar-R'!$P$14:$P$37</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84.8771"/>
          <min val="0"/>
        </scaling>
        <delete val="0"/>
        <axPos val="l"/>
        <majorGridlines/>
        <majorTickMark val="none"/>
        <minorTickMark val="none"/>
        <tickLblPos val="nextTo"/>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roundedCorners val="0"/>
  <style val="2"/>
  <chart>
    <title>
      <tx>
        <rich>
          <a:bodyPr/>
          <a:p>
            <a:pPr>
              <a:defRPr/>
            </a:pPr>
            <a:r>
              <a:t>EWMA — the limits widen then settle as evidence accumulates</a:t>
            </a:r>
          </a:p>
        </rich>
      </tx>
    </title>
    <plotArea>
      <lineChart>
        <grouping val="standard"/>
        <ser>
          <idx val="0"/>
          <order val="0"/>
          <tx>
            <v>Signal — the process has drifted</v>
          </tx>
          <spPr>
            <a:ln>
              <a:noFill/>
              <a:prstDash val="solid"/>
            </a:ln>
          </spPr>
          <marker>
            <symbol val="circle"/>
            <size val="11"/>
            <spPr>
              <a:solidFill>
                <a:srgbClr val="C0392B"/>
              </a:solidFill>
              <a:ln>
                <a:solidFill>
                  <a:srgbClr val="C0392B"/>
                </a:solidFill>
                <a:prstDash val="solid"/>
              </a:ln>
            </spPr>
          </marker>
          <cat>
            <numRef>
              <f>'EWMA'!$A$16:$A$39</f>
            </numRef>
          </cat>
          <val>
            <numRef>
              <f>'EWMA'!$AD$16:$AD$39</f>
            </numRef>
          </val>
          <smooth val="0"/>
        </ser>
        <ser>
          <idx val="1"/>
          <order val="1"/>
          <tx>
            <v>EWMA</v>
          </tx>
          <spPr>
            <a:ln w="28000">
              <a:solidFill>
                <a:srgbClr val="1F4E79"/>
              </a:solidFill>
              <a:prstDash val="solid"/>
            </a:ln>
          </spPr>
          <marker>
            <symbol val="circle"/>
            <size val="6"/>
            <spPr>
              <a:solidFill>
                <a:srgbClr val="1F4E79"/>
              </a:solidFill>
              <a:ln>
                <a:prstDash val="solid"/>
              </a:ln>
            </spPr>
          </marker>
          <cat>
            <numRef>
              <f>'EWMA'!$A$16:$A$39</f>
            </numRef>
          </cat>
          <val>
            <numRef>
              <f>'EWMA'!$D$16:$D$39</f>
            </numRef>
          </val>
          <smooth val="0"/>
        </ser>
        <ser>
          <idx val="2"/>
          <order val="2"/>
          <tx>
            <v>Target</v>
          </tx>
          <spPr>
            <a:ln w="28000">
              <a:solidFill>
                <a:srgbClr val="3F8F5A"/>
              </a:solidFill>
              <a:prstDash val="solid"/>
            </a:ln>
          </spPr>
          <marker>
            <symbol val="none"/>
            <spPr>
              <a:ln>
                <a:prstDash val="solid"/>
              </a:ln>
            </spPr>
          </marker>
          <cat>
            <numRef>
              <f>'EWMA'!$A$16:$A$39</f>
            </numRef>
          </cat>
          <val>
            <numRef>
              <f>'EWMA'!$E$16:$E$39</f>
            </numRef>
          </val>
          <smooth val="0"/>
        </ser>
        <ser>
          <idx val="3"/>
          <order val="3"/>
          <tx>
            <v>UCL</v>
          </tx>
          <spPr>
            <a:ln w="16000">
              <a:solidFill>
                <a:srgbClr val="C0392B"/>
              </a:solidFill>
              <a:prstDash val="dash"/>
            </a:ln>
          </spPr>
          <marker>
            <symbol val="none"/>
            <spPr>
              <a:ln>
                <a:prstDash val="solid"/>
              </a:ln>
            </spPr>
          </marker>
          <cat>
            <numRef>
              <f>'EWMA'!$A$16:$A$39</f>
            </numRef>
          </cat>
          <val>
            <numRef>
              <f>'EWMA'!$F$16:$F$39</f>
            </numRef>
          </val>
          <smooth val="0"/>
        </ser>
        <ser>
          <idx val="4"/>
          <order val="4"/>
          <tx>
            <v>LCL</v>
          </tx>
          <spPr>
            <a:ln w="16000">
              <a:solidFill>
                <a:srgbClr val="C0392B"/>
              </a:solidFill>
              <a:prstDash val="dash"/>
            </a:ln>
          </spPr>
          <marker>
            <symbol val="none"/>
            <spPr>
              <a:ln>
                <a:prstDash val="solid"/>
              </a:ln>
            </spPr>
          </marker>
          <cat>
            <numRef>
              <f>'EWMA'!$A$16:$A$39</f>
            </numRef>
          </cat>
          <val>
            <numRef>
              <f>'EWMA'!$G$16:$G$39</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457.6"/>
          <min val="390.4"/>
        </scaling>
        <delete val="0"/>
        <axPos val="l"/>
        <majorGridlines/>
        <majorTickMark val="none"/>
        <minorTickMark val="none"/>
        <tickLblPos val="nextTo"/>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roundedCorners val="0"/>
  <style val="2"/>
  <chart>
    <title>
      <tx>
        <rich>
          <a:bodyPr/>
          <a:p>
            <a:pPr>
              <a:defRPr/>
            </a:pPr>
            <a:r>
              <a:t>CUSUM — the sum climbs from the day the change landed</a:t>
            </a:r>
          </a:p>
        </rich>
      </tx>
    </title>
    <plotArea>
      <lineChart>
        <grouping val="standard"/>
        <ser>
          <idx val="0"/>
          <order val="0"/>
          <tx>
            <v>Crossed the decision limit</v>
          </tx>
          <spPr>
            <a:ln>
              <a:noFill/>
              <a:prstDash val="solid"/>
            </a:ln>
          </spPr>
          <marker>
            <symbol val="circle"/>
            <size val="11"/>
            <spPr>
              <a:solidFill>
                <a:srgbClr val="C0392B"/>
              </a:solidFill>
              <a:ln>
                <a:solidFill>
                  <a:srgbClr val="C0392B"/>
                </a:solidFill>
                <a:prstDash val="solid"/>
              </a:ln>
            </spPr>
          </marker>
          <cat>
            <numRef>
              <f>'CUSUM'!$A$16:$A$39</f>
            </numRef>
          </cat>
          <val>
            <numRef>
              <f>'CUSUM'!$AD$16:$AD$39</f>
            </numRef>
          </val>
          <smooth val="0"/>
        </ser>
        <ser>
          <idx val="1"/>
          <order val="1"/>
          <tx>
            <v>SH (evidence it went up)</v>
          </tx>
          <spPr>
            <a:ln w="28000">
              <a:solidFill>
                <a:srgbClr val="1F4E79"/>
              </a:solidFill>
              <a:prstDash val="solid"/>
            </a:ln>
          </spPr>
          <marker>
            <symbol val="circle"/>
            <size val="6"/>
            <spPr>
              <a:solidFill>
                <a:srgbClr val="1F4E79"/>
              </a:solidFill>
              <a:ln>
                <a:prstDash val="solid"/>
              </a:ln>
            </spPr>
          </marker>
          <cat>
            <numRef>
              <f>'CUSUM'!$A$16:$A$39</f>
            </numRef>
          </cat>
          <val>
            <numRef>
              <f>'CUSUM'!$E$16:$E$39</f>
            </numRef>
          </val>
          <smooth val="0"/>
        </ser>
        <ser>
          <idx val="2"/>
          <order val="2"/>
          <tx>
            <v>SL (evidence it went down)</v>
          </tx>
          <spPr>
            <a:ln w="28000">
              <a:solidFill>
                <a:srgbClr val="6B4FA0"/>
              </a:solidFill>
              <a:prstDash val="solid"/>
            </a:ln>
          </spPr>
          <marker>
            <symbol val="circle"/>
            <size val="6"/>
            <spPr>
              <a:solidFill>
                <a:srgbClr val="6B4FA0"/>
              </a:solidFill>
              <a:ln>
                <a:prstDash val="solid"/>
              </a:ln>
            </spPr>
          </marker>
          <cat>
            <numRef>
              <f>'CUSUM'!$A$16:$A$39</f>
            </numRef>
          </cat>
          <val>
            <numRef>
              <f>'CUSUM'!$F$16:$F$39</f>
            </numRef>
          </val>
          <smooth val="0"/>
        </ser>
        <ser>
          <idx val="3"/>
          <order val="3"/>
          <tx>
            <v>Decision limit h — crossing it is the signal</v>
          </tx>
          <spPr>
            <a:ln w="16000">
              <a:solidFill>
                <a:srgbClr val="C0392B"/>
              </a:solidFill>
              <a:prstDash val="dash"/>
            </a:ln>
          </spPr>
          <marker>
            <symbol val="none"/>
            <spPr>
              <a:ln>
                <a:prstDash val="solid"/>
              </a:ln>
            </spPr>
          </marker>
          <cat>
            <numRef>
              <f>'CUSUM'!$A$16:$A$39</f>
            </numRef>
          </cat>
          <val>
            <numRef>
              <f>'CUSUM'!$G$16:$G$39</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27.70511090047391"/>
          <min val="0"/>
        </scaling>
        <delete val="0"/>
        <axPos val="l"/>
        <majorGridlines/>
        <majorTickMark val="none"/>
        <minorTickMark val="none"/>
        <tickLblPos val="nextTo"/>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roundedCorners val="0"/>
  <style val="2"/>
  <chart>
    <title>
      <tx>
        <rich>
          <a:bodyPr/>
          <a:p>
            <a:pPr>
              <a:defRPr/>
            </a:pPr>
            <a:r>
              <a:t>t-chart — days between incidents. Rising is good.</a:t>
            </a:r>
          </a:p>
        </rich>
      </tx>
    </title>
    <plotArea>
      <lineChart>
        <grouping val="standard"/>
        <ser>
          <idx val="0"/>
          <order val="0"/>
          <tx>
            <v>Out of control</v>
          </tx>
          <spPr>
            <a:ln>
              <a:noFill/>
              <a:prstDash val="solid"/>
            </a:ln>
          </spPr>
          <marker>
            <symbol val="circle"/>
            <size val="11"/>
            <spPr>
              <a:solidFill>
                <a:srgbClr val="C0392B"/>
              </a:solidFill>
              <a:ln>
                <a:solidFill>
                  <a:srgbClr val="C0392B"/>
                </a:solidFill>
                <a:prstDash val="solid"/>
              </a:ln>
            </spPr>
          </marker>
          <cat>
            <numRef>
              <f>'t and g (rare events)'!$A$14:$A$37</f>
            </numRef>
          </cat>
          <val>
            <numRef>
              <f>'t and g (rare events)'!$AD$14:$AD$37</f>
            </numRef>
          </val>
          <smooth val="0"/>
        </ser>
        <ser>
          <idx val="1"/>
          <order val="1"/>
          <tx>
            <v>8 in a row one side — sustained change</v>
          </tx>
          <spPr>
            <a:ln>
              <a:noFill/>
              <a:prstDash val="solid"/>
            </a:ln>
          </spPr>
          <marker>
            <symbol val="circle"/>
            <size val="11"/>
            <spPr>
              <a:solidFill>
                <a:srgbClr val="B45309"/>
              </a:solidFill>
              <a:ln>
                <a:solidFill>
                  <a:srgbClr val="B45309"/>
                </a:solidFill>
                <a:prstDash val="solid"/>
              </a:ln>
            </spPr>
          </marker>
          <cat>
            <numRef>
              <f>'t and g (rare events)'!$A$14:$A$37</f>
            </numRef>
          </cat>
          <val>
            <numRef>
              <f>'t and g (rare events)'!$AE$14:$AE$37</f>
            </numRef>
          </val>
          <smooth val="0"/>
        </ser>
        <ser>
          <idx val="2"/>
          <order val="2"/>
          <tx>
            <v>Days between</v>
          </tx>
          <spPr>
            <a:ln w="28000">
              <a:solidFill>
                <a:srgbClr val="1F4E79"/>
              </a:solidFill>
              <a:prstDash val="solid"/>
            </a:ln>
          </spPr>
          <marker>
            <symbol val="circle"/>
            <size val="6"/>
            <spPr>
              <a:solidFill>
                <a:srgbClr val="1F4E79"/>
              </a:solidFill>
              <a:ln>
                <a:prstDash val="solid"/>
              </a:ln>
            </spPr>
          </marker>
          <cat>
            <numRef>
              <f>'t and g (rare events)'!$A$14:$A$37</f>
            </numRef>
          </cat>
          <val>
            <numRef>
              <f>'t and g (rare events)'!$B$14:$B$37</f>
            </numRef>
          </val>
          <smooth val="0"/>
        </ser>
        <ser>
          <idx val="3"/>
          <order val="3"/>
          <tx>
            <v>Centre line (back-transformed)</v>
          </tx>
          <spPr>
            <a:ln w="28000">
              <a:solidFill>
                <a:srgbClr val="3F8F5A"/>
              </a:solidFill>
              <a:prstDash val="solid"/>
            </a:ln>
          </spPr>
          <marker>
            <symbol val="none"/>
            <spPr>
              <a:ln>
                <a:prstDash val="solid"/>
              </a:ln>
            </spPr>
          </marker>
          <cat>
            <numRef>
              <f>'t and g (rare events)'!$A$14:$A$37</f>
            </numRef>
          </cat>
          <val>
            <numRef>
              <f>'t and g (rare events)'!$L$14:$L$37</f>
            </numRef>
          </val>
          <smooth val="0"/>
        </ser>
        <ser>
          <idx val="4"/>
          <order val="4"/>
          <tx>
            <v>UCL</v>
          </tx>
          <spPr>
            <a:ln w="16000">
              <a:solidFill>
                <a:srgbClr val="C0392B"/>
              </a:solidFill>
              <a:prstDash val="dash"/>
            </a:ln>
          </spPr>
          <marker>
            <symbol val="none"/>
            <spPr>
              <a:ln>
                <a:prstDash val="solid"/>
              </a:ln>
            </spPr>
          </marker>
          <cat>
            <numRef>
              <f>'t and g (rare events)'!$A$14:$A$37</f>
            </numRef>
          </cat>
          <val>
            <numRef>
              <f>'t and g (rare events)'!$J$14:$J$37</f>
            </numRef>
          </val>
          <smooth val="0"/>
        </ser>
        <ser>
          <idx val="5"/>
          <order val="5"/>
          <tx>
            <v>LCL</v>
          </tx>
          <spPr>
            <a:ln w="16000">
              <a:solidFill>
                <a:srgbClr val="C0392B"/>
              </a:solidFill>
              <a:prstDash val="dash"/>
            </a:ln>
          </spPr>
          <marker>
            <symbol val="none"/>
            <spPr>
              <a:ln>
                <a:prstDash val="solid"/>
              </a:ln>
            </spPr>
          </marker>
          <cat>
            <numRef>
              <f>'t and g (rare events)'!$A$14:$A$37</f>
            </numRef>
          </cat>
          <val>
            <numRef>
              <f>'t and g (rare events)'!$K$14:$K$37</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110.8596101464608"/>
          <min val="0"/>
        </scaling>
        <delete val="0"/>
        <axPos val="l"/>
        <majorGridlines/>
        <majorTickMark val="none"/>
        <minorTickMark val="none"/>
        <tickLblPos val="nextTo"/>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roundedCorners val="0"/>
  <style val="2"/>
  <chart>
    <title>
      <tx>
        <rich>
          <a:bodyPr/>
          <a:p>
            <a:pPr>
              <a:defRPr/>
            </a:pPr>
            <a:r>
              <a:t>g-chart — contacts handled between incidents</a:t>
            </a:r>
          </a:p>
        </rich>
      </tx>
    </title>
    <plotArea>
      <lineChart>
        <grouping val="standard"/>
        <ser>
          <idx val="0"/>
          <order val="0"/>
          <tx>
            <v>Above the UCL</v>
          </tx>
          <spPr>
            <a:ln>
              <a:noFill/>
              <a:prstDash val="solid"/>
            </a:ln>
          </spPr>
          <marker>
            <symbol val="circle"/>
            <size val="11"/>
            <spPr>
              <a:solidFill>
                <a:srgbClr val="C0392B"/>
              </a:solidFill>
              <a:ln>
                <a:solidFill>
                  <a:srgbClr val="C0392B"/>
                </a:solidFill>
                <a:prstDash val="solid"/>
              </a:ln>
            </spPr>
          </marker>
          <cat>
            <numRef>
              <f>'t and g (rare events)'!$A$14:$A$37</f>
            </numRef>
          </cat>
          <val>
            <numRef>
              <f>'t and g (rare events)'!$AF$14:$AF$37</f>
            </numRef>
          </val>
          <smooth val="0"/>
        </ser>
        <ser>
          <idx val="1"/>
          <order val="1"/>
          <tx>
            <v>8 in a row above the median — sustained improvement</v>
          </tx>
          <spPr>
            <a:ln>
              <a:noFill/>
              <a:prstDash val="solid"/>
            </a:ln>
          </spPr>
          <marker>
            <symbol val="circle"/>
            <size val="11"/>
            <spPr>
              <a:solidFill>
                <a:srgbClr val="B45309"/>
              </a:solidFill>
              <a:ln>
                <a:solidFill>
                  <a:srgbClr val="B45309"/>
                </a:solidFill>
                <a:prstDash val="solid"/>
              </a:ln>
            </spPr>
          </marker>
          <cat>
            <numRef>
              <f>'t and g (rare events)'!$A$14:$A$37</f>
            </numRef>
          </cat>
          <val>
            <numRef>
              <f>'t and g (rare events)'!$AG$14:$AG$37</f>
            </numRef>
          </val>
          <smooth val="0"/>
        </ser>
        <ser>
          <idx val="2"/>
          <order val="2"/>
          <tx>
            <v>Contacts between</v>
          </tx>
          <spPr>
            <a:ln w="28000">
              <a:solidFill>
                <a:srgbClr val="6B4FA0"/>
              </a:solidFill>
              <a:prstDash val="solid"/>
            </a:ln>
          </spPr>
          <marker>
            <symbol val="circle"/>
            <size val="6"/>
            <spPr>
              <a:solidFill>
                <a:srgbClr val="6B4FA0"/>
              </a:solidFill>
              <a:ln>
                <a:prstDash val="solid"/>
              </a:ln>
            </spPr>
          </marker>
          <cat>
            <numRef>
              <f>'t and g (rare events)'!$A$14:$A$37</f>
            </numRef>
          </cat>
          <val>
            <numRef>
              <f>'t and g (rare events)'!$F$14:$F$37</f>
            </numRef>
          </val>
          <smooth val="0"/>
        </ser>
        <ser>
          <idx val="3"/>
          <order val="3"/>
          <tx>
            <v>Mean</v>
          </tx>
          <spPr>
            <a:ln w="28000">
              <a:solidFill>
                <a:srgbClr val="3F8F5A"/>
              </a:solidFill>
              <a:prstDash val="solid"/>
            </a:ln>
          </spPr>
          <marker>
            <symbol val="none"/>
            <spPr>
              <a:ln>
                <a:prstDash val="solid"/>
              </a:ln>
            </spPr>
          </marker>
          <cat>
            <numRef>
              <f>'t and g (rare events)'!$A$14:$A$37</f>
            </numRef>
          </cat>
          <val>
            <numRef>
              <f>'t and g (rare events)'!$G$14:$G$37</f>
            </numRef>
          </val>
          <smooth val="0"/>
        </ser>
        <ser>
          <idx val="4"/>
          <order val="4"/>
          <tx>
            <v>Median</v>
          </tx>
          <spPr>
            <a:ln w="28000">
              <a:solidFill>
                <a:srgbClr val="B45309"/>
              </a:solidFill>
              <a:prstDash val="solid"/>
            </a:ln>
          </spPr>
          <marker>
            <symbol val="none"/>
            <spPr>
              <a:ln>
                <a:prstDash val="solid"/>
              </a:ln>
            </spPr>
          </marker>
          <cat>
            <numRef>
              <f>'t and g (rare events)'!$A$14:$A$37</f>
            </numRef>
          </cat>
          <val>
            <numRef>
              <f>'t and g (rare events)'!$N$14:$N$37</f>
            </numRef>
          </val>
          <smooth val="0"/>
        </ser>
        <ser>
          <idx val="5"/>
          <order val="5"/>
          <tx>
            <v>UCL</v>
          </tx>
          <spPr>
            <a:ln w="16000">
              <a:solidFill>
                <a:srgbClr val="C0392B"/>
              </a:solidFill>
              <a:prstDash val="dash"/>
            </a:ln>
          </spPr>
          <marker>
            <symbol val="none"/>
            <spPr>
              <a:ln>
                <a:prstDash val="solid"/>
              </a:ln>
            </spPr>
          </marker>
          <cat>
            <numRef>
              <f>'t and g (rare events)'!$A$14:$A$37</f>
            </numRef>
          </cat>
          <val>
            <numRef>
              <f>'t and g (rare events)'!$M$14:$M$37</f>
            </numRef>
          </val>
          <smooth val="0"/>
        </ser>
        <axId val="10"/>
        <axId val="100"/>
      </lineChart>
      <catAx>
        <axId val="10"/>
        <scaling>
          <orientation val="minMax"/>
        </scaling>
        <delete val="0"/>
        <axPos val="l"/>
        <majorTickMark val="none"/>
        <minorTickMark val="none"/>
        <tickLblPos val="low"/>
        <crossAx val="100"/>
        <lblOffset val="100"/>
        <tickLblSkip val="3"/>
        <tickMarkSkip val="3"/>
      </catAx>
      <valAx>
        <axId val="100"/>
        <scaling>
          <orientation val="minMax"/>
          <max val="133760"/>
          <min val="0"/>
        </scaling>
        <delete val="0"/>
        <axPos val="l"/>
        <majorGridlines/>
        <majorTickMark val="none"/>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_rels/drawing4.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5.xml.rels><Relationships xmlns="http://schemas.openxmlformats.org/package/2006/relationships"><Relationship Type="http://schemas.openxmlformats.org/officeDocument/2006/relationships/chart" Target="/xl/charts/chart7.xml" Id="rId1" /></Relationships>
</file>

<file path=xl/drawings/_rels/drawing6.xml.rels><Relationships xmlns="http://schemas.openxmlformats.org/package/2006/relationships"><Relationship Type="http://schemas.openxmlformats.org/officeDocument/2006/relationships/chart" Target="/xl/charts/chart8.xml" Id="rId1" /></Relationships>
</file>

<file path=xl/drawings/_rels/drawing7.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3</row>
      <rowOff>0</rowOff>
    </from>
    <ext cx="6840000" cy="288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21</row>
      <rowOff>0</rowOff>
    </from>
    <ext cx="684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3</row>
      <rowOff>0</rowOff>
    </from>
    <ext cx="684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3</row>
      <rowOff>0</rowOff>
    </from>
    <ext cx="684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3</row>
      <rowOff>0</rowOff>
    </from>
    <ext cx="6840000" cy="288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21</row>
      <rowOff>0</rowOff>
    </from>
    <ext cx="684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3</row>
      <rowOff>0</rowOff>
    </from>
    <ext cx="684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3</row>
      <rowOff>0</rowOff>
    </from>
    <ext cx="684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3</row>
      <rowOff>0</rowOff>
    </from>
    <ext cx="6840000" cy="2880000"/>
    <graphicFrame>
      <nvGraphicFramePr>
        <cNvPr id="1" name="Chart 1"/>
        <cNvGraphicFramePr/>
      </nvGraphicFramePr>
      <xfrm/>
      <a:graphic>
        <a:graphicData uri="http://schemas.openxmlformats.org/drawingml/2006/chart">
          <c:chart r:id="rId1"/>
        </a:graphicData>
      </a:graphic>
    </graphicFrame>
    <clientData/>
  </oneCellAnchor>
  <oneCellAnchor>
    <from>
      <col>16</col>
      <colOff>0</colOff>
      <row>21</row>
      <rowOff>0</rowOff>
    </from>
    <ext cx="684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fitToPage="1"/>
  </sheetPr>
  <dimension ref="A1:B40"/>
  <sheetViews>
    <sheetView showGridLines="0" workbookViewId="0">
      <selection activeCell="A1" sqref="A1"/>
    </sheetView>
  </sheetViews>
  <sheetFormatPr baseColWidth="8" defaultRowHeight="15"/>
  <cols>
    <col width="2" customWidth="1" min="1" max="1"/>
    <col width="108" customWidth="1" min="2" max="2"/>
  </cols>
  <sheetData>
    <row r="1"/>
    <row r="2">
      <c r="B2" s="1" t="inlineStr">
        <is>
          <t>Control charts — seven chart types, one workbook</t>
        </is>
      </c>
    </row>
    <row r="3" ht="30" customHeight="1">
      <c r="B3" s="2" t="inlineStr">
        <is>
          <t>Every chart the program's selection table sends you to is built here, on your own numbers, with the control limits written as live formulas so you can see exactly where each line comes from.</t>
        </is>
      </c>
    </row>
    <row r="4">
      <c r="B4" s="1" t="inlineStr">
        <is>
          <t>How to use it</t>
        </is>
      </c>
    </row>
    <row r="5" ht="15" customHeight="1">
      <c r="B5" s="2" t="inlineStr">
        <is>
          <t>1. Open the 'Pick your chart' tab and find the row that matches the data you have.</t>
        </is>
      </c>
    </row>
    <row r="6" ht="30" customHeight="1">
      <c r="B6" s="2" t="inlineStr">
        <is>
          <t>2. Go to that tab. Overwrite the yellow column with your own numbers, oldest first. The green row is a worked example — replace it too once you have the hang of it.</t>
        </is>
      </c>
    </row>
    <row r="7" ht="15" customHeight="1">
      <c r="B7" s="2" t="inlineStr">
        <is>
          <t>3. The chart, the limits and the signal column update themselves. Nothing else needs touching.</t>
        </is>
      </c>
    </row>
    <row r="8" ht="30" customHeight="1">
      <c r="B8" s="2" t="inlineStr">
        <is>
          <t>4. Blue cells are calculated. Read the formula bar on any of them to see the arithmetic — the constants (1.128, 2.66, 3.267, A2, D3, D4) are all visible, not buried.</t>
        </is>
      </c>
    </row>
    <row r="9">
      <c r="B9" s="1" t="inlineStr">
        <is>
          <t>The two mistakes that kill SPC in a support organisation</t>
        </is>
      </c>
    </row>
    <row r="10" ht="75" customHeight="1">
      <c r="B10" s="2" t="inlineStr">
        <is>
          <t>Using an ordinary p-chart on high-volume percentages. At 8,000 contacts a day the binomial limits around a 72% FCR are about plus or minus 1.5 points, while real daily FCR swings 4 points from contact mix and staffing alone. Almost every point reads as out of control, the team stops trusting the chart, and SPC is discredited within a month. The Laney p-prime tab fixes this — check its 'sigma z' cell: if it is well above 1.0, an ordinary p-chart was never going to work on your data.</t>
        </is>
      </c>
    </row>
    <row r="11" ht="45" customHeight="1">
      <c r="B11" s="2" t="inlineStr">
        <is>
          <t>Recomputing the limits every week. Limits come from a baseline window and then stay put. If you recompute them continuously, a process that is slowly getting worse drags its own limits down with it and never signals.</t>
        </is>
      </c>
    </row>
    <row r="12">
      <c r="B12" s="1" t="inlineStr">
        <is>
          <t>Where the numbers come from</t>
        </is>
      </c>
    </row>
    <row r="13" ht="45" customHeight="1">
      <c r="B13" s="2" t="inlineStr">
        <is>
          <t>Daily volumes and outcome counts: your contact platform's daily summary (Genesys, NICE, Five9, Zendesk Explore, Salesforce reports). Defect counts: your QA tool's audit export. Incident dates: the incident management system, not a spreadsheet somebody keeps by hand.</t>
        </is>
      </c>
    </row>
    <row r="14">
      <c r="B14" s="1" t="inlineStr">
        <is>
          <t>Reading a chart honestly</t>
        </is>
      </c>
    </row>
    <row r="15" ht="45" customHeight="1">
      <c r="B15" s="2" t="inlineStr">
        <is>
          <t>A point outside a limit, eight points in a row on one side, or a run of six steadily rising or falling all mean something changed. Anything else is noise and reacting to it makes the process worse — that is tampering, and it is the single most expensive habit in operations management.</t>
        </is>
      </c>
    </row>
    <row r="16"/>
    <row r="17"/>
    <row r="18"/>
    <row r="19"/>
    <row r="20"/>
    <row r="21"/>
    <row r="22"/>
    <row r="23"/>
    <row r="24"/>
    <row r="25"/>
    <row r="26"/>
    <row r="27"/>
    <row r="28"/>
    <row r="29"/>
    <row r="30"/>
    <row r="31"/>
    <row r="32"/>
    <row r="33"/>
    <row r="34"/>
    <row r="35"/>
    <row r="36"/>
    <row r="37"/>
    <row r="38"/>
    <row r="39"/>
    <row r="40"/>
  </sheetData>
  <printOptions horizontalCentered="1"/>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17"/>
  <sheetViews>
    <sheetView showGridLines="0" workbookViewId="0">
      <pane ySplit="4" topLeftCell="A5" activePane="bottomLeft" state="frozen"/>
      <selection pane="bottomLeft" activeCell="A1" sqref="A1"/>
    </sheetView>
  </sheetViews>
  <sheetFormatPr baseColWidth="8" defaultRowHeight="15"/>
  <cols>
    <col width="46" customWidth="1" min="1" max="1"/>
    <col width="20" customWidth="1" min="2" max="2"/>
    <col width="74" customWidth="1" min="3" max="3"/>
    <col width="2" customWidth="1" min="4" max="4"/>
  </cols>
  <sheetData>
    <row r="1" ht="26" customHeight="1">
      <c r="A1" s="3" t="inlineStr">
        <is>
          <t>Which control chart does your data need?</t>
        </is>
      </c>
      <c r="B1" s="4" t="n"/>
      <c r="C1" s="4" t="n"/>
      <c r="D1" s="4" t="n"/>
    </row>
    <row r="2">
      <c r="A2" s="5" t="inlineStr">
        <is>
          <t>Pick the row that matches what you have. Getting this wrong is the most common SPC mistake in support.</t>
        </is>
      </c>
    </row>
    <row r="3"/>
    <row r="4" ht="30" customHeight="1">
      <c r="A4" s="6" t="inlineStr">
        <is>
          <t>Your data</t>
        </is>
      </c>
      <c r="B4" s="6" t="inlineStr">
        <is>
          <t>Use this chart</t>
        </is>
      </c>
      <c r="C4" s="6" t="inlineStr">
        <is>
          <t>Why, and what to watch out for</t>
        </is>
      </c>
      <c r="D4" s="6" t="inlineStr"/>
    </row>
    <row r="5" ht="46" customHeight="1">
      <c r="A5" s="7" t="inlineStr">
        <is>
          <t>One number per day or week (daily AHT, daily backlog, weekly SLA%)</t>
        </is>
      </c>
      <c r="B5" s="8" t="inlineStr">
        <is>
          <t>I-MR</t>
        </is>
      </c>
      <c r="C5" s="7" t="inlineStr">
        <is>
          <t>Fine on daily aggregates. Wrong on raw per-contact durations, which are heavily skewed. Watch for day-of-week patterns.</t>
        </is>
      </c>
    </row>
    <row r="6" ht="46" customHeight="1">
      <c r="A6" s="7" t="inlineStr">
        <is>
          <t>A percentage, with thousands of contacts a day (FCR%, SLA met%, QA pass%, reopen%)</t>
        </is>
      </c>
      <c r="B6" s="8" t="inlineStr">
        <is>
          <t>Laney p-prime</t>
        </is>
      </c>
      <c r="C6" s="7" t="inlineStr">
        <is>
          <t>THE DEFAULT FOR SUPPORT. An ordinary p-chart's limits are far too tight at these volumes and almost every point will look out of control, until the team stops looking at the chart entirely.</t>
        </is>
      </c>
    </row>
    <row r="7" ht="46" customHeight="1">
      <c r="A7" s="7" t="inlineStr">
        <is>
          <t>Defects per 100 contacts, with varying volume</t>
        </is>
      </c>
      <c r="B7" s="8" t="inlineStr">
        <is>
          <t>Laney u-prime</t>
        </is>
      </c>
      <c r="C7" s="7" t="inlineStr">
        <is>
          <t>Same overdispersion problem as percentages. Use the Laney version.</t>
        </is>
      </c>
    </row>
    <row r="8" ht="46" customHeight="1">
      <c r="A8" s="7" t="inlineStr">
        <is>
          <t>A continuous metric where you can form sensible subgroups</t>
        </is>
      </c>
      <c r="B8" s="8" t="inlineStr">
        <is>
          <t>Xbar-R</t>
        </is>
      </c>
      <c r="C8" s="7" t="inlineStr">
        <is>
          <t>Switch to Xbar-S when subgroups are larger than about 8. Getting the subgrouping right is the hard part.</t>
        </is>
      </c>
    </row>
    <row r="9" ht="46" customHeight="1">
      <c r="A9" s="7" t="inlineStr">
        <is>
          <t>You need to catch a slow slide before it becomes obvious</t>
        </is>
      </c>
      <c r="B9" s="8" t="inlineStr">
        <is>
          <t>EWMA</t>
        </is>
      </c>
      <c r="C9" s="7" t="inlineStr">
        <is>
          <t>Ordinary charts are poor at small sustained shifts — which is exactly what a decaying improvement looks like. Use lambda around 0.2.</t>
        </is>
      </c>
    </row>
    <row r="10" ht="46" customHeight="1">
      <c r="A10" s="7" t="inlineStr">
        <is>
          <t>You need to confirm a change landed on the day you deployed it</t>
        </is>
      </c>
      <c r="B10" s="8" t="inlineStr">
        <is>
          <t>CUSUM</t>
        </is>
      </c>
      <c r="C10" s="7" t="inlineStr">
        <is>
          <t>Fastest detection of a step change.</t>
        </is>
      </c>
    </row>
    <row r="11" ht="46" customHeight="1">
      <c r="A11" s="7" t="inlineStr">
        <is>
          <t>A rare event — sev-1 outages, compliance misses, security incidents</t>
        </is>
      </c>
      <c r="B11" s="8" t="inlineStr">
        <is>
          <t>t and g (rare events)</t>
        </is>
      </c>
      <c r="C11" s="7" t="inlineStr">
        <is>
          <t>Chart the time BETWEEN events. Charting counts gives you a chart of zeros and tells you nothing.</t>
        </is>
      </c>
    </row>
    <row r="13">
      <c r="A13" s="9" t="inlineStr">
        <is>
          <t>Before you plot anything</t>
        </is>
      </c>
      <c r="B13" s="10" t="n"/>
      <c r="C13" s="10" t="n"/>
      <c r="D13" s="10" t="n"/>
    </row>
    <row r="14" ht="30" customHeight="1">
      <c r="A14" s="11" t="inlineStr">
        <is>
          <t>•  Set the limits from a stable BASELINE window, then freeze them. Recomputing limits every time you add data is how a deteriorating process gets a clean chart.</t>
        </is>
      </c>
    </row>
    <row r="15" ht="30" customHeight="1">
      <c r="A15" s="11" t="inlineStr">
        <is>
          <t>•  Twenty to twenty-five points is the working minimum. Fewer than that and the limits move every time you add a day.</t>
        </is>
      </c>
    </row>
    <row r="16" ht="30" customHeight="1">
      <c r="A16" s="11" t="inlineStr">
        <is>
          <t>•  Limits are not targets and targets are not limits. Limits describe what the process does; a target describes what you want. Never draw a target on a control chart and call a point beyond it a special cause.</t>
        </is>
      </c>
    </row>
    <row r="17" ht="30" customHeight="1">
      <c r="A17" s="11" t="inlineStr">
        <is>
          <t>•  A point outside the limits is a signal to investigate, not proof of a cause. Go and find out what was different that day.</t>
        </is>
      </c>
    </row>
  </sheetData>
  <mergeCells count="7">
    <mergeCell ref="A1:D1"/>
    <mergeCell ref="A16:C16"/>
    <mergeCell ref="A14:C14"/>
    <mergeCell ref="A17:C17"/>
    <mergeCell ref="A2:D2"/>
    <mergeCell ref="A15:C15"/>
    <mergeCell ref="A13:D13"/>
  </mergeCells>
  <printOptions horizontalCentered="1"/>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AF37"/>
  <sheetViews>
    <sheetView showGridLines="0" workbookViewId="0">
      <pane ySplit="13" topLeftCell="A14" activePane="bottomLeft" state="frozen"/>
      <selection pane="bottomLeft" activeCell="A1" sqref="A1"/>
    </sheetView>
  </sheetViews>
  <sheetFormatPr baseColWidth="8" defaultRowHeight="15"/>
  <cols>
    <col width="32" customWidth="1" min="1" max="1"/>
    <col width="13" customWidth="1" min="2" max="2"/>
    <col width="14" customWidth="1" min="3" max="3"/>
    <col width="11" customWidth="1" min="4" max="4"/>
    <col width="11" customWidth="1" min="5" max="5"/>
    <col width="11" customWidth="1" min="6" max="6"/>
    <col width="11" customWidth="1" min="7" max="7"/>
    <col width="11" customWidth="1" min="8" max="8"/>
    <col width="20" customWidth="1" min="9" max="9"/>
    <col width="3" customWidth="1" min="20" max="20"/>
    <col width="4" customWidth="1" min="30" max="30"/>
    <col width="4" customWidth="1" min="31" max="31"/>
    <col width="4" customWidth="1" min="32" max="32"/>
  </cols>
  <sheetData>
    <row r="1" ht="26" customHeight="1">
      <c r="A1" s="3" t="inlineStr">
        <is>
          <t>Individuals and Moving Range (I-MR)</t>
        </is>
      </c>
      <c r="B1" s="4" t="n"/>
      <c r="C1" s="4" t="n"/>
      <c r="D1" s="4" t="n"/>
      <c r="E1" s="4" t="n"/>
      <c r="F1" s="4" t="n"/>
      <c r="G1" s="4" t="n"/>
      <c r="H1" s="4" t="n"/>
      <c r="I1" s="4" t="n"/>
    </row>
    <row r="2">
      <c r="A2" s="5" t="inlineStr">
        <is>
          <t>One number per day or week — daily AHT, daily backlog, weekly SLA%. Not for raw per-contact durations: those are heavily skewed and the limits will lie to you.</t>
        </is>
      </c>
    </row>
    <row r="3">
      <c r="A3" s="12" t="inlineStr">
        <is>
          <t>Limits frozen from the first</t>
        </is>
      </c>
      <c r="B3" s="13" t="n">
        <v>20</v>
      </c>
      <c r="C3" s="5" t="inlineStr">
        <is>
          <t>points — the baseline window. Re-baseline when you have deliberately changed the process, never because the chart is signalling.</t>
        </is>
      </c>
    </row>
    <row r="4">
      <c r="A4" s="9" t="inlineStr">
        <is>
          <t>The maths, calculated from your data — nothing here is hard-coded</t>
        </is>
      </c>
      <c r="B4" s="10" t="n"/>
      <c r="C4" s="10" t="n"/>
      <c r="D4" s="10" t="n"/>
      <c r="E4" s="10" t="n"/>
      <c r="F4" s="10" t="n"/>
      <c r="G4" s="10" t="n"/>
      <c r="H4" s="10" t="n"/>
      <c r="I4" s="10" t="n"/>
    </row>
    <row r="5" ht="15" customHeight="1">
      <c r="A5" s="12" t="inlineStr">
        <is>
          <t>Points with data</t>
        </is>
      </c>
      <c r="B5" s="14">
        <f>COUNT(B14:B37)</f>
        <v/>
      </c>
      <c r="C5" s="15" t="inlineStr">
        <is>
          <t>Total points plotted. The limits use only the baseline window above.</t>
        </is>
      </c>
    </row>
    <row r="6" ht="15" customHeight="1">
      <c r="A6" s="12" t="inlineStr">
        <is>
          <t>Centre line (mean)</t>
        </is>
      </c>
      <c r="B6" s="16">
        <f>SUMIF($T$14:$T$37,"&lt;="&amp;$B$3,$B$14:$B$37)/$B$3</f>
        <v/>
      </c>
      <c r="C6" s="15" t="inlineStr">
        <is>
          <t>The process average over the BASELINE window, not the whole series.</t>
        </is>
      </c>
    </row>
    <row r="7" ht="15" customHeight="1">
      <c r="A7" s="12" t="inlineStr">
        <is>
          <t>Average moving range</t>
        </is>
      </c>
      <c r="B7" s="16">
        <f>SUMIF($T$15:$T$37,"&lt;="&amp;$B$3,$C$15:$C$37)/($B$3-1)</f>
        <v/>
      </c>
      <c r="C7" s="15" t="inlineStr">
        <is>
          <t>Mean gap between consecutive points — this is your short-term variation.</t>
        </is>
      </c>
    </row>
    <row r="8" ht="15" customHeight="1">
      <c r="A8" s="12" t="inlineStr">
        <is>
          <t>Sigma estimate</t>
        </is>
      </c>
      <c r="B8" s="16">
        <f>B7/1.128</f>
        <v/>
      </c>
      <c r="C8" s="15" t="inlineStr">
        <is>
          <t>MR-bar / 1.128. Uses only point-to-point movement, so a slow drift does not widen the limits.</t>
        </is>
      </c>
    </row>
    <row r="9" ht="15" customHeight="1">
      <c r="A9" s="12" t="inlineStr">
        <is>
          <t>Upper control limit</t>
        </is>
      </c>
      <c r="B9" s="16">
        <f>B6+2.66*B7</f>
        <v/>
      </c>
      <c r="C9" s="15" t="inlineStr">
        <is>
          <t>2.66 = 3 / 1.128. Same thing as mean + 3 sigma.</t>
        </is>
      </c>
    </row>
    <row r="10" ht="15" customHeight="1">
      <c r="A10" s="12" t="inlineStr">
        <is>
          <t>Lower control limit</t>
        </is>
      </c>
      <c r="B10" s="16">
        <f>B6-2.66*B7</f>
        <v/>
      </c>
      <c r="C10" s="15" t="inlineStr">
        <is>
          <t>If this goes below zero on a count, treat the lower limit as zero.</t>
        </is>
      </c>
    </row>
    <row r="11" ht="15" customHeight="1">
      <c r="A11" s="12" t="inlineStr">
        <is>
          <t>Moving-range UCL</t>
        </is>
      </c>
      <c r="B11" s="16">
        <f>3.267*B7</f>
        <v/>
      </c>
      <c r="C11" s="15" t="inlineStr">
        <is>
          <t>A point above this means the process jumped between two periods.</t>
        </is>
      </c>
    </row>
    <row r="12">
      <c r="A12" s="9" t="inlineStr">
        <is>
          <t>Your data — one row per period, oldest first</t>
        </is>
      </c>
      <c r="B12" s="10" t="n"/>
      <c r="C12" s="10" t="n"/>
      <c r="D12" s="10" t="n"/>
      <c r="E12" s="10" t="n"/>
      <c r="F12" s="10" t="n"/>
      <c r="G12" s="10" t="n"/>
      <c r="H12" s="10" t="n"/>
      <c r="I12" s="10" t="n"/>
    </row>
    <row r="13" ht="30" customHeight="1">
      <c r="A13" s="6" t="inlineStr">
        <is>
          <t>Period</t>
        </is>
      </c>
      <c r="B13" s="6" t="inlineStr">
        <is>
          <t>Value</t>
        </is>
      </c>
      <c r="C13" s="6" t="inlineStr">
        <is>
          <t>Moving range</t>
        </is>
      </c>
      <c r="D13" s="6" t="inlineStr">
        <is>
          <t>CL</t>
        </is>
      </c>
      <c r="E13" s="6" t="inlineStr">
        <is>
          <t>UCL</t>
        </is>
      </c>
      <c r="F13" s="6" t="inlineStr">
        <is>
          <t>LCL</t>
        </is>
      </c>
      <c r="G13" s="6" t="inlineStr">
        <is>
          <t>MR CL</t>
        </is>
      </c>
      <c r="H13" s="6" t="inlineStr">
        <is>
          <t>MR UCL</t>
        </is>
      </c>
      <c r="I13" s="6" t="inlineStr">
        <is>
          <t>Signal</t>
        </is>
      </c>
      <c r="T13" s="5" t="inlineStr">
        <is>
          <t>pt</t>
        </is>
      </c>
      <c r="AD13" s="5" t="inlineStr">
        <is>
          <t>out of control</t>
        </is>
      </c>
      <c r="AE13" s="5" t="inlineStr">
        <is>
          <t>8 in a row one side</t>
        </is>
      </c>
      <c r="AF13" s="5" t="inlineStr">
        <is>
          <t>MR out of control</t>
        </is>
      </c>
    </row>
    <row r="14">
      <c r="A14" t="inlineStr">
        <is>
          <t>Day 1</t>
        </is>
      </c>
      <c r="B14" s="17" t="n">
        <v>408</v>
      </c>
      <c r="D14" s="16">
        <f>IF(B14="","",$B$6)</f>
        <v/>
      </c>
      <c r="E14" s="16">
        <f>IF(B14="","",$B$9)</f>
        <v/>
      </c>
      <c r="F14" s="16">
        <f>IF(B14="","",$B$10)</f>
        <v/>
      </c>
      <c r="G14" s="16">
        <f>IF(B14="","",$B$7)</f>
        <v/>
      </c>
      <c r="H14" s="16">
        <f>IF(B14="","",$B$11)</f>
        <v/>
      </c>
      <c r="I14" s="18">
        <f>IF(B14="","",IF(OR(B14&gt;$B$9,B14&lt;$B$10),"OUT OF CONTROL",""))</f>
        <v/>
      </c>
      <c r="T14" s="19" t="n">
        <v>1</v>
      </c>
      <c r="AD14" s="19">
        <f>IF($B14="",NA(),IF(OR($B14&gt;$B$9,$B14&lt;$B$10),$B14,NA()))</f>
        <v/>
      </c>
      <c r="AE14" s="19">
        <f>NA()</f>
        <v/>
      </c>
      <c r="AF14" s="19">
        <f>IF($C14="",NA(),IF($C14&gt;$B$11,$C14,NA()))</f>
        <v/>
      </c>
    </row>
    <row r="15">
      <c r="A15" t="inlineStr">
        <is>
          <t>Day 2</t>
        </is>
      </c>
      <c r="B15" s="20" t="n">
        <v>415</v>
      </c>
      <c r="C15" s="16">
        <f>IF(COUNT(B14:B15)=2,ABS(B15-B14),"")</f>
        <v/>
      </c>
      <c r="D15" s="16">
        <f>IF(B15="","",$B$6)</f>
        <v/>
      </c>
      <c r="E15" s="16">
        <f>IF(B15="","",$B$9)</f>
        <v/>
      </c>
      <c r="F15" s="16">
        <f>IF(B15="","",$B$10)</f>
        <v/>
      </c>
      <c r="G15" s="16">
        <f>IF(B15="","",$B$7)</f>
        <v/>
      </c>
      <c r="H15" s="16">
        <f>IF(B15="","",$B$11)</f>
        <v/>
      </c>
      <c r="I15" s="18">
        <f>IF(B15="","",IF(OR(B15&gt;$B$9,B15&lt;$B$10),"OUT OF CONTROL",""))</f>
        <v/>
      </c>
      <c r="T15" s="19" t="n">
        <v>2</v>
      </c>
      <c r="AD15" s="19">
        <f>IF($B15="",NA(),IF(OR($B15&gt;$B$9,$B15&lt;$B$10),$B15,NA()))</f>
        <v/>
      </c>
      <c r="AE15" s="19">
        <f>NA()</f>
        <v/>
      </c>
      <c r="AF15" s="19">
        <f>IF($C15="",NA(),IF($C15&gt;$B$11,$C15,NA()))</f>
        <v/>
      </c>
    </row>
    <row r="16">
      <c r="A16" t="inlineStr">
        <is>
          <t>Day 3</t>
        </is>
      </c>
      <c r="B16" s="20" t="n">
        <v>402</v>
      </c>
      <c r="C16" s="16">
        <f>IF(COUNT(B15:B16)=2,ABS(B16-B15),"")</f>
        <v/>
      </c>
      <c r="D16" s="16">
        <f>IF(B16="","",$B$6)</f>
        <v/>
      </c>
      <c r="E16" s="16">
        <f>IF(B16="","",$B$9)</f>
        <v/>
      </c>
      <c r="F16" s="16">
        <f>IF(B16="","",$B$10)</f>
        <v/>
      </c>
      <c r="G16" s="16">
        <f>IF(B16="","",$B$7)</f>
        <v/>
      </c>
      <c r="H16" s="16">
        <f>IF(B16="","",$B$11)</f>
        <v/>
      </c>
      <c r="I16" s="18">
        <f>IF(B16="","",IF(OR(B16&gt;$B$9,B16&lt;$B$10),"OUT OF CONTROL",""))</f>
        <v/>
      </c>
      <c r="T16" s="19" t="n">
        <v>3</v>
      </c>
      <c r="AD16" s="19">
        <f>IF($B16="",NA(),IF(OR($B16&gt;$B$9,$B16&lt;$B$10),$B16,NA()))</f>
        <v/>
      </c>
      <c r="AE16" s="19">
        <f>NA()</f>
        <v/>
      </c>
      <c r="AF16" s="19">
        <f>IF($C16="",NA(),IF($C16&gt;$B$11,$C16,NA()))</f>
        <v/>
      </c>
    </row>
    <row r="17">
      <c r="A17" t="inlineStr">
        <is>
          <t>Day 4</t>
        </is>
      </c>
      <c r="B17" s="20" t="n">
        <v>431</v>
      </c>
      <c r="C17" s="16">
        <f>IF(COUNT(B16:B17)=2,ABS(B17-B16),"")</f>
        <v/>
      </c>
      <c r="D17" s="16">
        <f>IF(B17="","",$B$6)</f>
        <v/>
      </c>
      <c r="E17" s="16">
        <f>IF(B17="","",$B$9)</f>
        <v/>
      </c>
      <c r="F17" s="16">
        <f>IF(B17="","",$B$10)</f>
        <v/>
      </c>
      <c r="G17" s="16">
        <f>IF(B17="","",$B$7)</f>
        <v/>
      </c>
      <c r="H17" s="16">
        <f>IF(B17="","",$B$11)</f>
        <v/>
      </c>
      <c r="I17" s="18">
        <f>IF(B17="","",IF(OR(B17&gt;$B$9,B17&lt;$B$10),"OUT OF CONTROL",""))</f>
        <v/>
      </c>
      <c r="T17" s="19" t="n">
        <v>4</v>
      </c>
      <c r="AD17" s="19">
        <f>IF($B17="",NA(),IF(OR($B17&gt;$B$9,$B17&lt;$B$10),$B17,NA()))</f>
        <v/>
      </c>
      <c r="AE17" s="19">
        <f>NA()</f>
        <v/>
      </c>
      <c r="AF17" s="19">
        <f>IF($C17="",NA(),IF($C17&gt;$B$11,$C17,NA()))</f>
        <v/>
      </c>
    </row>
    <row r="18">
      <c r="A18" t="inlineStr">
        <is>
          <t>Day 5</t>
        </is>
      </c>
      <c r="B18" s="20" t="n">
        <v>419</v>
      </c>
      <c r="C18" s="16">
        <f>IF(COUNT(B17:B18)=2,ABS(B18-B17),"")</f>
        <v/>
      </c>
      <c r="D18" s="16">
        <f>IF(B18="","",$B$6)</f>
        <v/>
      </c>
      <c r="E18" s="16">
        <f>IF(B18="","",$B$9)</f>
        <v/>
      </c>
      <c r="F18" s="16">
        <f>IF(B18="","",$B$10)</f>
        <v/>
      </c>
      <c r="G18" s="16">
        <f>IF(B18="","",$B$7)</f>
        <v/>
      </c>
      <c r="H18" s="16">
        <f>IF(B18="","",$B$11)</f>
        <v/>
      </c>
      <c r="I18" s="18">
        <f>IF(B18="","",IF(OR(B18&gt;$B$9,B18&lt;$B$10),"OUT OF CONTROL",""))</f>
        <v/>
      </c>
      <c r="T18" s="19" t="n">
        <v>5</v>
      </c>
      <c r="AD18" s="19">
        <f>IF($B18="",NA(),IF(OR($B18&gt;$B$9,$B18&lt;$B$10),$B18,NA()))</f>
        <v/>
      </c>
      <c r="AE18" s="19">
        <f>NA()</f>
        <v/>
      </c>
      <c r="AF18" s="19">
        <f>IF($C18="",NA(),IF($C18&gt;$B$11,$C18,NA()))</f>
        <v/>
      </c>
    </row>
    <row r="19">
      <c r="A19" t="inlineStr">
        <is>
          <t>Day 6</t>
        </is>
      </c>
      <c r="B19" s="20" t="n">
        <v>396</v>
      </c>
      <c r="C19" s="16">
        <f>IF(COUNT(B18:B19)=2,ABS(B19-B18),"")</f>
        <v/>
      </c>
      <c r="D19" s="16">
        <f>IF(B19="","",$B$6)</f>
        <v/>
      </c>
      <c r="E19" s="16">
        <f>IF(B19="","",$B$9)</f>
        <v/>
      </c>
      <c r="F19" s="16">
        <f>IF(B19="","",$B$10)</f>
        <v/>
      </c>
      <c r="G19" s="16">
        <f>IF(B19="","",$B$7)</f>
        <v/>
      </c>
      <c r="H19" s="16">
        <f>IF(B19="","",$B$11)</f>
        <v/>
      </c>
      <c r="I19" s="18">
        <f>IF(B19="","",IF(OR(B19&gt;$B$9,B19&lt;$B$10),"OUT OF CONTROL",""))</f>
        <v/>
      </c>
      <c r="T19" s="19" t="n">
        <v>6</v>
      </c>
      <c r="AD19" s="19">
        <f>IF($B19="",NA(),IF(OR($B19&gt;$B$9,$B19&lt;$B$10),$B19,NA()))</f>
        <v/>
      </c>
      <c r="AE19" s="19">
        <f>NA()</f>
        <v/>
      </c>
      <c r="AF19" s="19">
        <f>IF($C19="",NA(),IF($C19&gt;$B$11,$C19,NA()))</f>
        <v/>
      </c>
    </row>
    <row r="20">
      <c r="A20" t="inlineStr">
        <is>
          <t>Day 7</t>
        </is>
      </c>
      <c r="B20" s="20" t="n">
        <v>424</v>
      </c>
      <c r="C20" s="16">
        <f>IF(COUNT(B19:B20)=2,ABS(B20-B19),"")</f>
        <v/>
      </c>
      <c r="D20" s="16">
        <f>IF(B20="","",$B$6)</f>
        <v/>
      </c>
      <c r="E20" s="16">
        <f>IF(B20="","",$B$9)</f>
        <v/>
      </c>
      <c r="F20" s="16">
        <f>IF(B20="","",$B$10)</f>
        <v/>
      </c>
      <c r="G20" s="16">
        <f>IF(B20="","",$B$7)</f>
        <v/>
      </c>
      <c r="H20" s="16">
        <f>IF(B20="","",$B$11)</f>
        <v/>
      </c>
      <c r="I20" s="18">
        <f>IF(B20="","",IF(OR(B20&gt;$B$9,B20&lt;$B$10),"OUT OF CONTROL",""))</f>
        <v/>
      </c>
      <c r="T20" s="19" t="n">
        <v>7</v>
      </c>
      <c r="AD20" s="19">
        <f>IF($B20="",NA(),IF(OR($B20&gt;$B$9,$B20&lt;$B$10),$B20,NA()))</f>
        <v/>
      </c>
      <c r="AE20" s="19">
        <f>NA()</f>
        <v/>
      </c>
      <c r="AF20" s="19">
        <f>IF($C20="",NA(),IF($C20&gt;$B$11,$C20,NA()))</f>
        <v/>
      </c>
    </row>
    <row r="21">
      <c r="A21" t="inlineStr">
        <is>
          <t>Day 8</t>
        </is>
      </c>
      <c r="B21" s="20" t="n">
        <v>410</v>
      </c>
      <c r="C21" s="16">
        <f>IF(COUNT(B20:B21)=2,ABS(B21-B20),"")</f>
        <v/>
      </c>
      <c r="D21" s="16">
        <f>IF(B21="","",$B$6)</f>
        <v/>
      </c>
      <c r="E21" s="16">
        <f>IF(B21="","",$B$9)</f>
        <v/>
      </c>
      <c r="F21" s="16">
        <f>IF(B21="","",$B$10)</f>
        <v/>
      </c>
      <c r="G21" s="16">
        <f>IF(B21="","",$B$7)</f>
        <v/>
      </c>
      <c r="H21" s="16">
        <f>IF(B21="","",$B$11)</f>
        <v/>
      </c>
      <c r="I21" s="18">
        <f>IF(B21="","",IF(OR(B21&gt;$B$9,B21&lt;$B$10),"OUT OF CONTROL",IF(AND(COUNT(B14:B21)=8,OR(MIN(B14:B21)&gt;$B$6,MAX(B14:B21)&lt;$B$6)),"8 in a row one side — shift","")))</f>
        <v/>
      </c>
      <c r="T21" s="19" t="n">
        <v>8</v>
      </c>
      <c r="AD21" s="19">
        <f>IF($B21="",NA(),IF(OR($B21&gt;$B$9,$B21&lt;$B$10),$B21,NA()))</f>
        <v/>
      </c>
      <c r="AE21" s="19">
        <f>IF(COUNT($B14:$B21)&lt;8,NA(),IF(OR(MIN($B14:$B21)&gt;$B$6,MAX($B14:$B21)&lt;$B$6),$B21,NA()))</f>
        <v/>
      </c>
      <c r="AF21" s="19">
        <f>IF($C21="",NA(),IF($C21&gt;$B$11,$C21,NA()))</f>
        <v/>
      </c>
    </row>
    <row r="22">
      <c r="A22" t="inlineStr">
        <is>
          <t>Day 9</t>
        </is>
      </c>
      <c r="B22" s="20" t="n">
        <v>438</v>
      </c>
      <c r="C22" s="16">
        <f>IF(COUNT(B21:B22)=2,ABS(B22-B21),"")</f>
        <v/>
      </c>
      <c r="D22" s="16">
        <f>IF(B22="","",$B$6)</f>
        <v/>
      </c>
      <c r="E22" s="16">
        <f>IF(B22="","",$B$9)</f>
        <v/>
      </c>
      <c r="F22" s="16">
        <f>IF(B22="","",$B$10)</f>
        <v/>
      </c>
      <c r="G22" s="16">
        <f>IF(B22="","",$B$7)</f>
        <v/>
      </c>
      <c r="H22" s="16">
        <f>IF(B22="","",$B$11)</f>
        <v/>
      </c>
      <c r="I22" s="18">
        <f>IF(B22="","",IF(OR(B22&gt;$B$9,B22&lt;$B$10),"OUT OF CONTROL",IF(AND(COUNT(B15:B22)=8,OR(MIN(B15:B22)&gt;$B$6,MAX(B15:B22)&lt;$B$6)),"8 in a row one side — shift","")))</f>
        <v/>
      </c>
      <c r="T22" s="19" t="n">
        <v>9</v>
      </c>
      <c r="AD22" s="19">
        <f>IF($B22="",NA(),IF(OR($B22&gt;$B$9,$B22&lt;$B$10),$B22,NA()))</f>
        <v/>
      </c>
      <c r="AE22" s="19">
        <f>IF(COUNT($B15:$B22)&lt;8,NA(),IF(OR(MIN($B15:$B22)&gt;$B$6,MAX($B15:$B22)&lt;$B$6),$B22,NA()))</f>
        <v/>
      </c>
      <c r="AF22" s="19">
        <f>IF($C22="",NA(),IF($C22&gt;$B$11,$C22,NA()))</f>
        <v/>
      </c>
    </row>
    <row r="23">
      <c r="A23" t="inlineStr">
        <is>
          <t>Day 10</t>
        </is>
      </c>
      <c r="B23" s="20" t="n">
        <v>405</v>
      </c>
      <c r="C23" s="16">
        <f>IF(COUNT(B22:B23)=2,ABS(B23-B22),"")</f>
        <v/>
      </c>
      <c r="D23" s="16">
        <f>IF(B23="","",$B$6)</f>
        <v/>
      </c>
      <c r="E23" s="16">
        <f>IF(B23="","",$B$9)</f>
        <v/>
      </c>
      <c r="F23" s="16">
        <f>IF(B23="","",$B$10)</f>
        <v/>
      </c>
      <c r="G23" s="16">
        <f>IF(B23="","",$B$7)</f>
        <v/>
      </c>
      <c r="H23" s="16">
        <f>IF(B23="","",$B$11)</f>
        <v/>
      </c>
      <c r="I23" s="18">
        <f>IF(B23="","",IF(OR(B23&gt;$B$9,B23&lt;$B$10),"OUT OF CONTROL",IF(AND(COUNT(B16:B23)=8,OR(MIN(B16:B23)&gt;$B$6,MAX(B16:B23)&lt;$B$6)),"8 in a row one side — shift","")))</f>
        <v/>
      </c>
      <c r="T23" s="19" t="n">
        <v>10</v>
      </c>
      <c r="AD23" s="19">
        <f>IF($B23="",NA(),IF(OR($B23&gt;$B$9,$B23&lt;$B$10),$B23,NA()))</f>
        <v/>
      </c>
      <c r="AE23" s="19">
        <f>IF(COUNT($B16:$B23)&lt;8,NA(),IF(OR(MIN($B16:$B23)&gt;$B$6,MAX($B16:$B23)&lt;$B$6),$B23,NA()))</f>
        <v/>
      </c>
      <c r="AF23" s="19">
        <f>IF($C23="",NA(),IF($C23&gt;$B$11,$C23,NA()))</f>
        <v/>
      </c>
    </row>
    <row r="24">
      <c r="A24" t="inlineStr">
        <is>
          <t>Day 11</t>
        </is>
      </c>
      <c r="B24" s="20" t="n">
        <v>417</v>
      </c>
      <c r="C24" s="16">
        <f>IF(COUNT(B23:B24)=2,ABS(B24-B23),"")</f>
        <v/>
      </c>
      <c r="D24" s="16">
        <f>IF(B24="","",$B$6)</f>
        <v/>
      </c>
      <c r="E24" s="16">
        <f>IF(B24="","",$B$9)</f>
        <v/>
      </c>
      <c r="F24" s="16">
        <f>IF(B24="","",$B$10)</f>
        <v/>
      </c>
      <c r="G24" s="16">
        <f>IF(B24="","",$B$7)</f>
        <v/>
      </c>
      <c r="H24" s="16">
        <f>IF(B24="","",$B$11)</f>
        <v/>
      </c>
      <c r="I24" s="18">
        <f>IF(B24="","",IF(OR(B24&gt;$B$9,B24&lt;$B$10),"OUT OF CONTROL",IF(AND(COUNT(B17:B24)=8,OR(MIN(B17:B24)&gt;$B$6,MAX(B17:B24)&lt;$B$6)),"8 in a row one side — shift","")))</f>
        <v/>
      </c>
      <c r="T24" s="19" t="n">
        <v>11</v>
      </c>
      <c r="AD24" s="19">
        <f>IF($B24="",NA(),IF(OR($B24&gt;$B$9,$B24&lt;$B$10),$B24,NA()))</f>
        <v/>
      </c>
      <c r="AE24" s="19">
        <f>IF(COUNT($B17:$B24)&lt;8,NA(),IF(OR(MIN($B17:$B24)&gt;$B$6,MAX($B17:$B24)&lt;$B$6),$B24,NA()))</f>
        <v/>
      </c>
      <c r="AF24" s="19">
        <f>IF($C24="",NA(),IF($C24&gt;$B$11,$C24,NA()))</f>
        <v/>
      </c>
    </row>
    <row r="25">
      <c r="A25" t="inlineStr">
        <is>
          <t>Day 12</t>
        </is>
      </c>
      <c r="B25" s="20" t="n">
        <v>429</v>
      </c>
      <c r="C25" s="16">
        <f>IF(COUNT(B24:B25)=2,ABS(B25-B24),"")</f>
        <v/>
      </c>
      <c r="D25" s="16">
        <f>IF(B25="","",$B$6)</f>
        <v/>
      </c>
      <c r="E25" s="16">
        <f>IF(B25="","",$B$9)</f>
        <v/>
      </c>
      <c r="F25" s="16">
        <f>IF(B25="","",$B$10)</f>
        <v/>
      </c>
      <c r="G25" s="16">
        <f>IF(B25="","",$B$7)</f>
        <v/>
      </c>
      <c r="H25" s="16">
        <f>IF(B25="","",$B$11)</f>
        <v/>
      </c>
      <c r="I25" s="18">
        <f>IF(B25="","",IF(OR(B25&gt;$B$9,B25&lt;$B$10),"OUT OF CONTROL",IF(AND(COUNT(B18:B25)=8,OR(MIN(B18:B25)&gt;$B$6,MAX(B18:B25)&lt;$B$6)),"8 in a row one side — shift","")))</f>
        <v/>
      </c>
      <c r="T25" s="19" t="n">
        <v>12</v>
      </c>
      <c r="AD25" s="19">
        <f>IF($B25="",NA(),IF(OR($B25&gt;$B$9,$B25&lt;$B$10),$B25,NA()))</f>
        <v/>
      </c>
      <c r="AE25" s="19">
        <f>IF(COUNT($B18:$B25)&lt;8,NA(),IF(OR(MIN($B18:$B25)&gt;$B$6,MAX($B18:$B25)&lt;$B$6),$B25,NA()))</f>
        <v/>
      </c>
      <c r="AF25" s="19">
        <f>IF($C25="",NA(),IF($C25&gt;$B$11,$C25,NA()))</f>
        <v/>
      </c>
    </row>
    <row r="26">
      <c r="A26" t="inlineStr">
        <is>
          <t>Day 13</t>
        </is>
      </c>
      <c r="B26" s="20" t="n">
        <v>401</v>
      </c>
      <c r="C26" s="16">
        <f>IF(COUNT(B25:B26)=2,ABS(B26-B25),"")</f>
        <v/>
      </c>
      <c r="D26" s="16">
        <f>IF(B26="","",$B$6)</f>
        <v/>
      </c>
      <c r="E26" s="16">
        <f>IF(B26="","",$B$9)</f>
        <v/>
      </c>
      <c r="F26" s="16">
        <f>IF(B26="","",$B$10)</f>
        <v/>
      </c>
      <c r="G26" s="16">
        <f>IF(B26="","",$B$7)</f>
        <v/>
      </c>
      <c r="H26" s="16">
        <f>IF(B26="","",$B$11)</f>
        <v/>
      </c>
      <c r="I26" s="18">
        <f>IF(B26="","",IF(OR(B26&gt;$B$9,B26&lt;$B$10),"OUT OF CONTROL",IF(AND(COUNT(B19:B26)=8,OR(MIN(B19:B26)&gt;$B$6,MAX(B19:B26)&lt;$B$6)),"8 in a row one side — shift","")))</f>
        <v/>
      </c>
      <c r="T26" s="19" t="n">
        <v>13</v>
      </c>
      <c r="AD26" s="19">
        <f>IF($B26="",NA(),IF(OR($B26&gt;$B$9,$B26&lt;$B$10),$B26,NA()))</f>
        <v/>
      </c>
      <c r="AE26" s="19">
        <f>IF(COUNT($B19:$B26)&lt;8,NA(),IF(OR(MIN($B19:$B26)&gt;$B$6,MAX($B19:$B26)&lt;$B$6),$B26,NA()))</f>
        <v/>
      </c>
      <c r="AF26" s="19">
        <f>IF($C26="",NA(),IF($C26&gt;$B$11,$C26,NA()))</f>
        <v/>
      </c>
    </row>
    <row r="27">
      <c r="A27" t="inlineStr">
        <is>
          <t>Day 14</t>
        </is>
      </c>
      <c r="B27" s="20" t="n">
        <v>422</v>
      </c>
      <c r="C27" s="16">
        <f>IF(COUNT(B26:B27)=2,ABS(B27-B26),"")</f>
        <v/>
      </c>
      <c r="D27" s="16">
        <f>IF(B27="","",$B$6)</f>
        <v/>
      </c>
      <c r="E27" s="16">
        <f>IF(B27="","",$B$9)</f>
        <v/>
      </c>
      <c r="F27" s="16">
        <f>IF(B27="","",$B$10)</f>
        <v/>
      </c>
      <c r="G27" s="16">
        <f>IF(B27="","",$B$7)</f>
        <v/>
      </c>
      <c r="H27" s="16">
        <f>IF(B27="","",$B$11)</f>
        <v/>
      </c>
      <c r="I27" s="18">
        <f>IF(B27="","",IF(OR(B27&gt;$B$9,B27&lt;$B$10),"OUT OF CONTROL",IF(AND(COUNT(B20:B27)=8,OR(MIN(B20:B27)&gt;$B$6,MAX(B20:B27)&lt;$B$6)),"8 in a row one side — shift","")))</f>
        <v/>
      </c>
      <c r="T27" s="19" t="n">
        <v>14</v>
      </c>
      <c r="AD27" s="19">
        <f>IF($B27="",NA(),IF(OR($B27&gt;$B$9,$B27&lt;$B$10),$B27,NA()))</f>
        <v/>
      </c>
      <c r="AE27" s="19">
        <f>IF(COUNT($B20:$B27)&lt;8,NA(),IF(OR(MIN($B20:$B27)&gt;$B$6,MAX($B20:$B27)&lt;$B$6),$B27,NA()))</f>
        <v/>
      </c>
      <c r="AF27" s="19">
        <f>IF($C27="",NA(),IF($C27&gt;$B$11,$C27,NA()))</f>
        <v/>
      </c>
    </row>
    <row r="28">
      <c r="A28" t="inlineStr">
        <is>
          <t>Day 15</t>
        </is>
      </c>
      <c r="B28" s="20" t="n">
        <v>413</v>
      </c>
      <c r="C28" s="16">
        <f>IF(COUNT(B27:B28)=2,ABS(B28-B27),"")</f>
        <v/>
      </c>
      <c r="D28" s="16">
        <f>IF(B28="","",$B$6)</f>
        <v/>
      </c>
      <c r="E28" s="16">
        <f>IF(B28="","",$B$9)</f>
        <v/>
      </c>
      <c r="F28" s="16">
        <f>IF(B28="","",$B$10)</f>
        <v/>
      </c>
      <c r="G28" s="16">
        <f>IF(B28="","",$B$7)</f>
        <v/>
      </c>
      <c r="H28" s="16">
        <f>IF(B28="","",$B$11)</f>
        <v/>
      </c>
      <c r="I28" s="18">
        <f>IF(B28="","",IF(OR(B28&gt;$B$9,B28&lt;$B$10),"OUT OF CONTROL",IF(AND(COUNT(B21:B28)=8,OR(MIN(B21:B28)&gt;$B$6,MAX(B21:B28)&lt;$B$6)),"8 in a row one side — shift","")))</f>
        <v/>
      </c>
      <c r="T28" s="19" t="n">
        <v>15</v>
      </c>
      <c r="AD28" s="19">
        <f>IF($B28="",NA(),IF(OR($B28&gt;$B$9,$B28&lt;$B$10),$B28,NA()))</f>
        <v/>
      </c>
      <c r="AE28" s="19">
        <f>IF(COUNT($B21:$B28)&lt;8,NA(),IF(OR(MIN($B21:$B28)&gt;$B$6,MAX($B21:$B28)&lt;$B$6),$B28,NA()))</f>
        <v/>
      </c>
      <c r="AF28" s="19">
        <f>IF($C28="",NA(),IF($C28&gt;$B$11,$C28,NA()))</f>
        <v/>
      </c>
    </row>
    <row r="29">
      <c r="A29" t="inlineStr">
        <is>
          <t>Day 16</t>
        </is>
      </c>
      <c r="B29" s="20" t="n">
        <v>407</v>
      </c>
      <c r="C29" s="16">
        <f>IF(COUNT(B28:B29)=2,ABS(B29-B28),"")</f>
        <v/>
      </c>
      <c r="D29" s="16">
        <f>IF(B29="","",$B$6)</f>
        <v/>
      </c>
      <c r="E29" s="16">
        <f>IF(B29="","",$B$9)</f>
        <v/>
      </c>
      <c r="F29" s="16">
        <f>IF(B29="","",$B$10)</f>
        <v/>
      </c>
      <c r="G29" s="16">
        <f>IF(B29="","",$B$7)</f>
        <v/>
      </c>
      <c r="H29" s="16">
        <f>IF(B29="","",$B$11)</f>
        <v/>
      </c>
      <c r="I29" s="18">
        <f>IF(B29="","",IF(OR(B29&gt;$B$9,B29&lt;$B$10),"OUT OF CONTROL",IF(AND(COUNT(B22:B29)=8,OR(MIN(B22:B29)&gt;$B$6,MAX(B22:B29)&lt;$B$6)),"8 in a row one side — shift","")))</f>
        <v/>
      </c>
      <c r="T29" s="19" t="n">
        <v>16</v>
      </c>
      <c r="AD29" s="19">
        <f>IF($B29="",NA(),IF(OR($B29&gt;$B$9,$B29&lt;$B$10),$B29,NA()))</f>
        <v/>
      </c>
      <c r="AE29" s="19">
        <f>IF(COUNT($B22:$B29)&lt;8,NA(),IF(OR(MIN($B22:$B29)&gt;$B$6,MAX($B22:$B29)&lt;$B$6),$B29,NA()))</f>
        <v/>
      </c>
      <c r="AF29" s="19">
        <f>IF($C29="",NA(),IF($C29&gt;$B$11,$C29,NA()))</f>
        <v/>
      </c>
    </row>
    <row r="30">
      <c r="A30" t="inlineStr">
        <is>
          <t>Day 17</t>
        </is>
      </c>
      <c r="B30" s="20" t="n">
        <v>435</v>
      </c>
      <c r="C30" s="16">
        <f>IF(COUNT(B29:B30)=2,ABS(B30-B29),"")</f>
        <v/>
      </c>
      <c r="D30" s="16">
        <f>IF(B30="","",$B$6)</f>
        <v/>
      </c>
      <c r="E30" s="16">
        <f>IF(B30="","",$B$9)</f>
        <v/>
      </c>
      <c r="F30" s="16">
        <f>IF(B30="","",$B$10)</f>
        <v/>
      </c>
      <c r="G30" s="16">
        <f>IF(B30="","",$B$7)</f>
        <v/>
      </c>
      <c r="H30" s="16">
        <f>IF(B30="","",$B$11)</f>
        <v/>
      </c>
      <c r="I30" s="18">
        <f>IF(B30="","",IF(OR(B30&gt;$B$9,B30&lt;$B$10),"OUT OF CONTROL",IF(AND(COUNT(B23:B30)=8,OR(MIN(B23:B30)&gt;$B$6,MAX(B23:B30)&lt;$B$6)),"8 in a row one side — shift","")))</f>
        <v/>
      </c>
      <c r="T30" s="19" t="n">
        <v>17</v>
      </c>
      <c r="AD30" s="19">
        <f>IF($B30="",NA(),IF(OR($B30&gt;$B$9,$B30&lt;$B$10),$B30,NA()))</f>
        <v/>
      </c>
      <c r="AE30" s="19">
        <f>IF(COUNT($B23:$B30)&lt;8,NA(),IF(OR(MIN($B23:$B30)&gt;$B$6,MAX($B23:$B30)&lt;$B$6),$B30,NA()))</f>
        <v/>
      </c>
      <c r="AF30" s="19">
        <f>IF($C30="",NA(),IF($C30&gt;$B$11,$C30,NA()))</f>
        <v/>
      </c>
    </row>
    <row r="31">
      <c r="A31" t="inlineStr">
        <is>
          <t>Day 18</t>
        </is>
      </c>
      <c r="B31" s="20" t="n">
        <v>398</v>
      </c>
      <c r="C31" s="16">
        <f>IF(COUNT(B30:B31)=2,ABS(B31-B30),"")</f>
        <v/>
      </c>
      <c r="D31" s="16">
        <f>IF(B31="","",$B$6)</f>
        <v/>
      </c>
      <c r="E31" s="16">
        <f>IF(B31="","",$B$9)</f>
        <v/>
      </c>
      <c r="F31" s="16">
        <f>IF(B31="","",$B$10)</f>
        <v/>
      </c>
      <c r="G31" s="16">
        <f>IF(B31="","",$B$7)</f>
        <v/>
      </c>
      <c r="H31" s="16">
        <f>IF(B31="","",$B$11)</f>
        <v/>
      </c>
      <c r="I31" s="18">
        <f>IF(B31="","",IF(OR(B31&gt;$B$9,B31&lt;$B$10),"OUT OF CONTROL",IF(AND(COUNT(B24:B31)=8,OR(MIN(B24:B31)&gt;$B$6,MAX(B24:B31)&lt;$B$6)),"8 in a row one side — shift","")))</f>
        <v/>
      </c>
      <c r="T31" s="19" t="n">
        <v>18</v>
      </c>
      <c r="AD31" s="19">
        <f>IF($B31="",NA(),IF(OR($B31&gt;$B$9,$B31&lt;$B$10),$B31,NA()))</f>
        <v/>
      </c>
      <c r="AE31" s="19">
        <f>IF(COUNT($B24:$B31)&lt;8,NA(),IF(OR(MIN($B24:$B31)&gt;$B$6,MAX($B24:$B31)&lt;$B$6),$B31,NA()))</f>
        <v/>
      </c>
      <c r="AF31" s="19">
        <f>IF($C31="",NA(),IF($C31&gt;$B$11,$C31,NA()))</f>
        <v/>
      </c>
    </row>
    <row r="32">
      <c r="A32" t="inlineStr">
        <is>
          <t>Day 19</t>
        </is>
      </c>
      <c r="B32" s="20" t="n">
        <v>420</v>
      </c>
      <c r="C32" s="16">
        <f>IF(COUNT(B31:B32)=2,ABS(B32-B31),"")</f>
        <v/>
      </c>
      <c r="D32" s="16">
        <f>IF(B32="","",$B$6)</f>
        <v/>
      </c>
      <c r="E32" s="16">
        <f>IF(B32="","",$B$9)</f>
        <v/>
      </c>
      <c r="F32" s="16">
        <f>IF(B32="","",$B$10)</f>
        <v/>
      </c>
      <c r="G32" s="16">
        <f>IF(B32="","",$B$7)</f>
        <v/>
      </c>
      <c r="H32" s="16">
        <f>IF(B32="","",$B$11)</f>
        <v/>
      </c>
      <c r="I32" s="18">
        <f>IF(B32="","",IF(OR(B32&gt;$B$9,B32&lt;$B$10),"OUT OF CONTROL",IF(AND(COUNT(B25:B32)=8,OR(MIN(B25:B32)&gt;$B$6,MAX(B25:B32)&lt;$B$6)),"8 in a row one side — shift","")))</f>
        <v/>
      </c>
      <c r="T32" s="19" t="n">
        <v>19</v>
      </c>
      <c r="AD32" s="19">
        <f>IF($B32="",NA(),IF(OR($B32&gt;$B$9,$B32&lt;$B$10),$B32,NA()))</f>
        <v/>
      </c>
      <c r="AE32" s="19">
        <f>IF(COUNT($B25:$B32)&lt;8,NA(),IF(OR(MIN($B25:$B32)&gt;$B$6,MAX($B25:$B32)&lt;$B$6),$B32,NA()))</f>
        <v/>
      </c>
      <c r="AF32" s="19">
        <f>IF($C32="",NA(),IF($C32&gt;$B$11,$C32,NA()))</f>
        <v/>
      </c>
    </row>
    <row r="33">
      <c r="A33" t="inlineStr">
        <is>
          <t>Day 20</t>
        </is>
      </c>
      <c r="B33" s="20" t="n">
        <v>411</v>
      </c>
      <c r="C33" s="16">
        <f>IF(COUNT(B32:B33)=2,ABS(B33-B32),"")</f>
        <v/>
      </c>
      <c r="D33" s="16">
        <f>IF(B33="","",$B$6)</f>
        <v/>
      </c>
      <c r="E33" s="16">
        <f>IF(B33="","",$B$9)</f>
        <v/>
      </c>
      <c r="F33" s="16">
        <f>IF(B33="","",$B$10)</f>
        <v/>
      </c>
      <c r="G33" s="16">
        <f>IF(B33="","",$B$7)</f>
        <v/>
      </c>
      <c r="H33" s="16">
        <f>IF(B33="","",$B$11)</f>
        <v/>
      </c>
      <c r="I33" s="18">
        <f>IF(B33="","",IF(OR(B33&gt;$B$9,B33&lt;$B$10),"OUT OF CONTROL",IF(AND(COUNT(B26:B33)=8,OR(MIN(B26:B33)&gt;$B$6,MAX(B26:B33)&lt;$B$6)),"8 in a row one side — shift","")))</f>
        <v/>
      </c>
      <c r="T33" s="19" t="n">
        <v>20</v>
      </c>
      <c r="AD33" s="19">
        <f>IF($B33="",NA(),IF(OR($B33&gt;$B$9,$B33&lt;$B$10),$B33,NA()))</f>
        <v/>
      </c>
      <c r="AE33" s="19">
        <f>IF(COUNT($B26:$B33)&lt;8,NA(),IF(OR(MIN($B26:$B33)&gt;$B$6,MAX($B26:$B33)&lt;$B$6),$B33,NA()))</f>
        <v/>
      </c>
      <c r="AF33" s="19">
        <f>IF($C33="",NA(),IF($C33&gt;$B$11,$C33,NA()))</f>
        <v/>
      </c>
    </row>
    <row r="34">
      <c r="A34" t="inlineStr">
        <is>
          <t>Day 21</t>
        </is>
      </c>
      <c r="B34" s="20" t="n">
        <v>442</v>
      </c>
      <c r="C34" s="16">
        <f>IF(COUNT(B33:B34)=2,ABS(B34-B33),"")</f>
        <v/>
      </c>
      <c r="D34" s="16">
        <f>IF(B34="","",$B$6)</f>
        <v/>
      </c>
      <c r="E34" s="16">
        <f>IF(B34="","",$B$9)</f>
        <v/>
      </c>
      <c r="F34" s="16">
        <f>IF(B34="","",$B$10)</f>
        <v/>
      </c>
      <c r="G34" s="16">
        <f>IF(B34="","",$B$7)</f>
        <v/>
      </c>
      <c r="H34" s="16">
        <f>IF(B34="","",$B$11)</f>
        <v/>
      </c>
      <c r="I34" s="18">
        <f>IF(B34="","",IF(OR(B34&gt;$B$9,B34&lt;$B$10),"OUT OF CONTROL",IF(AND(COUNT(B27:B34)=8,OR(MIN(B27:B34)&gt;$B$6,MAX(B27:B34)&lt;$B$6)),"8 in a row one side — shift","")))</f>
        <v/>
      </c>
      <c r="T34" s="19" t="n">
        <v>21</v>
      </c>
      <c r="AD34" s="19">
        <f>IF($B34="",NA(),IF(OR($B34&gt;$B$9,$B34&lt;$B$10),$B34,NA()))</f>
        <v/>
      </c>
      <c r="AE34" s="19">
        <f>IF(COUNT($B27:$B34)&lt;8,NA(),IF(OR(MIN($B27:$B34)&gt;$B$6,MAX($B27:$B34)&lt;$B$6),$B34,NA()))</f>
        <v/>
      </c>
      <c r="AF34" s="19">
        <f>IF($C34="",NA(),IF($C34&gt;$B$11,$C34,NA()))</f>
        <v/>
      </c>
    </row>
    <row r="35">
      <c r="A35" t="inlineStr">
        <is>
          <t>Day 22</t>
        </is>
      </c>
      <c r="B35" s="20" t="n">
        <v>404</v>
      </c>
      <c r="C35" s="16">
        <f>IF(COUNT(B34:B35)=2,ABS(B35-B34),"")</f>
        <v/>
      </c>
      <c r="D35" s="16">
        <f>IF(B35="","",$B$6)</f>
        <v/>
      </c>
      <c r="E35" s="16">
        <f>IF(B35="","",$B$9)</f>
        <v/>
      </c>
      <c r="F35" s="16">
        <f>IF(B35="","",$B$10)</f>
        <v/>
      </c>
      <c r="G35" s="16">
        <f>IF(B35="","",$B$7)</f>
        <v/>
      </c>
      <c r="H35" s="16">
        <f>IF(B35="","",$B$11)</f>
        <v/>
      </c>
      <c r="I35" s="18">
        <f>IF(B35="","",IF(OR(B35&gt;$B$9,B35&lt;$B$10),"OUT OF CONTROL",IF(AND(COUNT(B28:B35)=8,OR(MIN(B28:B35)&gt;$B$6,MAX(B28:B35)&lt;$B$6)),"8 in a row one side — shift","")))</f>
        <v/>
      </c>
      <c r="T35" s="19" t="n">
        <v>22</v>
      </c>
      <c r="AD35" s="19">
        <f>IF($B35="",NA(),IF(OR($B35&gt;$B$9,$B35&lt;$B$10),$B35,NA()))</f>
        <v/>
      </c>
      <c r="AE35" s="19">
        <f>IF(COUNT($B28:$B35)&lt;8,NA(),IF(OR(MIN($B28:$B35)&gt;$B$6,MAX($B28:$B35)&lt;$B$6),$B35,NA()))</f>
        <v/>
      </c>
      <c r="AF35" s="19">
        <f>IF($C35="",NA(),IF($C35&gt;$B$11,$C35,NA()))</f>
        <v/>
      </c>
    </row>
    <row r="36">
      <c r="A36" t="inlineStr">
        <is>
          <t>Day 23</t>
        </is>
      </c>
      <c r="B36" s="20" t="n">
        <v>416</v>
      </c>
      <c r="C36" s="16">
        <f>IF(COUNT(B35:B36)=2,ABS(B36-B35),"")</f>
        <v/>
      </c>
      <c r="D36" s="16">
        <f>IF(B36="","",$B$6)</f>
        <v/>
      </c>
      <c r="E36" s="16">
        <f>IF(B36="","",$B$9)</f>
        <v/>
      </c>
      <c r="F36" s="16">
        <f>IF(B36="","",$B$10)</f>
        <v/>
      </c>
      <c r="G36" s="16">
        <f>IF(B36="","",$B$7)</f>
        <v/>
      </c>
      <c r="H36" s="16">
        <f>IF(B36="","",$B$11)</f>
        <v/>
      </c>
      <c r="I36" s="18">
        <f>IF(B36="","",IF(OR(B36&gt;$B$9,B36&lt;$B$10),"OUT OF CONTROL",IF(AND(COUNT(B29:B36)=8,OR(MIN(B29:B36)&gt;$B$6,MAX(B29:B36)&lt;$B$6)),"8 in a row one side — shift","")))</f>
        <v/>
      </c>
      <c r="T36" s="19" t="n">
        <v>23</v>
      </c>
      <c r="AD36" s="19">
        <f>IF($B36="",NA(),IF(OR($B36&gt;$B$9,$B36&lt;$B$10),$B36,NA()))</f>
        <v/>
      </c>
      <c r="AE36" s="19">
        <f>IF(COUNT($B29:$B36)&lt;8,NA(),IF(OR(MIN($B29:$B36)&gt;$B$6,MAX($B29:$B36)&lt;$B$6),$B36,NA()))</f>
        <v/>
      </c>
      <c r="AF36" s="19">
        <f>IF($C36="",NA(),IF($C36&gt;$B$11,$C36,NA()))</f>
        <v/>
      </c>
    </row>
    <row r="37">
      <c r="A37" t="inlineStr">
        <is>
          <t>Day 24</t>
        </is>
      </c>
      <c r="B37" s="20" t="n">
        <v>428</v>
      </c>
      <c r="C37" s="16">
        <f>IF(COUNT(B36:B37)=2,ABS(B37-B36),"")</f>
        <v/>
      </c>
      <c r="D37" s="16">
        <f>IF(B37="","",$B$6)</f>
        <v/>
      </c>
      <c r="E37" s="16">
        <f>IF(B37="","",$B$9)</f>
        <v/>
      </c>
      <c r="F37" s="16">
        <f>IF(B37="","",$B$10)</f>
        <v/>
      </c>
      <c r="G37" s="16">
        <f>IF(B37="","",$B$7)</f>
        <v/>
      </c>
      <c r="H37" s="16">
        <f>IF(B37="","",$B$11)</f>
        <v/>
      </c>
      <c r="I37" s="18">
        <f>IF(B37="","",IF(OR(B37&gt;$B$9,B37&lt;$B$10),"OUT OF CONTROL",IF(AND(COUNT(B30:B37)=8,OR(MIN(B30:B37)&gt;$B$6,MAX(B30:B37)&lt;$B$6)),"8 in a row one side — shift","")))</f>
        <v/>
      </c>
      <c r="T37" s="19" t="n">
        <v>24</v>
      </c>
      <c r="AD37" s="19">
        <f>IF($B37="",NA(),IF(OR($B37&gt;$B$9,$B37&lt;$B$10),$B37,NA()))</f>
        <v/>
      </c>
      <c r="AE37" s="19">
        <f>IF(COUNT($B30:$B37)&lt;8,NA(),IF(OR(MIN($B30:$B37)&gt;$B$6,MAX($B30:$B37)&lt;$B$6),$B37,NA()))</f>
        <v/>
      </c>
      <c r="AF37" s="19">
        <f>IF($C37="",NA(),IF($C37&gt;$B$11,$C37,NA()))</f>
        <v/>
      </c>
    </row>
  </sheetData>
  <mergeCells count="12">
    <mergeCell ref="A2:I2"/>
    <mergeCell ref="C9:I9"/>
    <mergeCell ref="C3:I3"/>
    <mergeCell ref="C8:I8"/>
    <mergeCell ref="A1:I1"/>
    <mergeCell ref="C6:I6"/>
    <mergeCell ref="C7:I7"/>
    <mergeCell ref="C10:I10"/>
    <mergeCell ref="A12:I12"/>
    <mergeCell ref="A4:I4"/>
    <mergeCell ref="C5:I5"/>
    <mergeCell ref="C11:I11"/>
  </mergeCells>
  <printOptions horizontalCentered="1"/>
  <pageMargins left="0.4" right="0.4" top="0.5" bottom="0.5"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AE37"/>
  <sheetViews>
    <sheetView showGridLines="0" workbookViewId="0">
      <pane ySplit="13" topLeftCell="A14" activePane="bottomLeft" state="frozen"/>
      <selection pane="bottomLeft" activeCell="A1" sqref="A1"/>
    </sheetView>
  </sheetViews>
  <sheetFormatPr baseColWidth="8" defaultRowHeight="15"/>
  <cols>
    <col width="32" customWidth="1" min="1" max="1"/>
    <col width="14" customWidth="1" min="2" max="2"/>
    <col width="13" customWidth="1" min="3" max="3"/>
    <col width="11" customWidth="1" min="4" max="4"/>
    <col width="12" customWidth="1" min="5" max="5"/>
    <col width="10" customWidth="1" min="6" max="6"/>
    <col width="11" customWidth="1" min="7" max="7"/>
    <col width="11" customWidth="1" min="8" max="8"/>
    <col width="22" customWidth="1" min="9" max="9"/>
    <col width="3" customWidth="1" min="20" max="20"/>
    <col width="4" customWidth="1" min="30" max="30"/>
    <col width="4" customWidth="1" min="31" max="31"/>
  </cols>
  <sheetData>
    <row r="1" ht="26" customHeight="1">
      <c r="A1" s="3" t="inlineStr">
        <is>
          <t>Laney p′ chart — the default for support percentages</t>
        </is>
      </c>
      <c r="B1" s="4" t="n"/>
      <c r="C1" s="4" t="n"/>
      <c r="D1" s="4" t="n"/>
      <c r="E1" s="4" t="n"/>
      <c r="F1" s="4" t="n"/>
      <c r="G1" s="4" t="n"/>
      <c r="H1" s="4" t="n"/>
      <c r="I1" s="4" t="n"/>
    </row>
    <row r="2">
      <c r="A2" s="5" t="inlineStr">
        <is>
          <t>FCR%, SLA met%, QA pass%, reopen%. At thousands of contacts a day an ordinary p-chart's limits are far too tight and almost every point looks out of control — until the team stops looking at the chart.</t>
        </is>
      </c>
    </row>
    <row r="3">
      <c r="A3" s="12" t="inlineStr">
        <is>
          <t>Limits frozen from the first</t>
        </is>
      </c>
      <c r="B3" s="13" t="n">
        <v>20</v>
      </c>
      <c r="C3" s="5" t="inlineStr">
        <is>
          <t>points — the baseline window. Re-baseline when you have deliberately changed the process, never because the chart is signalling.</t>
        </is>
      </c>
    </row>
    <row r="4">
      <c r="A4" s="9" t="inlineStr">
        <is>
          <t>The maths, calculated from your data — nothing here is hard-coded</t>
        </is>
      </c>
      <c r="B4" s="10" t="n"/>
      <c r="C4" s="10" t="n"/>
      <c r="D4" s="10" t="n"/>
      <c r="E4" s="10" t="n"/>
      <c r="F4" s="10" t="n"/>
      <c r="G4" s="10" t="n"/>
      <c r="H4" s="10" t="n"/>
      <c r="I4" s="10" t="n"/>
    </row>
    <row r="5" ht="15" customHeight="1">
      <c r="A5" s="12" t="inlineStr">
        <is>
          <t>Overall proportion (p-bar)</t>
        </is>
      </c>
      <c r="B5" s="21">
        <f>SUMIF($T$14:$T$37,"&lt;="&amp;$B$3,$C$14:$C$37)/SUMIF($T$14:$T$37,"&lt;="&amp;$B$3,$B$14:$B$37)</f>
        <v/>
      </c>
      <c r="C5" s="15" t="inlineStr">
        <is>
          <t>Total defectives / total opportunities — NOT the average of the daily percentages.</t>
        </is>
      </c>
    </row>
    <row r="6" ht="15" customHeight="1">
      <c r="A6" s="12" t="inlineStr">
        <is>
          <t>Average moving range of z</t>
        </is>
      </c>
      <c r="B6" s="22">
        <f>SUMIF($T$15:$T$37,"&lt;="&amp;$B$3,$G$15:$G$37)/($B$3-1)</f>
        <v/>
      </c>
      <c r="C6" s="15" t="inlineStr">
        <is>
          <t>How much the standardised points move period to period, over the baseline window.</t>
        </is>
      </c>
    </row>
    <row r="7" ht="30" customHeight="1">
      <c r="A7" s="12" t="inlineStr">
        <is>
          <t>Sigma z (Laney adjustment)</t>
        </is>
      </c>
      <c r="B7" s="22">
        <f>MAX(1,B6/1.128)</f>
        <v/>
      </c>
      <c r="C7" s="15" t="inlineStr">
        <is>
          <t>This is the whole trick. Sigma z = 1 means no overdispersion and this collapses to an ordinary p-chart. Above about 1.2 you had a real problem.</t>
        </is>
      </c>
    </row>
    <row r="8" ht="15" customHeight="1">
      <c r="A8" s="12" t="inlineStr">
        <is>
          <t>Ordinary p-chart limits would be</t>
        </is>
      </c>
      <c r="B8" s="23">
        <f>"±"&amp;TEXT(3*SQRT(B5*(1-B5)/AVERAGE(B14:B37)),"0.00%")</f>
        <v/>
      </c>
      <c r="C8" s="15" t="inlineStr">
        <is>
          <t>Compare with the Laney limits in the chart. This is why the old chart cried wolf.</t>
        </is>
      </c>
    </row>
    <row r="9"/>
    <row r="10"/>
    <row r="11"/>
    <row r="12">
      <c r="A12" s="9" t="inlineStr">
        <is>
          <t>Your data — one row per day</t>
        </is>
      </c>
      <c r="B12" s="10" t="n"/>
      <c r="C12" s="10" t="n"/>
      <c r="D12" s="10" t="n"/>
      <c r="E12" s="10" t="n"/>
      <c r="F12" s="10" t="n"/>
      <c r="G12" s="10" t="n"/>
      <c r="H12" s="10" t="n"/>
      <c r="I12" s="10" t="n"/>
    </row>
    <row r="13" ht="30" customHeight="1">
      <c r="A13" s="6" t="inlineStr">
        <is>
          <t>Day</t>
        </is>
      </c>
      <c r="B13" s="6" t="inlineStr">
        <is>
          <t>Contacts (n)</t>
        </is>
      </c>
      <c r="C13" s="6" t="inlineStr">
        <is>
          <t>Met / passed</t>
        </is>
      </c>
      <c r="D13" s="6" t="inlineStr">
        <is>
          <t>Proportion</t>
        </is>
      </c>
      <c r="E13" s="6" t="inlineStr">
        <is>
          <t>Sigma p</t>
        </is>
      </c>
      <c r="F13" s="6" t="inlineStr">
        <is>
          <t>z</t>
        </is>
      </c>
      <c r="G13" s="6" t="inlineStr">
        <is>
          <t>MR of z</t>
        </is>
      </c>
      <c r="H13" s="6" t="inlineStr"/>
      <c r="I13" s="6" t="inlineStr">
        <is>
          <t>Signal</t>
        </is>
      </c>
      <c r="K13" s="24" t="inlineStr">
        <is>
          <t>UCL</t>
        </is>
      </c>
      <c r="L13" s="24" t="inlineStr">
        <is>
          <t>LCL</t>
        </is>
      </c>
      <c r="M13" s="24" t="inlineStr">
        <is>
          <t>CL</t>
        </is>
      </c>
      <c r="T13" s="5" t="inlineStr">
        <is>
          <t>pt</t>
        </is>
      </c>
      <c r="AD13" s="5" t="inlineStr">
        <is>
          <t>out of control</t>
        </is>
      </c>
      <c r="AE13" s="5" t="inlineStr">
        <is>
          <t>8 in a row one side</t>
        </is>
      </c>
    </row>
    <row r="14">
      <c r="A14" t="inlineStr">
        <is>
          <t>Day 1</t>
        </is>
      </c>
      <c r="B14" s="25" t="n">
        <v>7820</v>
      </c>
      <c r="C14" s="25" t="n">
        <v>5610</v>
      </c>
      <c r="D14" s="21">
        <f>IF(B14="","",C14/B14)</f>
        <v/>
      </c>
      <c r="E14" s="26">
        <f>IF(B14="","",SQRT($B$5*(1-$B$5)/B14))</f>
        <v/>
      </c>
      <c r="F14" s="16">
        <f>IF(B14="","",(D14-$B$5)/E14)</f>
        <v/>
      </c>
      <c r="I14" s="18">
        <f>IF(D14="","",IF(OR(D14&gt;K14,D14&lt;L14),"OUT OF CONTROL",""))</f>
        <v/>
      </c>
      <c r="K14" s="27">
        <f>IF(B14="","",MIN(1,$B$5+3*E14*$B$7))</f>
        <v/>
      </c>
      <c r="L14" s="27">
        <f>IF(B14="","",MAX(0,$B$5-3*E14*$B$7))</f>
        <v/>
      </c>
      <c r="M14" s="27">
        <f>IF(B14="","",$B$5)</f>
        <v/>
      </c>
      <c r="T14" s="19" t="n">
        <v>1</v>
      </c>
      <c r="AD14" s="19">
        <f>IF($D14="",NA(),IF(OR($D14&gt;$K14,$D14&lt;$L14),$D14,NA()))</f>
        <v/>
      </c>
      <c r="AE14" s="19">
        <f>NA()</f>
        <v/>
      </c>
    </row>
    <row r="15">
      <c r="A15" t="inlineStr">
        <is>
          <t>Day 2</t>
        </is>
      </c>
      <c r="B15" s="28" t="n">
        <v>8140</v>
      </c>
      <c r="C15" s="28" t="n">
        <v>5990</v>
      </c>
      <c r="D15" s="21">
        <f>IF(B15="","",C15/B15)</f>
        <v/>
      </c>
      <c r="E15" s="26">
        <f>IF(B15="","",SQRT($B$5*(1-$B$5)/B15))</f>
        <v/>
      </c>
      <c r="F15" s="16">
        <f>IF(B15="","",(D15-$B$5)/E15)</f>
        <v/>
      </c>
      <c r="G15" s="16">
        <f>IF(COUNT(F14:F15)=2,ABS(F15-F14),"")</f>
        <v/>
      </c>
      <c r="I15" s="18">
        <f>IF(D15="","",IF(OR(D15&gt;K15,D15&lt;L15),"OUT OF CONTROL",""))</f>
        <v/>
      </c>
      <c r="K15" s="27">
        <f>IF(B15="","",MIN(1,$B$5+3*E15*$B$7))</f>
        <v/>
      </c>
      <c r="L15" s="27">
        <f>IF(B15="","",MAX(0,$B$5-3*E15*$B$7))</f>
        <v/>
      </c>
      <c r="M15" s="27">
        <f>IF(B15="","",$B$5)</f>
        <v/>
      </c>
      <c r="T15" s="19" t="n">
        <v>2</v>
      </c>
      <c r="AD15" s="19">
        <f>IF($D15="",NA(),IF(OR($D15&gt;$K15,$D15&lt;$L15),$D15,NA()))</f>
        <v/>
      </c>
      <c r="AE15" s="19">
        <f>NA()</f>
        <v/>
      </c>
    </row>
    <row r="16">
      <c r="A16" t="inlineStr">
        <is>
          <t>Day 3</t>
        </is>
      </c>
      <c r="B16" s="28" t="n">
        <v>7960</v>
      </c>
      <c r="C16" s="28" t="n">
        <v>5570</v>
      </c>
      <c r="D16" s="21">
        <f>IF(B16="","",C16/B16)</f>
        <v/>
      </c>
      <c r="E16" s="26">
        <f>IF(B16="","",SQRT($B$5*(1-$B$5)/B16))</f>
        <v/>
      </c>
      <c r="F16" s="16">
        <f>IF(B16="","",(D16-$B$5)/E16)</f>
        <v/>
      </c>
      <c r="G16" s="16">
        <f>IF(COUNT(F15:F16)=2,ABS(F16-F15),"")</f>
        <v/>
      </c>
      <c r="I16" s="18">
        <f>IF(D16="","",IF(OR(D16&gt;K16,D16&lt;L16),"OUT OF CONTROL",""))</f>
        <v/>
      </c>
      <c r="K16" s="27">
        <f>IF(B16="","",MIN(1,$B$5+3*E16*$B$7))</f>
        <v/>
      </c>
      <c r="L16" s="27">
        <f>IF(B16="","",MAX(0,$B$5-3*E16*$B$7))</f>
        <v/>
      </c>
      <c r="M16" s="27">
        <f>IF(B16="","",$B$5)</f>
        <v/>
      </c>
      <c r="T16" s="19" t="n">
        <v>3</v>
      </c>
      <c r="AD16" s="19">
        <f>IF($D16="",NA(),IF(OR($D16&gt;$K16,$D16&lt;$L16),$D16,NA()))</f>
        <v/>
      </c>
      <c r="AE16" s="19">
        <f>NA()</f>
        <v/>
      </c>
    </row>
    <row r="17">
      <c r="A17" t="inlineStr">
        <is>
          <t>Day 4</t>
        </is>
      </c>
      <c r="B17" s="28" t="n">
        <v>8310</v>
      </c>
      <c r="C17" s="28" t="n">
        <v>6120</v>
      </c>
      <c r="D17" s="21">
        <f>IF(B17="","",C17/B17)</f>
        <v/>
      </c>
      <c r="E17" s="26">
        <f>IF(B17="","",SQRT($B$5*(1-$B$5)/B17))</f>
        <v/>
      </c>
      <c r="F17" s="16">
        <f>IF(B17="","",(D17-$B$5)/E17)</f>
        <v/>
      </c>
      <c r="G17" s="16">
        <f>IF(COUNT(F16:F17)=2,ABS(F17-F16),"")</f>
        <v/>
      </c>
      <c r="I17" s="18">
        <f>IF(D17="","",IF(OR(D17&gt;K17,D17&lt;L17),"OUT OF CONTROL",""))</f>
        <v/>
      </c>
      <c r="K17" s="27">
        <f>IF(B17="","",MIN(1,$B$5+3*E17*$B$7))</f>
        <v/>
      </c>
      <c r="L17" s="27">
        <f>IF(B17="","",MAX(0,$B$5-3*E17*$B$7))</f>
        <v/>
      </c>
      <c r="M17" s="27">
        <f>IF(B17="","",$B$5)</f>
        <v/>
      </c>
      <c r="T17" s="19" t="n">
        <v>4</v>
      </c>
      <c r="AD17" s="19">
        <f>IF($D17="",NA(),IF(OR($D17&gt;$K17,$D17&lt;$L17),$D17,NA()))</f>
        <v/>
      </c>
      <c r="AE17" s="19">
        <f>NA()</f>
        <v/>
      </c>
    </row>
    <row r="18">
      <c r="A18" t="inlineStr">
        <is>
          <t>Day 5</t>
        </is>
      </c>
      <c r="B18" s="28" t="n">
        <v>7690</v>
      </c>
      <c r="C18" s="28" t="n">
        <v>5410</v>
      </c>
      <c r="D18" s="21">
        <f>IF(B18="","",C18/B18)</f>
        <v/>
      </c>
      <c r="E18" s="26">
        <f>IF(B18="","",SQRT($B$5*(1-$B$5)/B18))</f>
        <v/>
      </c>
      <c r="F18" s="16">
        <f>IF(B18="","",(D18-$B$5)/E18)</f>
        <v/>
      </c>
      <c r="G18" s="16">
        <f>IF(COUNT(F17:F18)=2,ABS(F18-F17),"")</f>
        <v/>
      </c>
      <c r="I18" s="18">
        <f>IF(D18="","",IF(OR(D18&gt;K18,D18&lt;L18),"OUT OF CONTROL",""))</f>
        <v/>
      </c>
      <c r="K18" s="27">
        <f>IF(B18="","",MIN(1,$B$5+3*E18*$B$7))</f>
        <v/>
      </c>
      <c r="L18" s="27">
        <f>IF(B18="","",MAX(0,$B$5-3*E18*$B$7))</f>
        <v/>
      </c>
      <c r="M18" s="27">
        <f>IF(B18="","",$B$5)</f>
        <v/>
      </c>
      <c r="T18" s="19" t="n">
        <v>5</v>
      </c>
      <c r="AD18" s="19">
        <f>IF($D18="",NA(),IF(OR($D18&gt;$K18,$D18&lt;$L18),$D18,NA()))</f>
        <v/>
      </c>
      <c r="AE18" s="19">
        <f>NA()</f>
        <v/>
      </c>
    </row>
    <row r="19">
      <c r="A19" t="inlineStr">
        <is>
          <t>Day 6</t>
        </is>
      </c>
      <c r="B19" s="28" t="n">
        <v>8020</v>
      </c>
      <c r="C19" s="28" t="n">
        <v>5880</v>
      </c>
      <c r="D19" s="21">
        <f>IF(B19="","",C19/B19)</f>
        <v/>
      </c>
      <c r="E19" s="26">
        <f>IF(B19="","",SQRT($B$5*(1-$B$5)/B19))</f>
        <v/>
      </c>
      <c r="F19" s="16">
        <f>IF(B19="","",(D19-$B$5)/E19)</f>
        <v/>
      </c>
      <c r="G19" s="16">
        <f>IF(COUNT(F18:F19)=2,ABS(F19-F18),"")</f>
        <v/>
      </c>
      <c r="I19" s="18">
        <f>IF(D19="","",IF(OR(D19&gt;K19,D19&lt;L19),"OUT OF CONTROL",""))</f>
        <v/>
      </c>
      <c r="K19" s="27">
        <f>IF(B19="","",MIN(1,$B$5+3*E19*$B$7))</f>
        <v/>
      </c>
      <c r="L19" s="27">
        <f>IF(B19="","",MAX(0,$B$5-3*E19*$B$7))</f>
        <v/>
      </c>
      <c r="M19" s="27">
        <f>IF(B19="","",$B$5)</f>
        <v/>
      </c>
      <c r="T19" s="19" t="n">
        <v>6</v>
      </c>
      <c r="AD19" s="19">
        <f>IF($D19="",NA(),IF(OR($D19&gt;$K19,$D19&lt;$L19),$D19,NA()))</f>
        <v/>
      </c>
      <c r="AE19" s="19">
        <f>NA()</f>
        <v/>
      </c>
    </row>
    <row r="20">
      <c r="A20" t="inlineStr">
        <is>
          <t>Day 7</t>
        </is>
      </c>
      <c r="B20" s="28" t="n">
        <v>8450</v>
      </c>
      <c r="C20" s="28" t="n">
        <v>6210</v>
      </c>
      <c r="D20" s="21">
        <f>IF(B20="","",C20/B20)</f>
        <v/>
      </c>
      <c r="E20" s="26">
        <f>IF(B20="","",SQRT($B$5*(1-$B$5)/B20))</f>
        <v/>
      </c>
      <c r="F20" s="16">
        <f>IF(B20="","",(D20-$B$5)/E20)</f>
        <v/>
      </c>
      <c r="G20" s="16">
        <f>IF(COUNT(F19:F20)=2,ABS(F20-F19),"")</f>
        <v/>
      </c>
      <c r="I20" s="18">
        <f>IF(D20="","",IF(OR(D20&gt;K20,D20&lt;L20),"OUT OF CONTROL",""))</f>
        <v/>
      </c>
      <c r="K20" s="27">
        <f>IF(B20="","",MIN(1,$B$5+3*E20*$B$7))</f>
        <v/>
      </c>
      <c r="L20" s="27">
        <f>IF(B20="","",MAX(0,$B$5-3*E20*$B$7))</f>
        <v/>
      </c>
      <c r="M20" s="27">
        <f>IF(B20="","",$B$5)</f>
        <v/>
      </c>
      <c r="T20" s="19" t="n">
        <v>7</v>
      </c>
      <c r="AD20" s="19">
        <f>IF($D20="",NA(),IF(OR($D20&gt;$K20,$D20&lt;$L20),$D20,NA()))</f>
        <v/>
      </c>
      <c r="AE20" s="19">
        <f>NA()</f>
        <v/>
      </c>
    </row>
    <row r="21">
      <c r="A21" t="inlineStr">
        <is>
          <t>Day 8</t>
        </is>
      </c>
      <c r="B21" s="28" t="n">
        <v>7880</v>
      </c>
      <c r="C21" s="28" t="n">
        <v>5490</v>
      </c>
      <c r="D21" s="21">
        <f>IF(B21="","",C21/B21)</f>
        <v/>
      </c>
      <c r="E21" s="26">
        <f>IF(B21="","",SQRT($B$5*(1-$B$5)/B21))</f>
        <v/>
      </c>
      <c r="F21" s="16">
        <f>IF(B21="","",(D21-$B$5)/E21)</f>
        <v/>
      </c>
      <c r="G21" s="16">
        <f>IF(COUNT(F20:F21)=2,ABS(F21-F20),"")</f>
        <v/>
      </c>
      <c r="I21" s="18">
        <f>IF(D21="","",IF(OR(D21&gt;K21,D21&lt;L21),"OUT OF CONTROL",""))</f>
        <v/>
      </c>
      <c r="K21" s="27">
        <f>IF(B21="","",MIN(1,$B$5+3*E21*$B$7))</f>
        <v/>
      </c>
      <c r="L21" s="27">
        <f>IF(B21="","",MAX(0,$B$5-3*E21*$B$7))</f>
        <v/>
      </c>
      <c r="M21" s="27">
        <f>IF(B21="","",$B$5)</f>
        <v/>
      </c>
      <c r="T21" s="19" t="n">
        <v>8</v>
      </c>
      <c r="AD21" s="19">
        <f>IF($D21="",NA(),IF(OR($D21&gt;$K21,$D21&lt;$L21),$D21,NA()))</f>
        <v/>
      </c>
      <c r="AE21" s="19">
        <f>IF(COUNT($D14:$D21)&lt;8,NA(),IF(OR(MIN($D14:$D21)&gt;$B$5,MAX($D14:$D21)&lt;$B$5),$D21,NA()))</f>
        <v/>
      </c>
    </row>
    <row r="22">
      <c r="A22" t="inlineStr">
        <is>
          <t>Day 9</t>
        </is>
      </c>
      <c r="B22" s="28" t="n">
        <v>8210</v>
      </c>
      <c r="C22" s="28" t="n">
        <v>6050</v>
      </c>
      <c r="D22" s="21">
        <f>IF(B22="","",C22/B22)</f>
        <v/>
      </c>
      <c r="E22" s="26">
        <f>IF(B22="","",SQRT($B$5*(1-$B$5)/B22))</f>
        <v/>
      </c>
      <c r="F22" s="16">
        <f>IF(B22="","",(D22-$B$5)/E22)</f>
        <v/>
      </c>
      <c r="G22" s="16">
        <f>IF(COUNT(F21:F22)=2,ABS(F22-F21),"")</f>
        <v/>
      </c>
      <c r="I22" s="18">
        <f>IF(D22="","",IF(OR(D22&gt;K22,D22&lt;L22),"OUT OF CONTROL",""))</f>
        <v/>
      </c>
      <c r="K22" s="27">
        <f>IF(B22="","",MIN(1,$B$5+3*E22*$B$7))</f>
        <v/>
      </c>
      <c r="L22" s="27">
        <f>IF(B22="","",MAX(0,$B$5-3*E22*$B$7))</f>
        <v/>
      </c>
      <c r="M22" s="27">
        <f>IF(B22="","",$B$5)</f>
        <v/>
      </c>
      <c r="T22" s="19" t="n">
        <v>9</v>
      </c>
      <c r="AD22" s="19">
        <f>IF($D22="",NA(),IF(OR($D22&gt;$K22,$D22&lt;$L22),$D22,NA()))</f>
        <v/>
      </c>
      <c r="AE22" s="19">
        <f>IF(COUNT($D15:$D22)&lt;8,NA(),IF(OR(MIN($D15:$D22)&gt;$B$5,MAX($D15:$D22)&lt;$B$5),$D22,NA()))</f>
        <v/>
      </c>
    </row>
    <row r="23">
      <c r="A23" t="inlineStr">
        <is>
          <t>Day 10</t>
        </is>
      </c>
      <c r="B23" s="28" t="n">
        <v>7740</v>
      </c>
      <c r="C23" s="28" t="n">
        <v>5380</v>
      </c>
      <c r="D23" s="21">
        <f>IF(B23="","",C23/B23)</f>
        <v/>
      </c>
      <c r="E23" s="26">
        <f>IF(B23="","",SQRT($B$5*(1-$B$5)/B23))</f>
        <v/>
      </c>
      <c r="F23" s="16">
        <f>IF(B23="","",(D23-$B$5)/E23)</f>
        <v/>
      </c>
      <c r="G23" s="16">
        <f>IF(COUNT(F22:F23)=2,ABS(F23-F22),"")</f>
        <v/>
      </c>
      <c r="I23" s="18">
        <f>IF(D23="","",IF(OR(D23&gt;K23,D23&lt;L23),"OUT OF CONTROL",""))</f>
        <v/>
      </c>
      <c r="K23" s="27">
        <f>IF(B23="","",MIN(1,$B$5+3*E23*$B$7))</f>
        <v/>
      </c>
      <c r="L23" s="27">
        <f>IF(B23="","",MAX(0,$B$5-3*E23*$B$7))</f>
        <v/>
      </c>
      <c r="M23" s="27">
        <f>IF(B23="","",$B$5)</f>
        <v/>
      </c>
      <c r="T23" s="19" t="n">
        <v>10</v>
      </c>
      <c r="AD23" s="19">
        <f>IF($D23="",NA(),IF(OR($D23&gt;$K23,$D23&lt;$L23),$D23,NA()))</f>
        <v/>
      </c>
      <c r="AE23" s="19">
        <f>IF(COUNT($D16:$D23)&lt;8,NA(),IF(OR(MIN($D16:$D23)&gt;$B$5,MAX($D16:$D23)&lt;$B$5),$D23,NA()))</f>
        <v/>
      </c>
    </row>
    <row r="24">
      <c r="A24" t="inlineStr">
        <is>
          <t>Day 11</t>
        </is>
      </c>
      <c r="B24" s="28" t="n">
        <v>8090</v>
      </c>
      <c r="C24" s="28" t="n">
        <v>5940</v>
      </c>
      <c r="D24" s="21">
        <f>IF(B24="","",C24/B24)</f>
        <v/>
      </c>
      <c r="E24" s="26">
        <f>IF(B24="","",SQRT($B$5*(1-$B$5)/B24))</f>
        <v/>
      </c>
      <c r="F24" s="16">
        <f>IF(B24="","",(D24-$B$5)/E24)</f>
        <v/>
      </c>
      <c r="G24" s="16">
        <f>IF(COUNT(F23:F24)=2,ABS(F24-F23),"")</f>
        <v/>
      </c>
      <c r="I24" s="18">
        <f>IF(D24="","",IF(OR(D24&gt;K24,D24&lt;L24),"OUT OF CONTROL",""))</f>
        <v/>
      </c>
      <c r="K24" s="27">
        <f>IF(B24="","",MIN(1,$B$5+3*E24*$B$7))</f>
        <v/>
      </c>
      <c r="L24" s="27">
        <f>IF(B24="","",MAX(0,$B$5-3*E24*$B$7))</f>
        <v/>
      </c>
      <c r="M24" s="27">
        <f>IF(B24="","",$B$5)</f>
        <v/>
      </c>
      <c r="T24" s="19" t="n">
        <v>11</v>
      </c>
      <c r="AD24" s="19">
        <f>IF($D24="",NA(),IF(OR($D24&gt;$K24,$D24&lt;$L24),$D24,NA()))</f>
        <v/>
      </c>
      <c r="AE24" s="19">
        <f>IF(COUNT($D17:$D24)&lt;8,NA(),IF(OR(MIN($D17:$D24)&gt;$B$5,MAX($D17:$D24)&lt;$B$5),$D24,NA()))</f>
        <v/>
      </c>
    </row>
    <row r="25">
      <c r="A25" t="inlineStr">
        <is>
          <t>Day 12</t>
        </is>
      </c>
      <c r="B25" s="28" t="n">
        <v>8380</v>
      </c>
      <c r="C25" s="28" t="n">
        <v>6180</v>
      </c>
      <c r="D25" s="21">
        <f>IF(B25="","",C25/B25)</f>
        <v/>
      </c>
      <c r="E25" s="26">
        <f>IF(B25="","",SQRT($B$5*(1-$B$5)/B25))</f>
        <v/>
      </c>
      <c r="F25" s="16">
        <f>IF(B25="","",(D25-$B$5)/E25)</f>
        <v/>
      </c>
      <c r="G25" s="16">
        <f>IF(COUNT(F24:F25)=2,ABS(F25-F24),"")</f>
        <v/>
      </c>
      <c r="I25" s="18">
        <f>IF(D25="","",IF(OR(D25&gt;K25,D25&lt;L25),"OUT OF CONTROL",""))</f>
        <v/>
      </c>
      <c r="K25" s="27">
        <f>IF(B25="","",MIN(1,$B$5+3*E25*$B$7))</f>
        <v/>
      </c>
      <c r="L25" s="27">
        <f>IF(B25="","",MAX(0,$B$5-3*E25*$B$7))</f>
        <v/>
      </c>
      <c r="M25" s="27">
        <f>IF(B25="","",$B$5)</f>
        <v/>
      </c>
      <c r="T25" s="19" t="n">
        <v>12</v>
      </c>
      <c r="AD25" s="19">
        <f>IF($D25="",NA(),IF(OR($D25&gt;$K25,$D25&lt;$L25),$D25,NA()))</f>
        <v/>
      </c>
      <c r="AE25" s="19">
        <f>IF(COUNT($D18:$D25)&lt;8,NA(),IF(OR(MIN($D18:$D25)&gt;$B$5,MAX($D18:$D25)&lt;$B$5),$D25,NA()))</f>
        <v/>
      </c>
    </row>
    <row r="26">
      <c r="A26" t="inlineStr">
        <is>
          <t>Day 13</t>
        </is>
      </c>
      <c r="B26" s="28" t="n">
        <v>7930</v>
      </c>
      <c r="C26" s="28" t="n">
        <v>5520</v>
      </c>
      <c r="D26" s="21">
        <f>IF(B26="","",C26/B26)</f>
        <v/>
      </c>
      <c r="E26" s="26">
        <f>IF(B26="","",SQRT($B$5*(1-$B$5)/B26))</f>
        <v/>
      </c>
      <c r="F26" s="16">
        <f>IF(B26="","",(D26-$B$5)/E26)</f>
        <v/>
      </c>
      <c r="G26" s="16">
        <f>IF(COUNT(F25:F26)=2,ABS(F26-F25),"")</f>
        <v/>
      </c>
      <c r="I26" s="18">
        <f>IF(D26="","",IF(OR(D26&gt;K26,D26&lt;L26),"OUT OF CONTROL",""))</f>
        <v/>
      </c>
      <c r="K26" s="27">
        <f>IF(B26="","",MIN(1,$B$5+3*E26*$B$7))</f>
        <v/>
      </c>
      <c r="L26" s="27">
        <f>IF(B26="","",MAX(0,$B$5-3*E26*$B$7))</f>
        <v/>
      </c>
      <c r="M26" s="27">
        <f>IF(B26="","",$B$5)</f>
        <v/>
      </c>
      <c r="T26" s="19" t="n">
        <v>13</v>
      </c>
      <c r="AD26" s="19">
        <f>IF($D26="",NA(),IF(OR($D26&gt;$K26,$D26&lt;$L26),$D26,NA()))</f>
        <v/>
      </c>
      <c r="AE26" s="19">
        <f>IF(COUNT($D19:$D26)&lt;8,NA(),IF(OR(MIN($D19:$D26)&gt;$B$5,MAX($D19:$D26)&lt;$B$5),$D26,NA()))</f>
        <v/>
      </c>
    </row>
    <row r="27">
      <c r="A27" t="inlineStr">
        <is>
          <t>Day 14</t>
        </is>
      </c>
      <c r="B27" s="28" t="n">
        <v>8260</v>
      </c>
      <c r="C27" s="28" t="n">
        <v>6010</v>
      </c>
      <c r="D27" s="21">
        <f>IF(B27="","",C27/B27)</f>
        <v/>
      </c>
      <c r="E27" s="26">
        <f>IF(B27="","",SQRT($B$5*(1-$B$5)/B27))</f>
        <v/>
      </c>
      <c r="F27" s="16">
        <f>IF(B27="","",(D27-$B$5)/E27)</f>
        <v/>
      </c>
      <c r="G27" s="16">
        <f>IF(COUNT(F26:F27)=2,ABS(F27-F26),"")</f>
        <v/>
      </c>
      <c r="I27" s="18">
        <f>IF(D27="","",IF(OR(D27&gt;K27,D27&lt;L27),"OUT OF CONTROL",""))</f>
        <v/>
      </c>
      <c r="K27" s="27">
        <f>IF(B27="","",MIN(1,$B$5+3*E27*$B$7))</f>
        <v/>
      </c>
      <c r="L27" s="27">
        <f>IF(B27="","",MAX(0,$B$5-3*E27*$B$7))</f>
        <v/>
      </c>
      <c r="M27" s="27">
        <f>IF(B27="","",$B$5)</f>
        <v/>
      </c>
      <c r="T27" s="19" t="n">
        <v>14</v>
      </c>
      <c r="AD27" s="19">
        <f>IF($D27="",NA(),IF(OR($D27&gt;$K27,$D27&lt;$L27),$D27,NA()))</f>
        <v/>
      </c>
      <c r="AE27" s="19">
        <f>IF(COUNT($D20:$D27)&lt;8,NA(),IF(OR(MIN($D20:$D27)&gt;$B$5,MAX($D20:$D27)&lt;$B$5),$D27,NA()))</f>
        <v/>
      </c>
    </row>
    <row r="28">
      <c r="A28" t="inlineStr">
        <is>
          <t>Day 15</t>
        </is>
      </c>
      <c r="B28" s="28" t="n">
        <v>7810</v>
      </c>
      <c r="C28" s="28" t="n">
        <v>5480</v>
      </c>
      <c r="D28" s="21">
        <f>IF(B28="","",C28/B28)</f>
        <v/>
      </c>
      <c r="E28" s="26">
        <f>IF(B28="","",SQRT($B$5*(1-$B$5)/B28))</f>
        <v/>
      </c>
      <c r="F28" s="16">
        <f>IF(B28="","",(D28-$B$5)/E28)</f>
        <v/>
      </c>
      <c r="G28" s="16">
        <f>IF(COUNT(F27:F28)=2,ABS(F28-F27),"")</f>
        <v/>
      </c>
      <c r="I28" s="18">
        <f>IF(D28="","",IF(OR(D28&gt;K28,D28&lt;L28),"OUT OF CONTROL",""))</f>
        <v/>
      </c>
      <c r="K28" s="27">
        <f>IF(B28="","",MIN(1,$B$5+3*E28*$B$7))</f>
        <v/>
      </c>
      <c r="L28" s="27">
        <f>IF(B28="","",MAX(0,$B$5-3*E28*$B$7))</f>
        <v/>
      </c>
      <c r="M28" s="27">
        <f>IF(B28="","",$B$5)</f>
        <v/>
      </c>
      <c r="T28" s="19" t="n">
        <v>15</v>
      </c>
      <c r="AD28" s="19">
        <f>IF($D28="",NA(),IF(OR($D28&gt;$K28,$D28&lt;$L28),$D28,NA()))</f>
        <v/>
      </c>
      <c r="AE28" s="19">
        <f>IF(COUNT($D21:$D28)&lt;8,NA(),IF(OR(MIN($D21:$D28)&gt;$B$5,MAX($D21:$D28)&lt;$B$5),$D28,NA()))</f>
        <v/>
      </c>
    </row>
    <row r="29">
      <c r="A29" t="inlineStr">
        <is>
          <t>Day 16</t>
        </is>
      </c>
      <c r="B29" s="28" t="n">
        <v>8150</v>
      </c>
      <c r="C29" s="28" t="n">
        <v>5860</v>
      </c>
      <c r="D29" s="21">
        <f>IF(B29="","",C29/B29)</f>
        <v/>
      </c>
      <c r="E29" s="26">
        <f>IF(B29="","",SQRT($B$5*(1-$B$5)/B29))</f>
        <v/>
      </c>
      <c r="F29" s="16">
        <f>IF(B29="","",(D29-$B$5)/E29)</f>
        <v/>
      </c>
      <c r="G29" s="16">
        <f>IF(COUNT(F28:F29)=2,ABS(F29-F28),"")</f>
        <v/>
      </c>
      <c r="I29" s="18">
        <f>IF(D29="","",IF(OR(D29&gt;K29,D29&lt;L29),"OUT OF CONTROL",""))</f>
        <v/>
      </c>
      <c r="K29" s="27">
        <f>IF(B29="","",MIN(1,$B$5+3*E29*$B$7))</f>
        <v/>
      </c>
      <c r="L29" s="27">
        <f>IF(B29="","",MAX(0,$B$5-3*E29*$B$7))</f>
        <v/>
      </c>
      <c r="M29" s="27">
        <f>IF(B29="","",$B$5)</f>
        <v/>
      </c>
      <c r="T29" s="19" t="n">
        <v>16</v>
      </c>
      <c r="AD29" s="19">
        <f>IF($D29="",NA(),IF(OR($D29&gt;$K29,$D29&lt;$L29),$D29,NA()))</f>
        <v/>
      </c>
      <c r="AE29" s="19">
        <f>IF(COUNT($D22:$D29)&lt;8,NA(),IF(OR(MIN($D22:$D29)&gt;$B$5,MAX($D22:$D29)&lt;$B$5),$D29,NA()))</f>
        <v/>
      </c>
    </row>
    <row r="30">
      <c r="A30" t="inlineStr">
        <is>
          <t>Day 17</t>
        </is>
      </c>
      <c r="B30" s="28" t="n">
        <v>8470</v>
      </c>
      <c r="C30" s="28" t="n">
        <v>6240</v>
      </c>
      <c r="D30" s="21">
        <f>IF(B30="","",C30/B30)</f>
        <v/>
      </c>
      <c r="E30" s="26">
        <f>IF(B30="","",SQRT($B$5*(1-$B$5)/B30))</f>
        <v/>
      </c>
      <c r="F30" s="16">
        <f>IF(B30="","",(D30-$B$5)/E30)</f>
        <v/>
      </c>
      <c r="G30" s="16">
        <f>IF(COUNT(F29:F30)=2,ABS(F30-F29),"")</f>
        <v/>
      </c>
      <c r="I30" s="18">
        <f>IF(D30="","",IF(OR(D30&gt;K30,D30&lt;L30),"OUT OF CONTROL",""))</f>
        <v/>
      </c>
      <c r="K30" s="27">
        <f>IF(B30="","",MIN(1,$B$5+3*E30*$B$7))</f>
        <v/>
      </c>
      <c r="L30" s="27">
        <f>IF(B30="","",MAX(0,$B$5-3*E30*$B$7))</f>
        <v/>
      </c>
      <c r="M30" s="27">
        <f>IF(B30="","",$B$5)</f>
        <v/>
      </c>
      <c r="T30" s="19" t="n">
        <v>17</v>
      </c>
      <c r="AD30" s="19">
        <f>IF($D30="",NA(),IF(OR($D30&gt;$K30,$D30&lt;$L30),$D30,NA()))</f>
        <v/>
      </c>
      <c r="AE30" s="19">
        <f>IF(COUNT($D23:$D30)&lt;8,NA(),IF(OR(MIN($D23:$D30)&gt;$B$5,MAX($D23:$D30)&lt;$B$5),$D30,NA()))</f>
        <v/>
      </c>
    </row>
    <row r="31">
      <c r="A31" t="inlineStr">
        <is>
          <t>Day 18</t>
        </is>
      </c>
      <c r="B31" s="28" t="n">
        <v>7860</v>
      </c>
      <c r="C31" s="28" t="n">
        <v>5600</v>
      </c>
      <c r="D31" s="21">
        <f>IF(B31="","",C31/B31)</f>
        <v/>
      </c>
      <c r="E31" s="26">
        <f>IF(B31="","",SQRT($B$5*(1-$B$5)/B31))</f>
        <v/>
      </c>
      <c r="F31" s="16">
        <f>IF(B31="","",(D31-$B$5)/E31)</f>
        <v/>
      </c>
      <c r="G31" s="16">
        <f>IF(COUNT(F30:F31)=2,ABS(F31-F30),"")</f>
        <v/>
      </c>
      <c r="I31" s="18">
        <f>IF(D31="","",IF(OR(D31&gt;K31,D31&lt;L31),"OUT OF CONTROL",""))</f>
        <v/>
      </c>
      <c r="K31" s="27">
        <f>IF(B31="","",MIN(1,$B$5+3*E31*$B$7))</f>
        <v/>
      </c>
      <c r="L31" s="27">
        <f>IF(B31="","",MAX(0,$B$5-3*E31*$B$7))</f>
        <v/>
      </c>
      <c r="M31" s="27">
        <f>IF(B31="","",$B$5)</f>
        <v/>
      </c>
      <c r="T31" s="19" t="n">
        <v>18</v>
      </c>
      <c r="AD31" s="19">
        <f>IF($D31="",NA(),IF(OR($D31&gt;$K31,$D31&lt;$L31),$D31,NA()))</f>
        <v/>
      </c>
      <c r="AE31" s="19">
        <f>IF(COUNT($D24:$D31)&lt;8,NA(),IF(OR(MIN($D24:$D31)&gt;$B$5,MAX($D24:$D31)&lt;$B$5),$D31,NA()))</f>
        <v/>
      </c>
    </row>
    <row r="32">
      <c r="A32" t="inlineStr">
        <is>
          <t>Day 19</t>
        </is>
      </c>
      <c r="B32" s="28" t="n">
        <v>8030</v>
      </c>
      <c r="C32" s="28" t="n">
        <v>5760</v>
      </c>
      <c r="D32" s="21">
        <f>IF(B32="","",C32/B32)</f>
        <v/>
      </c>
      <c r="E32" s="26">
        <f>IF(B32="","",SQRT($B$5*(1-$B$5)/B32))</f>
        <v/>
      </c>
      <c r="F32" s="16">
        <f>IF(B32="","",(D32-$B$5)/E32)</f>
        <v/>
      </c>
      <c r="G32" s="16">
        <f>IF(COUNT(F31:F32)=2,ABS(F32-F31),"")</f>
        <v/>
      </c>
      <c r="I32" s="18">
        <f>IF(D32="","",IF(OR(D32&gt;K32,D32&lt;L32),"OUT OF CONTROL",""))</f>
        <v/>
      </c>
      <c r="K32" s="27">
        <f>IF(B32="","",MIN(1,$B$5+3*E32*$B$7))</f>
        <v/>
      </c>
      <c r="L32" s="27">
        <f>IF(B32="","",MAX(0,$B$5-3*E32*$B$7))</f>
        <v/>
      </c>
      <c r="M32" s="27">
        <f>IF(B32="","",$B$5)</f>
        <v/>
      </c>
      <c r="T32" s="19" t="n">
        <v>19</v>
      </c>
      <c r="AD32" s="19">
        <f>IF($D32="",NA(),IF(OR($D32&gt;$K32,$D32&lt;$L32),$D32,NA()))</f>
        <v/>
      </c>
      <c r="AE32" s="19">
        <f>IF(COUNT($D25:$D32)&lt;8,NA(),IF(OR(MIN($D25:$D32)&gt;$B$5,MAX($D25:$D32)&lt;$B$5),$D32,NA()))</f>
        <v/>
      </c>
    </row>
    <row r="33">
      <c r="A33" t="inlineStr">
        <is>
          <t>Day 20</t>
        </is>
      </c>
      <c r="B33" s="28" t="n">
        <v>8340</v>
      </c>
      <c r="C33" s="28" t="n">
        <v>6090</v>
      </c>
      <c r="D33" s="21">
        <f>IF(B33="","",C33/B33)</f>
        <v/>
      </c>
      <c r="E33" s="26">
        <f>IF(B33="","",SQRT($B$5*(1-$B$5)/B33))</f>
        <v/>
      </c>
      <c r="F33" s="16">
        <f>IF(B33="","",(D33-$B$5)/E33)</f>
        <v/>
      </c>
      <c r="G33" s="16">
        <f>IF(COUNT(F32:F33)=2,ABS(F33-F32),"")</f>
        <v/>
      </c>
      <c r="I33" s="18">
        <f>IF(D33="","",IF(OR(D33&gt;K33,D33&lt;L33),"OUT OF CONTROL",""))</f>
        <v/>
      </c>
      <c r="K33" s="27">
        <f>IF(B33="","",MIN(1,$B$5+3*E33*$B$7))</f>
        <v/>
      </c>
      <c r="L33" s="27">
        <f>IF(B33="","",MAX(0,$B$5-3*E33*$B$7))</f>
        <v/>
      </c>
      <c r="M33" s="27">
        <f>IF(B33="","",$B$5)</f>
        <v/>
      </c>
      <c r="T33" s="19" t="n">
        <v>20</v>
      </c>
      <c r="AD33" s="19">
        <f>IF($D33="",NA(),IF(OR($D33&gt;$K33,$D33&lt;$L33),$D33,NA()))</f>
        <v/>
      </c>
      <c r="AE33" s="19">
        <f>IF(COUNT($D26:$D33)&lt;8,NA(),IF(OR(MIN($D26:$D33)&gt;$B$5,MAX($D26:$D33)&lt;$B$5),$D33,NA()))</f>
        <v/>
      </c>
    </row>
    <row r="34">
      <c r="A34" t="inlineStr">
        <is>
          <t>Day 21</t>
        </is>
      </c>
      <c r="B34" s="28" t="n">
        <v>7900</v>
      </c>
      <c r="C34" s="28" t="n">
        <v>5710</v>
      </c>
      <c r="D34" s="21">
        <f>IF(B34="","",C34/B34)</f>
        <v/>
      </c>
      <c r="E34" s="26">
        <f>IF(B34="","",SQRT($B$5*(1-$B$5)/B34))</f>
        <v/>
      </c>
      <c r="F34" s="16">
        <f>IF(B34="","",(D34-$B$5)/E34)</f>
        <v/>
      </c>
      <c r="G34" s="16">
        <f>IF(COUNT(F33:F34)=2,ABS(F34-F33),"")</f>
        <v/>
      </c>
      <c r="I34" s="18">
        <f>IF(D34="","",IF(OR(D34&gt;K34,D34&lt;L34),"OUT OF CONTROL",""))</f>
        <v/>
      </c>
      <c r="K34" s="27">
        <f>IF(B34="","",MIN(1,$B$5+3*E34*$B$7))</f>
        <v/>
      </c>
      <c r="L34" s="27">
        <f>IF(B34="","",MAX(0,$B$5-3*E34*$B$7))</f>
        <v/>
      </c>
      <c r="M34" s="27">
        <f>IF(B34="","",$B$5)</f>
        <v/>
      </c>
      <c r="T34" s="19" t="n">
        <v>21</v>
      </c>
      <c r="AD34" s="19">
        <f>IF($D34="",NA(),IF(OR($D34&gt;$K34,$D34&lt;$L34),$D34,NA()))</f>
        <v/>
      </c>
      <c r="AE34" s="19">
        <f>IF(COUNT($D27:$D34)&lt;8,NA(),IF(OR(MIN($D27:$D34)&gt;$B$5,MAX($D27:$D34)&lt;$B$5),$D34,NA()))</f>
        <v/>
      </c>
    </row>
    <row r="35">
      <c r="A35" t="inlineStr">
        <is>
          <t>Day 22</t>
        </is>
      </c>
      <c r="B35" s="28" t="n">
        <v>8180</v>
      </c>
      <c r="C35" s="28" t="n">
        <v>5900</v>
      </c>
      <c r="D35" s="21">
        <f>IF(B35="","",C35/B35)</f>
        <v/>
      </c>
      <c r="E35" s="26">
        <f>IF(B35="","",SQRT($B$5*(1-$B$5)/B35))</f>
        <v/>
      </c>
      <c r="F35" s="16">
        <f>IF(B35="","",(D35-$B$5)/E35)</f>
        <v/>
      </c>
      <c r="G35" s="16">
        <f>IF(COUNT(F34:F35)=2,ABS(F35-F34),"")</f>
        <v/>
      </c>
      <c r="I35" s="18">
        <f>IF(D35="","",IF(OR(D35&gt;K35,D35&lt;L35),"OUT OF CONTROL",""))</f>
        <v/>
      </c>
      <c r="K35" s="27">
        <f>IF(B35="","",MIN(1,$B$5+3*E35*$B$7))</f>
        <v/>
      </c>
      <c r="L35" s="27">
        <f>IF(B35="","",MAX(0,$B$5-3*E35*$B$7))</f>
        <v/>
      </c>
      <c r="M35" s="27">
        <f>IF(B35="","",$B$5)</f>
        <v/>
      </c>
      <c r="T35" s="19" t="n">
        <v>22</v>
      </c>
      <c r="AD35" s="19">
        <f>IF($D35="",NA(),IF(OR($D35&gt;$K35,$D35&lt;$L35),$D35,NA()))</f>
        <v/>
      </c>
      <c r="AE35" s="19">
        <f>IF(COUNT($D28:$D35)&lt;8,NA(),IF(OR(MIN($D28:$D35)&gt;$B$5,MAX($D28:$D35)&lt;$B$5),$D35,NA()))</f>
        <v/>
      </c>
    </row>
    <row r="36">
      <c r="A36" t="inlineStr">
        <is>
          <t>Day 23</t>
        </is>
      </c>
      <c r="B36" s="28" t="n">
        <v>7770</v>
      </c>
      <c r="C36" s="28" t="n">
        <v>5450</v>
      </c>
      <c r="D36" s="21">
        <f>IF(B36="","",C36/B36)</f>
        <v/>
      </c>
      <c r="E36" s="26">
        <f>IF(B36="","",SQRT($B$5*(1-$B$5)/B36))</f>
        <v/>
      </c>
      <c r="F36" s="16">
        <f>IF(B36="","",(D36-$B$5)/E36)</f>
        <v/>
      </c>
      <c r="G36" s="16">
        <f>IF(COUNT(F35:F36)=2,ABS(F36-F35),"")</f>
        <v/>
      </c>
      <c r="I36" s="18">
        <f>IF(D36="","",IF(OR(D36&gt;K36,D36&lt;L36),"OUT OF CONTROL",""))</f>
        <v/>
      </c>
      <c r="K36" s="27">
        <f>IF(B36="","",MIN(1,$B$5+3*E36*$B$7))</f>
        <v/>
      </c>
      <c r="L36" s="27">
        <f>IF(B36="","",MAX(0,$B$5-3*E36*$B$7))</f>
        <v/>
      </c>
      <c r="M36" s="27">
        <f>IF(B36="","",$B$5)</f>
        <v/>
      </c>
      <c r="T36" s="19" t="n">
        <v>23</v>
      </c>
      <c r="AD36" s="19">
        <f>IF($D36="",NA(),IF(OR($D36&gt;$K36,$D36&lt;$L36),$D36,NA()))</f>
        <v/>
      </c>
      <c r="AE36" s="19">
        <f>IF(COUNT($D29:$D36)&lt;8,NA(),IF(OR(MIN($D29:$D36)&gt;$B$5,MAX($D29:$D36)&lt;$B$5),$D36,NA()))</f>
        <v/>
      </c>
    </row>
    <row r="37">
      <c r="A37" t="inlineStr">
        <is>
          <t>Day 24</t>
        </is>
      </c>
      <c r="B37" s="28" t="n">
        <v>8240</v>
      </c>
      <c r="C37" s="28" t="n">
        <v>6020</v>
      </c>
      <c r="D37" s="21">
        <f>IF(B37="","",C37/B37)</f>
        <v/>
      </c>
      <c r="E37" s="26">
        <f>IF(B37="","",SQRT($B$5*(1-$B$5)/B37))</f>
        <v/>
      </c>
      <c r="F37" s="16">
        <f>IF(B37="","",(D37-$B$5)/E37)</f>
        <v/>
      </c>
      <c r="G37" s="16">
        <f>IF(COUNT(F36:F37)=2,ABS(F37-F36),"")</f>
        <v/>
      </c>
      <c r="I37" s="18">
        <f>IF(D37="","",IF(OR(D37&gt;K37,D37&lt;L37),"OUT OF CONTROL",""))</f>
        <v/>
      </c>
      <c r="K37" s="27">
        <f>IF(B37="","",MIN(1,$B$5+3*E37*$B$7))</f>
        <v/>
      </c>
      <c r="L37" s="27">
        <f>IF(B37="","",MAX(0,$B$5-3*E37*$B$7))</f>
        <v/>
      </c>
      <c r="M37" s="27">
        <f>IF(B37="","",$B$5)</f>
        <v/>
      </c>
      <c r="T37" s="19" t="n">
        <v>24</v>
      </c>
      <c r="AD37" s="19">
        <f>IF($D37="",NA(),IF(OR($D37&gt;$K37,$D37&lt;$L37),$D37,NA()))</f>
        <v/>
      </c>
      <c r="AE37" s="19">
        <f>IF(COUNT($D30:$D37)&lt;8,NA(),IF(OR(MIN($D30:$D37)&gt;$B$5,MAX($D30:$D37)&lt;$B$5),$D37,NA()))</f>
        <v/>
      </c>
    </row>
  </sheetData>
  <mergeCells count="9">
    <mergeCell ref="A2:I2"/>
    <mergeCell ref="C3:I3"/>
    <mergeCell ref="C8:I8"/>
    <mergeCell ref="A1:I1"/>
    <mergeCell ref="C6:I6"/>
    <mergeCell ref="C7:I7"/>
    <mergeCell ref="A12:I12"/>
    <mergeCell ref="A4:I4"/>
    <mergeCell ref="C5:I5"/>
  </mergeCells>
  <printOptions horizontalCentered="1"/>
  <pageMargins left="0.4" right="0.4" top="0.5" bottom="0.5"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AE37"/>
  <sheetViews>
    <sheetView showGridLines="0" workbookViewId="0">
      <pane ySplit="13" topLeftCell="A14" activePane="bottomLeft" state="frozen"/>
      <selection pane="bottomLeft" activeCell="A1" sqref="A1"/>
    </sheetView>
  </sheetViews>
  <sheetFormatPr baseColWidth="8" defaultRowHeight="15"/>
  <cols>
    <col width="32" customWidth="1" min="1" max="1"/>
    <col width="15" customWidth="1" min="2" max="2"/>
    <col width="13" customWidth="1" min="3" max="3"/>
    <col width="12" customWidth="1" min="4" max="4"/>
    <col width="12" customWidth="1" min="5" max="5"/>
    <col width="10" customWidth="1" min="6" max="6"/>
    <col width="11" customWidth="1" min="7" max="7"/>
    <col width="11" customWidth="1" min="8" max="8"/>
    <col width="22" customWidth="1" min="9" max="9"/>
    <col width="3" customWidth="1" min="20" max="20"/>
    <col width="4" customWidth="1" min="30" max="30"/>
    <col width="4" customWidth="1" min="31" max="31"/>
  </cols>
  <sheetData>
    <row r="1" ht="26" customHeight="1">
      <c r="A1" s="3" t="inlineStr">
        <is>
          <t>Laney u′ chart — defects per unit with varying volume</t>
        </is>
      </c>
      <c r="B1" s="4" t="n"/>
      <c r="C1" s="4" t="n"/>
      <c r="D1" s="4" t="n"/>
      <c r="E1" s="4" t="n"/>
      <c r="F1" s="4" t="n"/>
      <c r="G1" s="4" t="n"/>
      <c r="H1" s="4" t="n"/>
      <c r="I1" s="4" t="n"/>
    </row>
    <row r="2">
      <c r="A2" s="5" t="inlineStr">
        <is>
          <t>Defects per 100 contacts, escalations per 1,000 tickets, errors per audit. Same overdispersion problem as percentages, same fix.</t>
        </is>
      </c>
    </row>
    <row r="3">
      <c r="A3" s="12" t="inlineStr">
        <is>
          <t>Limits frozen from the first</t>
        </is>
      </c>
      <c r="B3" s="13" t="n">
        <v>20</v>
      </c>
      <c r="C3" s="5" t="inlineStr">
        <is>
          <t>points — the baseline window. Re-baseline when you have deliberately changed the process, never because the chart is signalling.</t>
        </is>
      </c>
    </row>
    <row r="4">
      <c r="A4" s="9" t="inlineStr">
        <is>
          <t>The maths, calculated from your data — nothing here is hard-coded</t>
        </is>
      </c>
      <c r="B4" s="10" t="n"/>
      <c r="C4" s="10" t="n"/>
      <c r="D4" s="10" t="n"/>
      <c r="E4" s="10" t="n"/>
      <c r="F4" s="10" t="n"/>
      <c r="G4" s="10" t="n"/>
      <c r="H4" s="10" t="n"/>
      <c r="I4" s="10" t="n"/>
    </row>
    <row r="5" ht="15" customHeight="1">
      <c r="A5" s="12" t="inlineStr">
        <is>
          <t>Overall rate (u-bar)</t>
        </is>
      </c>
      <c r="B5" s="29">
        <f>SUMIF($T$14:$T$37,"&lt;="&amp;$B$3,$C$14:$C$37)/SUMIF($T$14:$T$37,"&lt;="&amp;$B$3,$B$14:$B$37)</f>
        <v/>
      </c>
      <c r="C5" s="15" t="inlineStr">
        <is>
          <t>Total defects / total units. Not the average of the daily rates.</t>
        </is>
      </c>
    </row>
    <row r="6" ht="15" customHeight="1">
      <c r="A6" s="12" t="inlineStr">
        <is>
          <t>Average moving range of z</t>
        </is>
      </c>
      <c r="B6" s="22">
        <f>SUMIF($T$15:$T$37,"&lt;="&amp;$B$3,$G$15:$G$37)/($B$3-1)</f>
        <v/>
      </c>
      <c r="C6" s="15" t="inlineStr">
        <is>
          <t>Movement of the standardised points, over the baseline window.</t>
        </is>
      </c>
    </row>
    <row r="7" ht="30" customHeight="1">
      <c r="A7" s="12" t="inlineStr">
        <is>
          <t>Sigma z (Laney adjustment)</t>
        </is>
      </c>
      <c r="B7" s="22">
        <f>MAX(1,B6/1.128)</f>
        <v/>
      </c>
      <c r="C7" s="15" t="inlineStr">
        <is>
          <t>1.0 means an ordinary u-chart was fine. Above that, it was not. It never drops below 1 — the adjustment widens limits, it never tightens them.</t>
        </is>
      </c>
    </row>
    <row r="8" ht="15" customHeight="1">
      <c r="A8" s="12" t="inlineStr">
        <is>
          <t>Rate per 100 units</t>
        </is>
      </c>
      <c r="B8" s="16">
        <f>B5*100</f>
        <v/>
      </c>
      <c r="C8" s="15" t="inlineStr">
        <is>
          <t>The same number in the units people actually quote.</t>
        </is>
      </c>
    </row>
    <row r="9"/>
    <row r="10"/>
    <row r="11"/>
    <row r="12">
      <c r="A12" s="9" t="inlineStr">
        <is>
          <t>Your data — one row per week</t>
        </is>
      </c>
      <c r="B12" s="10" t="n"/>
      <c r="C12" s="10" t="n"/>
      <c r="D12" s="10" t="n"/>
      <c r="E12" s="10" t="n"/>
      <c r="F12" s="10" t="n"/>
      <c r="G12" s="10" t="n"/>
      <c r="H12" s="10" t="n"/>
      <c r="I12" s="10" t="n"/>
    </row>
    <row r="13" ht="30" customHeight="1">
      <c r="A13" s="6" t="inlineStr">
        <is>
          <t>Week</t>
        </is>
      </c>
      <c r="B13" s="6" t="inlineStr">
        <is>
          <t>Contacts audited</t>
        </is>
      </c>
      <c r="C13" s="6" t="inlineStr">
        <is>
          <t>Defects found</t>
        </is>
      </c>
      <c r="D13" s="6" t="inlineStr">
        <is>
          <t>Rate (u)</t>
        </is>
      </c>
      <c r="E13" s="6" t="inlineStr">
        <is>
          <t>Sigma u</t>
        </is>
      </c>
      <c r="F13" s="6" t="inlineStr">
        <is>
          <t>z</t>
        </is>
      </c>
      <c r="G13" s="6" t="inlineStr">
        <is>
          <t>MR of z</t>
        </is>
      </c>
      <c r="H13" s="6" t="inlineStr"/>
      <c r="I13" s="6" t="inlineStr">
        <is>
          <t>Signal</t>
        </is>
      </c>
      <c r="K13" s="24" t="inlineStr">
        <is>
          <t>UCL</t>
        </is>
      </c>
      <c r="L13" s="24" t="inlineStr">
        <is>
          <t>LCL</t>
        </is>
      </c>
      <c r="M13" s="24" t="inlineStr">
        <is>
          <t>CL</t>
        </is>
      </c>
      <c r="T13" s="5" t="inlineStr">
        <is>
          <t>pt</t>
        </is>
      </c>
      <c r="AD13" s="5" t="inlineStr">
        <is>
          <t>out of control</t>
        </is>
      </c>
      <c r="AE13" s="5" t="inlineStr">
        <is>
          <t>8 in a row one side</t>
        </is>
      </c>
    </row>
    <row r="14">
      <c r="A14" t="inlineStr">
        <is>
          <t>Week 1</t>
        </is>
      </c>
      <c r="B14" s="25" t="n">
        <v>1240</v>
      </c>
      <c r="C14" s="25" t="n">
        <v>38</v>
      </c>
      <c r="D14" s="26">
        <f>IF(B14="","",C14/B14)</f>
        <v/>
      </c>
      <c r="E14" s="26">
        <f>IF(B14="","",SQRT($B$5/B14))</f>
        <v/>
      </c>
      <c r="F14" s="16">
        <f>IF(B14="","",(D14-$B$5)/E14)</f>
        <v/>
      </c>
      <c r="I14" s="18">
        <f>IF(D14="","",IF(OR(D14&gt;K14,D14&lt;L14),"OUT OF CONTROL",""))</f>
        <v/>
      </c>
      <c r="K14" s="30">
        <f>IF(B14="","",$B$5+3*E14*$B$7)</f>
        <v/>
      </c>
      <c r="L14" s="30">
        <f>IF(B14="","",MAX(0,$B$5-3*E14*$B$7))</f>
        <v/>
      </c>
      <c r="M14" s="30">
        <f>IF(B14="","",$B$5)</f>
        <v/>
      </c>
      <c r="T14" s="19" t="n">
        <v>1</v>
      </c>
      <c r="AD14" s="19">
        <f>IF($D14="",NA(),IF(OR($D14&gt;$K14,$D14&lt;$L14),$D14,NA()))</f>
        <v/>
      </c>
      <c r="AE14" s="19">
        <f>NA()</f>
        <v/>
      </c>
    </row>
    <row r="15">
      <c r="A15" t="inlineStr">
        <is>
          <t>Week 2</t>
        </is>
      </c>
      <c r="B15" s="28" t="n">
        <v>1310</v>
      </c>
      <c r="C15" s="28" t="n">
        <v>68</v>
      </c>
      <c r="D15" s="26">
        <f>IF(B15="","",C15/B15)</f>
        <v/>
      </c>
      <c r="E15" s="26">
        <f>IF(B15="","",SQRT($B$5/B15))</f>
        <v/>
      </c>
      <c r="F15" s="16">
        <f>IF(B15="","",(D15-$B$5)/E15)</f>
        <v/>
      </c>
      <c r="G15" s="16">
        <f>IF(COUNT(F14:F15)=2,ABS(F15-F14),"")</f>
        <v/>
      </c>
      <c r="I15" s="18">
        <f>IF(D15="","",IF(OR(D15&gt;K15,D15&lt;L15),"OUT OF CONTROL",""))</f>
        <v/>
      </c>
      <c r="K15" s="30">
        <f>IF(B15="","",$B$5+3*E15*$B$7)</f>
        <v/>
      </c>
      <c r="L15" s="30">
        <f>IF(B15="","",MAX(0,$B$5-3*E15*$B$7))</f>
        <v/>
      </c>
      <c r="M15" s="30">
        <f>IF(B15="","",$B$5)</f>
        <v/>
      </c>
      <c r="T15" s="19" t="n">
        <v>2</v>
      </c>
      <c r="AD15" s="19">
        <f>IF($D15="",NA(),IF(OR($D15&gt;$K15,$D15&lt;$L15),$D15,NA()))</f>
        <v/>
      </c>
      <c r="AE15" s="19">
        <f>NA()</f>
        <v/>
      </c>
    </row>
    <row r="16">
      <c r="A16" t="inlineStr">
        <is>
          <t>Week 3</t>
        </is>
      </c>
      <c r="B16" s="28" t="n">
        <v>1180</v>
      </c>
      <c r="C16" s="28" t="n">
        <v>42</v>
      </c>
      <c r="D16" s="26">
        <f>IF(B16="","",C16/B16)</f>
        <v/>
      </c>
      <c r="E16" s="26">
        <f>IF(B16="","",SQRT($B$5/B16))</f>
        <v/>
      </c>
      <c r="F16" s="16">
        <f>IF(B16="","",(D16-$B$5)/E16)</f>
        <v/>
      </c>
      <c r="G16" s="16">
        <f>IF(COUNT(F15:F16)=2,ABS(F16-F15),"")</f>
        <v/>
      </c>
      <c r="I16" s="18">
        <f>IF(D16="","",IF(OR(D16&gt;K16,D16&lt;L16),"OUT OF CONTROL",""))</f>
        <v/>
      </c>
      <c r="K16" s="30">
        <f>IF(B16="","",$B$5+3*E16*$B$7)</f>
        <v/>
      </c>
      <c r="L16" s="30">
        <f>IF(B16="","",MAX(0,$B$5-3*E16*$B$7))</f>
        <v/>
      </c>
      <c r="M16" s="30">
        <f>IF(B16="","",$B$5)</f>
        <v/>
      </c>
      <c r="T16" s="19" t="n">
        <v>3</v>
      </c>
      <c r="AD16" s="19">
        <f>IF($D16="",NA(),IF(OR($D16&gt;$K16,$D16&lt;$L16),$D16,NA()))</f>
        <v/>
      </c>
      <c r="AE16" s="19">
        <f>NA()</f>
        <v/>
      </c>
    </row>
    <row r="17">
      <c r="A17" t="inlineStr">
        <is>
          <t>Week 4</t>
        </is>
      </c>
      <c r="B17" s="28" t="n">
        <v>1420</v>
      </c>
      <c r="C17" s="28" t="n">
        <v>82</v>
      </c>
      <c r="D17" s="26">
        <f>IF(B17="","",C17/B17)</f>
        <v/>
      </c>
      <c r="E17" s="26">
        <f>IF(B17="","",SQRT($B$5/B17))</f>
        <v/>
      </c>
      <c r="F17" s="16">
        <f>IF(B17="","",(D17-$B$5)/E17)</f>
        <v/>
      </c>
      <c r="G17" s="16">
        <f>IF(COUNT(F16:F17)=2,ABS(F17-F16),"")</f>
        <v/>
      </c>
      <c r="I17" s="18">
        <f>IF(D17="","",IF(OR(D17&gt;K17,D17&lt;L17),"OUT OF CONTROL",""))</f>
        <v/>
      </c>
      <c r="K17" s="30">
        <f>IF(B17="","",$B$5+3*E17*$B$7)</f>
        <v/>
      </c>
      <c r="L17" s="30">
        <f>IF(B17="","",MAX(0,$B$5-3*E17*$B$7))</f>
        <v/>
      </c>
      <c r="M17" s="30">
        <f>IF(B17="","",$B$5)</f>
        <v/>
      </c>
      <c r="T17" s="19" t="n">
        <v>4</v>
      </c>
      <c r="AD17" s="19">
        <f>IF($D17="",NA(),IF(OR($D17&gt;$K17,$D17&lt;$L17),$D17,NA()))</f>
        <v/>
      </c>
      <c r="AE17" s="19">
        <f>NA()</f>
        <v/>
      </c>
    </row>
    <row r="18">
      <c r="A18" t="inlineStr">
        <is>
          <t>Week 5</t>
        </is>
      </c>
      <c r="B18" s="28" t="n">
        <v>1275</v>
      </c>
      <c r="C18" s="28" t="n">
        <v>42</v>
      </c>
      <c r="D18" s="26">
        <f>IF(B18="","",C18/B18)</f>
        <v/>
      </c>
      <c r="E18" s="26">
        <f>IF(B18="","",SQRT($B$5/B18))</f>
        <v/>
      </c>
      <c r="F18" s="16">
        <f>IF(B18="","",(D18-$B$5)/E18)</f>
        <v/>
      </c>
      <c r="G18" s="16">
        <f>IF(COUNT(F17:F18)=2,ABS(F18-F17),"")</f>
        <v/>
      </c>
      <c r="I18" s="18">
        <f>IF(D18="","",IF(OR(D18&gt;K18,D18&lt;L18),"OUT OF CONTROL",""))</f>
        <v/>
      </c>
      <c r="K18" s="30">
        <f>IF(B18="","",$B$5+3*E18*$B$7)</f>
        <v/>
      </c>
      <c r="L18" s="30">
        <f>IF(B18="","",MAX(0,$B$5-3*E18*$B$7))</f>
        <v/>
      </c>
      <c r="M18" s="30">
        <f>IF(B18="","",$B$5)</f>
        <v/>
      </c>
      <c r="T18" s="19" t="n">
        <v>5</v>
      </c>
      <c r="AD18" s="19">
        <f>IF($D18="",NA(),IF(OR($D18&gt;$K18,$D18&lt;$L18),$D18,NA()))</f>
        <v/>
      </c>
      <c r="AE18" s="19">
        <f>NA()</f>
        <v/>
      </c>
    </row>
    <row r="19">
      <c r="A19" t="inlineStr">
        <is>
          <t>Week 6</t>
        </is>
      </c>
      <c r="B19" s="28" t="n">
        <v>1195</v>
      </c>
      <c r="C19" s="28" t="n">
        <v>59</v>
      </c>
      <c r="D19" s="26">
        <f>IF(B19="","",C19/B19)</f>
        <v/>
      </c>
      <c r="E19" s="26">
        <f>IF(B19="","",SQRT($B$5/B19))</f>
        <v/>
      </c>
      <c r="F19" s="16">
        <f>IF(B19="","",(D19-$B$5)/E19)</f>
        <v/>
      </c>
      <c r="G19" s="16">
        <f>IF(COUNT(F18:F19)=2,ABS(F19-F18),"")</f>
        <v/>
      </c>
      <c r="I19" s="18">
        <f>IF(D19="","",IF(OR(D19&gt;K19,D19&lt;L19),"OUT OF CONTROL",""))</f>
        <v/>
      </c>
      <c r="K19" s="30">
        <f>IF(B19="","",$B$5+3*E19*$B$7)</f>
        <v/>
      </c>
      <c r="L19" s="30">
        <f>IF(B19="","",MAX(0,$B$5-3*E19*$B$7))</f>
        <v/>
      </c>
      <c r="M19" s="30">
        <f>IF(B19="","",$B$5)</f>
        <v/>
      </c>
      <c r="T19" s="19" t="n">
        <v>6</v>
      </c>
      <c r="AD19" s="19">
        <f>IF($D19="",NA(),IF(OR($D19&gt;$K19,$D19&lt;$L19),$D19,NA()))</f>
        <v/>
      </c>
      <c r="AE19" s="19">
        <f>NA()</f>
        <v/>
      </c>
    </row>
    <row r="20">
      <c r="A20" t="inlineStr">
        <is>
          <t>Week 7</t>
        </is>
      </c>
      <c r="B20" s="28" t="n">
        <v>1360</v>
      </c>
      <c r="C20" s="28" t="n">
        <v>56</v>
      </c>
      <c r="D20" s="26">
        <f>IF(B20="","",C20/B20)</f>
        <v/>
      </c>
      <c r="E20" s="26">
        <f>IF(B20="","",SQRT($B$5/B20))</f>
        <v/>
      </c>
      <c r="F20" s="16">
        <f>IF(B20="","",(D20-$B$5)/E20)</f>
        <v/>
      </c>
      <c r="G20" s="16">
        <f>IF(COUNT(F19:F20)=2,ABS(F20-F19),"")</f>
        <v/>
      </c>
      <c r="I20" s="18">
        <f>IF(D20="","",IF(OR(D20&gt;K20,D20&lt;L20),"OUT OF CONTROL",""))</f>
        <v/>
      </c>
      <c r="K20" s="30">
        <f>IF(B20="","",$B$5+3*E20*$B$7)</f>
        <v/>
      </c>
      <c r="L20" s="30">
        <f>IF(B20="","",MAX(0,$B$5-3*E20*$B$7))</f>
        <v/>
      </c>
      <c r="M20" s="30">
        <f>IF(B20="","",$B$5)</f>
        <v/>
      </c>
      <c r="T20" s="19" t="n">
        <v>7</v>
      </c>
      <c r="AD20" s="19">
        <f>IF($D20="",NA(),IF(OR($D20&gt;$K20,$D20&lt;$L20),$D20,NA()))</f>
        <v/>
      </c>
      <c r="AE20" s="19">
        <f>NA()</f>
        <v/>
      </c>
    </row>
    <row r="21">
      <c r="A21" t="inlineStr">
        <is>
          <t>Week 8</t>
        </is>
      </c>
      <c r="B21" s="28" t="n">
        <v>1230</v>
      </c>
      <c r="C21" s="28" t="n">
        <v>69</v>
      </c>
      <c r="D21" s="26">
        <f>IF(B21="","",C21/B21)</f>
        <v/>
      </c>
      <c r="E21" s="26">
        <f>IF(B21="","",SQRT($B$5/B21))</f>
        <v/>
      </c>
      <c r="F21" s="16">
        <f>IF(B21="","",(D21-$B$5)/E21)</f>
        <v/>
      </c>
      <c r="G21" s="16">
        <f>IF(COUNT(F20:F21)=2,ABS(F21-F20),"")</f>
        <v/>
      </c>
      <c r="I21" s="18">
        <f>IF(D21="","",IF(OR(D21&gt;K21,D21&lt;L21),"OUT OF CONTROL",""))</f>
        <v/>
      </c>
      <c r="K21" s="30">
        <f>IF(B21="","",$B$5+3*E21*$B$7)</f>
        <v/>
      </c>
      <c r="L21" s="30">
        <f>IF(B21="","",MAX(0,$B$5-3*E21*$B$7))</f>
        <v/>
      </c>
      <c r="M21" s="30">
        <f>IF(B21="","",$B$5)</f>
        <v/>
      </c>
      <c r="T21" s="19" t="n">
        <v>8</v>
      </c>
      <c r="AD21" s="19">
        <f>IF($D21="",NA(),IF(OR($D21&gt;$K21,$D21&lt;$L21),$D21,NA()))</f>
        <v/>
      </c>
      <c r="AE21" s="19">
        <f>IF(COUNT($D14:$D21)&lt;8,NA(),IF(OR(MIN($D14:$D21)&gt;$B$5,MAX($D14:$D21)&lt;$B$5),$D21,NA()))</f>
        <v/>
      </c>
    </row>
    <row r="22">
      <c r="A22" t="inlineStr">
        <is>
          <t>Week 9</t>
        </is>
      </c>
      <c r="B22" s="28" t="n">
        <v>1405</v>
      </c>
      <c r="C22" s="28" t="n">
        <v>42</v>
      </c>
      <c r="D22" s="26">
        <f>IF(B22="","",C22/B22)</f>
        <v/>
      </c>
      <c r="E22" s="26">
        <f>IF(B22="","",SQRT($B$5/B22))</f>
        <v/>
      </c>
      <c r="F22" s="16">
        <f>IF(B22="","",(D22-$B$5)/E22)</f>
        <v/>
      </c>
      <c r="G22" s="16">
        <f>IF(COUNT(F21:F22)=2,ABS(F22-F21),"")</f>
        <v/>
      </c>
      <c r="I22" s="18">
        <f>IF(D22="","",IF(OR(D22&gt;K22,D22&lt;L22),"OUT OF CONTROL",""))</f>
        <v/>
      </c>
      <c r="K22" s="30">
        <f>IF(B22="","",$B$5+3*E22*$B$7)</f>
        <v/>
      </c>
      <c r="L22" s="30">
        <f>IF(B22="","",MAX(0,$B$5-3*E22*$B$7))</f>
        <v/>
      </c>
      <c r="M22" s="30">
        <f>IF(B22="","",$B$5)</f>
        <v/>
      </c>
      <c r="T22" s="19" t="n">
        <v>9</v>
      </c>
      <c r="AD22" s="19">
        <f>IF($D22="",NA(),IF(OR($D22&gt;$K22,$D22&lt;$L22),$D22,NA()))</f>
        <v/>
      </c>
      <c r="AE22" s="19">
        <f>IF(COUNT($D15:$D22)&lt;8,NA(),IF(OR(MIN($D15:$D22)&gt;$B$5,MAX($D15:$D22)&lt;$B$5),$D22,NA()))</f>
        <v/>
      </c>
    </row>
    <row r="23">
      <c r="A23" t="inlineStr">
        <is>
          <t>Week 10</t>
        </is>
      </c>
      <c r="B23" s="28" t="n">
        <v>1150</v>
      </c>
      <c r="C23" s="28" t="n">
        <v>54</v>
      </c>
      <c r="D23" s="26">
        <f>IF(B23="","",C23/B23)</f>
        <v/>
      </c>
      <c r="E23" s="26">
        <f>IF(B23="","",SQRT($B$5/B23))</f>
        <v/>
      </c>
      <c r="F23" s="16">
        <f>IF(B23="","",(D23-$B$5)/E23)</f>
        <v/>
      </c>
      <c r="G23" s="16">
        <f>IF(COUNT(F22:F23)=2,ABS(F23-F22),"")</f>
        <v/>
      </c>
      <c r="I23" s="18">
        <f>IF(D23="","",IF(OR(D23&gt;K23,D23&lt;L23),"OUT OF CONTROL",""))</f>
        <v/>
      </c>
      <c r="K23" s="30">
        <f>IF(B23="","",$B$5+3*E23*$B$7)</f>
        <v/>
      </c>
      <c r="L23" s="30">
        <f>IF(B23="","",MAX(0,$B$5-3*E23*$B$7))</f>
        <v/>
      </c>
      <c r="M23" s="30">
        <f>IF(B23="","",$B$5)</f>
        <v/>
      </c>
      <c r="T23" s="19" t="n">
        <v>10</v>
      </c>
      <c r="AD23" s="19">
        <f>IF($D23="",NA(),IF(OR($D23&gt;$K23,$D23&lt;$L23),$D23,NA()))</f>
        <v/>
      </c>
      <c r="AE23" s="19">
        <f>IF(COUNT($D16:$D23)&lt;8,NA(),IF(OR(MIN($D16:$D23)&gt;$B$5,MAX($D16:$D23)&lt;$B$5),$D23,NA()))</f>
        <v/>
      </c>
    </row>
    <row r="24">
      <c r="A24" t="inlineStr">
        <is>
          <t>Week 11</t>
        </is>
      </c>
      <c r="B24" s="28" t="n">
        <v>1290</v>
      </c>
      <c r="C24" s="28" t="n">
        <v>49</v>
      </c>
      <c r="D24" s="26">
        <f>IF(B24="","",C24/B24)</f>
        <v/>
      </c>
      <c r="E24" s="26">
        <f>IF(B24="","",SQRT($B$5/B24))</f>
        <v/>
      </c>
      <c r="F24" s="16">
        <f>IF(B24="","",(D24-$B$5)/E24)</f>
        <v/>
      </c>
      <c r="G24" s="16">
        <f>IF(COUNT(F23:F24)=2,ABS(F24-F23),"")</f>
        <v/>
      </c>
      <c r="I24" s="18">
        <f>IF(D24="","",IF(OR(D24&gt;K24,D24&lt;L24),"OUT OF CONTROL",""))</f>
        <v/>
      </c>
      <c r="K24" s="30">
        <f>IF(B24="","",$B$5+3*E24*$B$7)</f>
        <v/>
      </c>
      <c r="L24" s="30">
        <f>IF(B24="","",MAX(0,$B$5-3*E24*$B$7))</f>
        <v/>
      </c>
      <c r="M24" s="30">
        <f>IF(B24="","",$B$5)</f>
        <v/>
      </c>
      <c r="T24" s="19" t="n">
        <v>11</v>
      </c>
      <c r="AD24" s="19">
        <f>IF($D24="",NA(),IF(OR($D24&gt;$K24,$D24&lt;$L24),$D24,NA()))</f>
        <v/>
      </c>
      <c r="AE24" s="19">
        <f>IF(COUNT($D17:$D24)&lt;8,NA(),IF(OR(MIN($D17:$D24)&gt;$B$5,MAX($D17:$D24)&lt;$B$5),$D24,NA()))</f>
        <v/>
      </c>
    </row>
    <row r="25">
      <c r="A25" t="inlineStr">
        <is>
          <t>Week 12</t>
        </is>
      </c>
      <c r="B25" s="28" t="n">
        <v>1375</v>
      </c>
      <c r="C25" s="28" t="n">
        <v>74</v>
      </c>
      <c r="D25" s="26">
        <f>IF(B25="","",C25/B25)</f>
        <v/>
      </c>
      <c r="E25" s="26">
        <f>IF(B25="","",SQRT($B$5/B25))</f>
        <v/>
      </c>
      <c r="F25" s="16">
        <f>IF(B25="","",(D25-$B$5)/E25)</f>
        <v/>
      </c>
      <c r="G25" s="16">
        <f>IF(COUNT(F24:F25)=2,ABS(F25-F24),"")</f>
        <v/>
      </c>
      <c r="I25" s="18">
        <f>IF(D25="","",IF(OR(D25&gt;K25,D25&lt;L25),"OUT OF CONTROL",""))</f>
        <v/>
      </c>
      <c r="K25" s="30">
        <f>IF(B25="","",$B$5+3*E25*$B$7)</f>
        <v/>
      </c>
      <c r="L25" s="30">
        <f>IF(B25="","",MAX(0,$B$5-3*E25*$B$7))</f>
        <v/>
      </c>
      <c r="M25" s="30">
        <f>IF(B25="","",$B$5)</f>
        <v/>
      </c>
      <c r="T25" s="19" t="n">
        <v>12</v>
      </c>
      <c r="AD25" s="19">
        <f>IF($D25="",NA(),IF(OR($D25&gt;$K25,$D25&lt;$L25),$D25,NA()))</f>
        <v/>
      </c>
      <c r="AE25" s="19">
        <f>IF(COUNT($D18:$D25)&lt;8,NA(),IF(OR(MIN($D18:$D25)&gt;$B$5,MAX($D18:$D25)&lt;$B$5),$D25,NA()))</f>
        <v/>
      </c>
    </row>
    <row r="26">
      <c r="A26" t="inlineStr">
        <is>
          <t>Week 13</t>
        </is>
      </c>
      <c r="B26" s="28" t="n">
        <v>1215</v>
      </c>
      <c r="C26" s="28" t="n">
        <v>39</v>
      </c>
      <c r="D26" s="26">
        <f>IF(B26="","",C26/B26)</f>
        <v/>
      </c>
      <c r="E26" s="26">
        <f>IF(B26="","",SQRT($B$5/B26))</f>
        <v/>
      </c>
      <c r="F26" s="16">
        <f>IF(B26="","",(D26-$B$5)/E26)</f>
        <v/>
      </c>
      <c r="G26" s="16">
        <f>IF(COUNT(F25:F26)=2,ABS(F26-F25),"")</f>
        <v/>
      </c>
      <c r="I26" s="18">
        <f>IF(D26="","",IF(OR(D26&gt;K26,D26&lt;L26),"OUT OF CONTROL",""))</f>
        <v/>
      </c>
      <c r="K26" s="30">
        <f>IF(B26="","",$B$5+3*E26*$B$7)</f>
        <v/>
      </c>
      <c r="L26" s="30">
        <f>IF(B26="","",MAX(0,$B$5-3*E26*$B$7))</f>
        <v/>
      </c>
      <c r="M26" s="30">
        <f>IF(B26="","",$B$5)</f>
        <v/>
      </c>
      <c r="T26" s="19" t="n">
        <v>13</v>
      </c>
      <c r="AD26" s="19">
        <f>IF($D26="",NA(),IF(OR($D26&gt;$K26,$D26&lt;$L26),$D26,NA()))</f>
        <v/>
      </c>
      <c r="AE26" s="19">
        <f>IF(COUNT($D19:$D26)&lt;8,NA(),IF(OR(MIN($D19:$D26)&gt;$B$5,MAX($D19:$D26)&lt;$B$5),$D26,NA()))</f>
        <v/>
      </c>
    </row>
    <row r="27">
      <c r="A27" t="inlineStr">
        <is>
          <t>Week 14</t>
        </is>
      </c>
      <c r="B27" s="28" t="n">
        <v>1330</v>
      </c>
      <c r="C27" s="28" t="n">
        <v>66</v>
      </c>
      <c r="D27" s="26">
        <f>IF(B27="","",C27/B27)</f>
        <v/>
      </c>
      <c r="E27" s="26">
        <f>IF(B27="","",SQRT($B$5/B27))</f>
        <v/>
      </c>
      <c r="F27" s="16">
        <f>IF(B27="","",(D27-$B$5)/E27)</f>
        <v/>
      </c>
      <c r="G27" s="16">
        <f>IF(COUNT(F26:F27)=2,ABS(F27-F26),"")</f>
        <v/>
      </c>
      <c r="I27" s="18">
        <f>IF(D27="","",IF(OR(D27&gt;K27,D27&lt;L27),"OUT OF CONTROL",""))</f>
        <v/>
      </c>
      <c r="K27" s="30">
        <f>IF(B27="","",$B$5+3*E27*$B$7)</f>
        <v/>
      </c>
      <c r="L27" s="30">
        <f>IF(B27="","",MAX(0,$B$5-3*E27*$B$7))</f>
        <v/>
      </c>
      <c r="M27" s="30">
        <f>IF(B27="","",$B$5)</f>
        <v/>
      </c>
      <c r="T27" s="19" t="n">
        <v>14</v>
      </c>
      <c r="AD27" s="19">
        <f>IF($D27="",NA(),IF(OR($D27&gt;$K27,$D27&lt;$L27),$D27,NA()))</f>
        <v/>
      </c>
      <c r="AE27" s="19">
        <f>IF(COUNT($D20:$D27)&lt;8,NA(),IF(OR(MIN($D20:$D27)&gt;$B$5,MAX($D20:$D27)&lt;$B$5),$D27,NA()))</f>
        <v/>
      </c>
    </row>
    <row r="28">
      <c r="A28" t="inlineStr">
        <is>
          <t>Week 15</t>
        </is>
      </c>
      <c r="B28" s="28" t="n">
        <v>1185</v>
      </c>
      <c r="C28" s="28" t="n">
        <v>41</v>
      </c>
      <c r="D28" s="26">
        <f>IF(B28="","",C28/B28)</f>
        <v/>
      </c>
      <c r="E28" s="26">
        <f>IF(B28="","",SQRT($B$5/B28))</f>
        <v/>
      </c>
      <c r="F28" s="16">
        <f>IF(B28="","",(D28-$B$5)/E28)</f>
        <v/>
      </c>
      <c r="G28" s="16">
        <f>IF(COUNT(F27:F28)=2,ABS(F28-F27),"")</f>
        <v/>
      </c>
      <c r="I28" s="18">
        <f>IF(D28="","",IF(OR(D28&gt;K28,D28&lt;L28),"OUT OF CONTROL",""))</f>
        <v/>
      </c>
      <c r="K28" s="30">
        <f>IF(B28="","",$B$5+3*E28*$B$7)</f>
        <v/>
      </c>
      <c r="L28" s="30">
        <f>IF(B28="","",MAX(0,$B$5-3*E28*$B$7))</f>
        <v/>
      </c>
      <c r="M28" s="30">
        <f>IF(B28="","",$B$5)</f>
        <v/>
      </c>
      <c r="T28" s="19" t="n">
        <v>15</v>
      </c>
      <c r="AD28" s="19">
        <f>IF($D28="",NA(),IF(OR($D28&gt;$K28,$D28&lt;$L28),$D28,NA()))</f>
        <v/>
      </c>
      <c r="AE28" s="19">
        <f>IF(COUNT($D21:$D28)&lt;8,NA(),IF(OR(MIN($D21:$D28)&gt;$B$5,MAX($D21:$D28)&lt;$B$5),$D28,NA()))</f>
        <v/>
      </c>
    </row>
    <row r="29">
      <c r="A29" t="inlineStr">
        <is>
          <t>Week 16</t>
        </is>
      </c>
      <c r="B29" s="28" t="n">
        <v>1265</v>
      </c>
      <c r="C29" s="28" t="n">
        <v>72</v>
      </c>
      <c r="D29" s="26">
        <f>IF(B29="","",C29/B29)</f>
        <v/>
      </c>
      <c r="E29" s="26">
        <f>IF(B29="","",SQRT($B$5/B29))</f>
        <v/>
      </c>
      <c r="F29" s="16">
        <f>IF(B29="","",(D29-$B$5)/E29)</f>
        <v/>
      </c>
      <c r="G29" s="16">
        <f>IF(COUNT(F28:F29)=2,ABS(F29-F28),"")</f>
        <v/>
      </c>
      <c r="I29" s="18">
        <f>IF(D29="","",IF(OR(D29&gt;K29,D29&lt;L29),"OUT OF CONTROL",""))</f>
        <v/>
      </c>
      <c r="K29" s="30">
        <f>IF(B29="","",$B$5+3*E29*$B$7)</f>
        <v/>
      </c>
      <c r="L29" s="30">
        <f>IF(B29="","",MAX(0,$B$5-3*E29*$B$7))</f>
        <v/>
      </c>
      <c r="M29" s="30">
        <f>IF(B29="","",$B$5)</f>
        <v/>
      </c>
      <c r="T29" s="19" t="n">
        <v>16</v>
      </c>
      <c r="AD29" s="19">
        <f>IF($D29="",NA(),IF(OR($D29&gt;$K29,$D29&lt;$L29),$D29,NA()))</f>
        <v/>
      </c>
      <c r="AE29" s="19">
        <f>IF(COUNT($D22:$D29)&lt;8,NA(),IF(OR(MIN($D22:$D29)&gt;$B$5,MAX($D22:$D29)&lt;$B$5),$D29,NA()))</f>
        <v/>
      </c>
    </row>
    <row r="30">
      <c r="A30" t="inlineStr">
        <is>
          <t>Week 17</t>
        </is>
      </c>
      <c r="B30" s="28" t="n">
        <v>1440</v>
      </c>
      <c r="C30" s="28" t="n">
        <v>58</v>
      </c>
      <c r="D30" s="26">
        <f>IF(B30="","",C30/B30)</f>
        <v/>
      </c>
      <c r="E30" s="26">
        <f>IF(B30="","",SQRT($B$5/B30))</f>
        <v/>
      </c>
      <c r="F30" s="16">
        <f>IF(B30="","",(D30-$B$5)/E30)</f>
        <v/>
      </c>
      <c r="G30" s="16">
        <f>IF(COUNT(F29:F30)=2,ABS(F30-F29),"")</f>
        <v/>
      </c>
      <c r="I30" s="18">
        <f>IF(D30="","",IF(OR(D30&gt;K30,D30&lt;L30),"OUT OF CONTROL",""))</f>
        <v/>
      </c>
      <c r="K30" s="30">
        <f>IF(B30="","",$B$5+3*E30*$B$7)</f>
        <v/>
      </c>
      <c r="L30" s="30">
        <f>IF(B30="","",MAX(0,$B$5-3*E30*$B$7))</f>
        <v/>
      </c>
      <c r="M30" s="30">
        <f>IF(B30="","",$B$5)</f>
        <v/>
      </c>
      <c r="T30" s="19" t="n">
        <v>17</v>
      </c>
      <c r="AD30" s="19">
        <f>IF($D30="",NA(),IF(OR($D30&gt;$K30,$D30&lt;$L30),$D30,NA()))</f>
        <v/>
      </c>
      <c r="AE30" s="19">
        <f>IF(COUNT($D23:$D30)&lt;8,NA(),IF(OR(MIN($D23:$D30)&gt;$B$5,MAX($D23:$D30)&lt;$B$5),$D30,NA()))</f>
        <v/>
      </c>
    </row>
    <row r="31">
      <c r="A31" t="inlineStr">
        <is>
          <t>Week 18</t>
        </is>
      </c>
      <c r="B31" s="28" t="n">
        <v>1205</v>
      </c>
      <c r="C31" s="28" t="n">
        <v>54</v>
      </c>
      <c r="D31" s="26">
        <f>IF(B31="","",C31/B31)</f>
        <v/>
      </c>
      <c r="E31" s="26">
        <f>IF(B31="","",SQRT($B$5/B31))</f>
        <v/>
      </c>
      <c r="F31" s="16">
        <f>IF(B31="","",(D31-$B$5)/E31)</f>
        <v/>
      </c>
      <c r="G31" s="16">
        <f>IF(COUNT(F30:F31)=2,ABS(F31-F30),"")</f>
        <v/>
      </c>
      <c r="I31" s="18">
        <f>IF(D31="","",IF(OR(D31&gt;K31,D31&lt;L31),"OUT OF CONTROL",""))</f>
        <v/>
      </c>
      <c r="K31" s="30">
        <f>IF(B31="","",$B$5+3*E31*$B$7)</f>
        <v/>
      </c>
      <c r="L31" s="30">
        <f>IF(B31="","",MAX(0,$B$5-3*E31*$B$7))</f>
        <v/>
      </c>
      <c r="M31" s="30">
        <f>IF(B31="","",$B$5)</f>
        <v/>
      </c>
      <c r="T31" s="19" t="n">
        <v>18</v>
      </c>
      <c r="AD31" s="19">
        <f>IF($D31="",NA(),IF(OR($D31&gt;$K31,$D31&lt;$L31),$D31,NA()))</f>
        <v/>
      </c>
      <c r="AE31" s="19">
        <f>IF(COUNT($D24:$D31)&lt;8,NA(),IF(OR(MIN($D24:$D31)&gt;$B$5,MAX($D24:$D31)&lt;$B$5),$D31,NA()))</f>
        <v/>
      </c>
    </row>
    <row r="32">
      <c r="A32" t="inlineStr">
        <is>
          <t>Week 19</t>
        </is>
      </c>
      <c r="B32" s="28" t="n">
        <v>1300</v>
      </c>
      <c r="C32" s="28" t="n">
        <v>40</v>
      </c>
      <c r="D32" s="26">
        <f>IF(B32="","",C32/B32)</f>
        <v/>
      </c>
      <c r="E32" s="26">
        <f>IF(B32="","",SQRT($B$5/B32))</f>
        <v/>
      </c>
      <c r="F32" s="16">
        <f>IF(B32="","",(D32-$B$5)/E32)</f>
        <v/>
      </c>
      <c r="G32" s="16">
        <f>IF(COUNT(F31:F32)=2,ABS(F32-F31),"")</f>
        <v/>
      </c>
      <c r="I32" s="18">
        <f>IF(D32="","",IF(OR(D32&gt;K32,D32&lt;L32),"OUT OF CONTROL",""))</f>
        <v/>
      </c>
      <c r="K32" s="30">
        <f>IF(B32="","",$B$5+3*E32*$B$7)</f>
        <v/>
      </c>
      <c r="L32" s="30">
        <f>IF(B32="","",MAX(0,$B$5-3*E32*$B$7))</f>
        <v/>
      </c>
      <c r="M32" s="30">
        <f>IF(B32="","",$B$5)</f>
        <v/>
      </c>
      <c r="T32" s="19" t="n">
        <v>19</v>
      </c>
      <c r="AD32" s="19">
        <f>IF($D32="",NA(),IF(OR($D32&gt;$K32,$D32&lt;$L32),$D32,NA()))</f>
        <v/>
      </c>
      <c r="AE32" s="19">
        <f>IF(COUNT($D25:$D32)&lt;8,NA(),IF(OR(MIN($D25:$D32)&gt;$B$5,MAX($D25:$D32)&lt;$B$5),$D32,NA()))</f>
        <v/>
      </c>
    </row>
    <row r="33">
      <c r="A33" t="inlineStr">
        <is>
          <t>Week 20</t>
        </is>
      </c>
      <c r="B33" s="28" t="n">
        <v>1355</v>
      </c>
      <c r="C33" s="28" t="n">
        <v>72</v>
      </c>
      <c r="D33" s="26">
        <f>IF(B33="","",C33/B33)</f>
        <v/>
      </c>
      <c r="E33" s="26">
        <f>IF(B33="","",SQRT($B$5/B33))</f>
        <v/>
      </c>
      <c r="F33" s="16">
        <f>IF(B33="","",(D33-$B$5)/E33)</f>
        <v/>
      </c>
      <c r="G33" s="16">
        <f>IF(COUNT(F32:F33)=2,ABS(F33-F32),"")</f>
        <v/>
      </c>
      <c r="I33" s="18">
        <f>IF(D33="","",IF(OR(D33&gt;K33,D33&lt;L33),"OUT OF CONTROL",""))</f>
        <v/>
      </c>
      <c r="K33" s="30">
        <f>IF(B33="","",$B$5+3*E33*$B$7)</f>
        <v/>
      </c>
      <c r="L33" s="30">
        <f>IF(B33="","",MAX(0,$B$5-3*E33*$B$7))</f>
        <v/>
      </c>
      <c r="M33" s="30">
        <f>IF(B33="","",$B$5)</f>
        <v/>
      </c>
      <c r="T33" s="19" t="n">
        <v>20</v>
      </c>
      <c r="AD33" s="19">
        <f>IF($D33="",NA(),IF(OR($D33&gt;$K33,$D33&lt;$L33),$D33,NA()))</f>
        <v/>
      </c>
      <c r="AE33" s="19">
        <f>IF(COUNT($D26:$D33)&lt;8,NA(),IF(OR(MIN($D26:$D33)&gt;$B$5,MAX($D26:$D33)&lt;$B$5),$D33,NA()))</f>
        <v/>
      </c>
    </row>
    <row r="34">
      <c r="A34" t="inlineStr">
        <is>
          <t>Week 21</t>
        </is>
      </c>
      <c r="B34" s="28" t="n">
        <v>1170</v>
      </c>
      <c r="C34" s="28" t="n">
        <v>43</v>
      </c>
      <c r="D34" s="26">
        <f>IF(B34="","",C34/B34)</f>
        <v/>
      </c>
      <c r="E34" s="26">
        <f>IF(B34="","",SQRT($B$5/B34))</f>
        <v/>
      </c>
      <c r="F34" s="16">
        <f>IF(B34="","",(D34-$B$5)/E34)</f>
        <v/>
      </c>
      <c r="G34" s="16">
        <f>IF(COUNT(F33:F34)=2,ABS(F34-F33),"")</f>
        <v/>
      </c>
      <c r="I34" s="18">
        <f>IF(D34="","",IF(OR(D34&gt;K34,D34&lt;L34),"OUT OF CONTROL",""))</f>
        <v/>
      </c>
      <c r="K34" s="30">
        <f>IF(B34="","",$B$5+3*E34*$B$7)</f>
        <v/>
      </c>
      <c r="L34" s="30">
        <f>IF(B34="","",MAX(0,$B$5-3*E34*$B$7))</f>
        <v/>
      </c>
      <c r="M34" s="30">
        <f>IF(B34="","",$B$5)</f>
        <v/>
      </c>
      <c r="T34" s="19" t="n">
        <v>21</v>
      </c>
      <c r="AD34" s="19">
        <f>IF($D34="",NA(),IF(OR($D34&gt;$K34,$D34&lt;$L34),$D34,NA()))</f>
        <v/>
      </c>
      <c r="AE34" s="19">
        <f>IF(COUNT($D27:$D34)&lt;8,NA(),IF(OR(MIN($D27:$D34)&gt;$B$5,MAX($D27:$D34)&lt;$B$5),$D34,NA()))</f>
        <v/>
      </c>
    </row>
    <row r="35">
      <c r="A35" t="inlineStr">
        <is>
          <t>Week 22</t>
        </is>
      </c>
      <c r="B35" s="28" t="n">
        <v>1285</v>
      </c>
      <c r="C35" s="28" t="n">
        <v>62</v>
      </c>
      <c r="D35" s="26">
        <f>IF(B35="","",C35/B35)</f>
        <v/>
      </c>
      <c r="E35" s="26">
        <f>IF(B35="","",SQRT($B$5/B35))</f>
        <v/>
      </c>
      <c r="F35" s="16">
        <f>IF(B35="","",(D35-$B$5)/E35)</f>
        <v/>
      </c>
      <c r="G35" s="16">
        <f>IF(COUNT(F34:F35)=2,ABS(F35-F34),"")</f>
        <v/>
      </c>
      <c r="I35" s="18">
        <f>IF(D35="","",IF(OR(D35&gt;K35,D35&lt;L35),"OUT OF CONTROL",""))</f>
        <v/>
      </c>
      <c r="K35" s="30">
        <f>IF(B35="","",$B$5+3*E35*$B$7)</f>
        <v/>
      </c>
      <c r="L35" s="30">
        <f>IF(B35="","",MAX(0,$B$5-3*E35*$B$7))</f>
        <v/>
      </c>
      <c r="M35" s="30">
        <f>IF(B35="","",$B$5)</f>
        <v/>
      </c>
      <c r="T35" s="19" t="n">
        <v>22</v>
      </c>
      <c r="AD35" s="19">
        <f>IF($D35="",NA(),IF(OR($D35&gt;$K35,$D35&lt;$L35),$D35,NA()))</f>
        <v/>
      </c>
      <c r="AE35" s="19">
        <f>IF(COUNT($D28:$D35)&lt;8,NA(),IF(OR(MIN($D28:$D35)&gt;$B$5,MAX($D28:$D35)&lt;$B$5),$D35,NA()))</f>
        <v/>
      </c>
    </row>
    <row r="36">
      <c r="A36" t="inlineStr">
        <is>
          <t>Week 23</t>
        </is>
      </c>
      <c r="B36" s="28" t="n">
        <v>1225</v>
      </c>
      <c r="C36" s="28" t="n">
        <v>42</v>
      </c>
      <c r="D36" s="26">
        <f>IF(B36="","",C36/B36)</f>
        <v/>
      </c>
      <c r="E36" s="26">
        <f>IF(B36="","",SQRT($B$5/B36))</f>
        <v/>
      </c>
      <c r="F36" s="16">
        <f>IF(B36="","",(D36-$B$5)/E36)</f>
        <v/>
      </c>
      <c r="G36" s="16">
        <f>IF(COUNT(F35:F36)=2,ABS(F36-F35),"")</f>
        <v/>
      </c>
      <c r="I36" s="18">
        <f>IF(D36="","",IF(OR(D36&gt;K36,D36&lt;L36),"OUT OF CONTROL",""))</f>
        <v/>
      </c>
      <c r="K36" s="30">
        <f>IF(B36="","",$B$5+3*E36*$B$7)</f>
        <v/>
      </c>
      <c r="L36" s="30">
        <f>IF(B36="","",MAX(0,$B$5-3*E36*$B$7))</f>
        <v/>
      </c>
      <c r="M36" s="30">
        <f>IF(B36="","",$B$5)</f>
        <v/>
      </c>
      <c r="T36" s="19" t="n">
        <v>23</v>
      </c>
      <c r="AD36" s="19">
        <f>IF($D36="",NA(),IF(OR($D36&gt;$K36,$D36&lt;$L36),$D36,NA()))</f>
        <v/>
      </c>
      <c r="AE36" s="19">
        <f>IF(COUNT($D29:$D36)&lt;8,NA(),IF(OR(MIN($D29:$D36)&gt;$B$5,MAX($D29:$D36)&lt;$B$5),$D36,NA()))</f>
        <v/>
      </c>
    </row>
    <row r="37">
      <c r="A37" t="inlineStr">
        <is>
          <t>Week 24</t>
        </is>
      </c>
      <c r="B37" s="28" t="n">
        <v>1390</v>
      </c>
      <c r="C37" s="28" t="n">
        <v>76</v>
      </c>
      <c r="D37" s="26">
        <f>IF(B37="","",C37/B37)</f>
        <v/>
      </c>
      <c r="E37" s="26">
        <f>IF(B37="","",SQRT($B$5/B37))</f>
        <v/>
      </c>
      <c r="F37" s="16">
        <f>IF(B37="","",(D37-$B$5)/E37)</f>
        <v/>
      </c>
      <c r="G37" s="16">
        <f>IF(COUNT(F36:F37)=2,ABS(F37-F36),"")</f>
        <v/>
      </c>
      <c r="I37" s="18">
        <f>IF(D37="","",IF(OR(D37&gt;K37,D37&lt;L37),"OUT OF CONTROL",""))</f>
        <v/>
      </c>
      <c r="K37" s="30">
        <f>IF(B37="","",$B$5+3*E37*$B$7)</f>
        <v/>
      </c>
      <c r="L37" s="30">
        <f>IF(B37="","",MAX(0,$B$5-3*E37*$B$7))</f>
        <v/>
      </c>
      <c r="M37" s="30">
        <f>IF(B37="","",$B$5)</f>
        <v/>
      </c>
      <c r="T37" s="19" t="n">
        <v>24</v>
      </c>
      <c r="AD37" s="19">
        <f>IF($D37="",NA(),IF(OR($D37&gt;$K37,$D37&lt;$L37),$D37,NA()))</f>
        <v/>
      </c>
      <c r="AE37" s="19">
        <f>IF(COUNT($D30:$D37)&lt;8,NA(),IF(OR(MIN($D30:$D37)&gt;$B$5,MAX($D30:$D37)&lt;$B$5),$D37,NA()))</f>
        <v/>
      </c>
    </row>
  </sheetData>
  <mergeCells count="9">
    <mergeCell ref="A2:I2"/>
    <mergeCell ref="C3:I3"/>
    <mergeCell ref="C8:I8"/>
    <mergeCell ref="A1:I1"/>
    <mergeCell ref="C6:I6"/>
    <mergeCell ref="C7:I7"/>
    <mergeCell ref="A12:I12"/>
    <mergeCell ref="A4:I4"/>
    <mergeCell ref="C5:I5"/>
  </mergeCells>
  <printOptions horizontalCentered="1"/>
  <pageMargins left="0.4" right="0.4" top="0.5" bottom="0.5"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F37"/>
  <sheetViews>
    <sheetView showGridLines="0" workbookViewId="0">
      <pane ySplit="13" topLeftCell="A14" activePane="bottomLeft" state="frozen"/>
      <selection pane="bottomLeft" activeCell="A1" sqref="A1"/>
    </sheetView>
  </sheetViews>
  <sheetFormatPr baseColWidth="8" defaultRowHeight="15"/>
  <cols>
    <col width="32" customWidth="1" min="1" max="1"/>
    <col width="9" customWidth="1" min="2" max="2"/>
    <col width="9" customWidth="1" min="3" max="3"/>
    <col width="9" customWidth="1" min="4" max="4"/>
    <col width="9" customWidth="1" min="5" max="5"/>
    <col width="9" customWidth="1" min="6" max="6"/>
    <col width="11" customWidth="1" min="7" max="7"/>
    <col width="10" customWidth="1" min="8" max="8"/>
    <col width="11" customWidth="1" min="9" max="9"/>
    <col width="11" customWidth="1" min="10" max="10"/>
    <col width="11" customWidth="1" min="11" max="11"/>
    <col width="22" customWidth="1" min="12" max="12"/>
    <col width="3" customWidth="1" min="20" max="20"/>
    <col width="4" customWidth="1" min="30" max="30"/>
    <col width="4" customWidth="1" min="31" max="31"/>
    <col width="4" customWidth="1" min="32" max="32"/>
  </cols>
  <sheetData>
    <row r="1" ht="26" customHeight="1">
      <c r="A1" s="3" t="inlineStr">
        <is>
          <t>Xbar-R chart — subgroups of a continuous metric</t>
        </is>
      </c>
      <c r="B1" s="4" t="n"/>
      <c r="C1" s="4" t="n"/>
      <c r="D1" s="4" t="n"/>
      <c r="E1" s="4" t="n"/>
      <c r="F1" s="4" t="n"/>
      <c r="G1" s="4" t="n"/>
      <c r="H1" s="4" t="n"/>
      <c r="I1" s="4" t="n"/>
      <c r="J1" s="4" t="n"/>
      <c r="K1" s="4" t="n"/>
      <c r="L1" s="4" t="n"/>
    </row>
    <row r="2">
      <c r="A2" s="5" t="inlineStr">
        <is>
          <t>Five sampled handle times per day, five audited tickets per analyst. Getting the subgrouping right is the hard part: everything inside a subgroup must share the same conditions.</t>
        </is>
      </c>
    </row>
    <row r="3">
      <c r="A3" s="12" t="inlineStr">
        <is>
          <t>Limits frozen from the first</t>
        </is>
      </c>
      <c r="B3" s="13" t="n">
        <v>20</v>
      </c>
      <c r="C3" s="5" t="inlineStr">
        <is>
          <t>points — the baseline window. Re-baseline when you have deliberately changed the process, never because the chart is signalling.</t>
        </is>
      </c>
    </row>
    <row r="4">
      <c r="A4" s="9" t="inlineStr">
        <is>
          <t>The maths, calculated from your data — nothing here is hard-coded</t>
        </is>
      </c>
      <c r="B4" s="10" t="n"/>
      <c r="C4" s="10" t="n"/>
      <c r="D4" s="10" t="n"/>
      <c r="E4" s="10" t="n"/>
      <c r="F4" s="10" t="n"/>
      <c r="G4" s="10" t="n"/>
      <c r="H4" s="10" t="n"/>
      <c r="I4" s="10" t="n"/>
      <c r="J4" s="10" t="n"/>
      <c r="K4" s="10" t="n"/>
      <c r="L4" s="10" t="n"/>
    </row>
    <row r="5" ht="15" customHeight="1">
      <c r="A5" s="12" t="inlineStr">
        <is>
          <t>Subgroup size (n)</t>
        </is>
      </c>
      <c r="B5" s="14">
        <f>COUNT(B14:F14)</f>
        <v/>
      </c>
      <c r="C5" s="15" t="inlineStr">
        <is>
          <t>Change how many observation columns you fill and this follows.</t>
        </is>
      </c>
    </row>
    <row r="6" ht="15" customHeight="1">
      <c r="A6" s="12" t="inlineStr">
        <is>
          <t>Grand average (X-double-bar)</t>
        </is>
      </c>
      <c r="B6" s="16">
        <f>SUMIF($T$14:$T$37,"&lt;="&amp;$B$3,$G$14:$G$37)/$B$3</f>
        <v/>
      </c>
      <c r="C6" s="15" t="inlineStr">
        <is>
          <t>Average of the subgroup averages over the BASELINE window.</t>
        </is>
      </c>
    </row>
    <row r="7" ht="15" customHeight="1">
      <c r="A7" s="12" t="inlineStr">
        <is>
          <t>Average range (R-bar)</t>
        </is>
      </c>
      <c r="B7" s="16">
        <f>SUMIF($T$14:$T$37,"&lt;="&amp;$B$3,$H$14:$H$37)/$B$3</f>
        <v/>
      </c>
      <c r="C7" s="15" t="inlineStr">
        <is>
          <t>Average within-subgroup spread over the baseline window.</t>
        </is>
      </c>
    </row>
    <row r="8" ht="15" customHeight="1">
      <c r="A8" s="12" t="inlineStr">
        <is>
          <t>A2 for this n</t>
        </is>
      </c>
      <c r="B8" s="22">
        <f>IFERROR(LOOKUP(B5,{2;3;4;5;6;7;8;9;10},{1.880;1.023;0.729;0.577;0.483;0.419;0.373;0.337;0.308}),"n out of range")</f>
        <v/>
      </c>
      <c r="C8" s="15" t="inlineStr">
        <is>
          <t>Standard constant. Above n=8 most people switch to Xbar-S.</t>
        </is>
      </c>
    </row>
    <row r="9">
      <c r="A9" s="12" t="inlineStr">
        <is>
          <t>D4 for this n</t>
        </is>
      </c>
      <c r="B9" s="22">
        <f>IFERROR(LOOKUP(B5,{2;3;4;5;6;7;8;9;10},{3.267;2.574;2.282;2.114;2.004;1.924;1.864;1.816;1.777}),"n out of range")</f>
        <v/>
      </c>
    </row>
    <row r="10" ht="15" customHeight="1">
      <c r="A10" s="12" t="inlineStr">
        <is>
          <t>D3 for this n</t>
        </is>
      </c>
      <c r="B10" s="22">
        <f>IFERROR(LOOKUP(B5,{2;3;4;5;6;7;8;9;10},{0;0;0;0;0;0.076;0.136;0.184;0.223}),"n out of range")</f>
        <v/>
      </c>
      <c r="C10" s="15" t="inlineStr">
        <is>
          <t>Zero below n=7 — a range cannot be meaningfully small.</t>
        </is>
      </c>
    </row>
    <row r="11" ht="15" customHeight="1">
      <c r="A11" s="12" t="inlineStr">
        <is>
          <t>Xbar UCL / LCL</t>
        </is>
      </c>
      <c r="B11" s="23">
        <f>TEXT(B6+B8*B7,"#,##0.00")&amp;"  /  "&amp;TEXT(B6-B8*B7,"#,##0.00")</f>
        <v/>
      </c>
      <c r="C11" s="15" t="inlineStr">
        <is>
          <t>Grand average plus or minus A2 x R-bar.</t>
        </is>
      </c>
    </row>
    <row r="12">
      <c r="A12" s="9" t="inlineStr">
        <is>
          <t>Your data — five observations per subgroup</t>
        </is>
      </c>
      <c r="B12" s="10" t="n"/>
      <c r="C12" s="10" t="n"/>
      <c r="D12" s="10" t="n"/>
      <c r="E12" s="10" t="n"/>
      <c r="F12" s="10" t="n"/>
      <c r="G12" s="10" t="n"/>
      <c r="H12" s="10" t="n"/>
      <c r="I12" s="10" t="n"/>
      <c r="J12" s="10" t="n"/>
      <c r="K12" s="10" t="n"/>
      <c r="L12" s="10" t="n"/>
    </row>
    <row r="13" ht="30" customHeight="1">
      <c r="A13" s="6" t="inlineStr">
        <is>
          <t>Subgroup</t>
        </is>
      </c>
      <c r="B13" s="6" t="inlineStr">
        <is>
          <t>Obs 1</t>
        </is>
      </c>
      <c r="C13" s="6" t="inlineStr">
        <is>
          <t>Obs 2</t>
        </is>
      </c>
      <c r="D13" s="6" t="inlineStr">
        <is>
          <t>Obs 3</t>
        </is>
      </c>
      <c r="E13" s="6" t="inlineStr">
        <is>
          <t>Obs 4</t>
        </is>
      </c>
      <c r="F13" s="6" t="inlineStr">
        <is>
          <t>Obs 5</t>
        </is>
      </c>
      <c r="G13" s="6" t="inlineStr">
        <is>
          <t>Average</t>
        </is>
      </c>
      <c r="H13" s="6" t="inlineStr">
        <is>
          <t>Range</t>
        </is>
      </c>
      <c r="I13" s="6" t="inlineStr">
        <is>
          <t>Xbar CL</t>
        </is>
      </c>
      <c r="J13" s="6" t="inlineStr">
        <is>
          <t>Xbar UCL</t>
        </is>
      </c>
      <c r="K13" s="6" t="inlineStr">
        <is>
          <t>Xbar LCL</t>
        </is>
      </c>
      <c r="L13" s="6" t="inlineStr">
        <is>
          <t>Signal</t>
        </is>
      </c>
      <c r="T13" s="5" t="inlineStr">
        <is>
          <t>pt</t>
        </is>
      </c>
      <c r="AD13" s="5" t="inlineStr">
        <is>
          <t>out of control</t>
        </is>
      </c>
      <c r="AE13" s="5" t="inlineStr">
        <is>
          <t>8 in a row one side</t>
        </is>
      </c>
      <c r="AF13" s="5" t="inlineStr">
        <is>
          <t>R out of control</t>
        </is>
      </c>
    </row>
    <row r="14">
      <c r="A14" t="inlineStr">
        <is>
          <t>Day 1</t>
        </is>
      </c>
      <c r="B14" s="25" t="n">
        <v>400</v>
      </c>
      <c r="C14" s="25" t="n">
        <v>419</v>
      </c>
      <c r="D14" s="25" t="n">
        <v>381</v>
      </c>
      <c r="E14" s="25" t="n">
        <v>400</v>
      </c>
      <c r="F14" s="25" t="n">
        <v>419</v>
      </c>
      <c r="G14" s="16">
        <f>IF(COUNT(B14:F14)=0,"",AVERAGE(B14:F14))</f>
        <v/>
      </c>
      <c r="H14" s="16">
        <f>IF(COUNT(B14:F14)=0,"",MAX(B14:F14)-MIN(B14:F14))</f>
        <v/>
      </c>
      <c r="I14" s="16">
        <f>IF(G14="","",$B$6)</f>
        <v/>
      </c>
      <c r="J14" s="16">
        <f>IF(G14="","",$B$6+$B$8*$B$7)</f>
        <v/>
      </c>
      <c r="K14" s="16">
        <f>IF(G14="","",$B$6-$B$8*$B$7)</f>
        <v/>
      </c>
      <c r="L14" s="18">
        <f>IF(G14="","",IF(OR(G14&gt;J14,G14&lt;K14),"OUT OF CONTROL",""))</f>
        <v/>
      </c>
      <c r="N14" s="31">
        <f>IF(H14="","",$B$7)</f>
        <v/>
      </c>
      <c r="O14" s="31">
        <f>IF(H14="","",$B$9*$B$7)</f>
        <v/>
      </c>
      <c r="P14" s="31">
        <f>IF(H14="","",$B$10*$B$7)</f>
        <v/>
      </c>
      <c r="T14" s="19" t="n">
        <v>1</v>
      </c>
      <c r="AD14" s="19">
        <f>IF($G14="",NA(),IF(OR($G14&gt;$J14,$G14&lt;$K14),$G14,NA()))</f>
        <v/>
      </c>
      <c r="AE14" s="19">
        <f>NA()</f>
        <v/>
      </c>
      <c r="AF14" s="19">
        <f>IF($H14="",NA(),IF($H14&gt;$O14,$H14,NA()))</f>
        <v/>
      </c>
    </row>
    <row r="15">
      <c r="A15" t="inlineStr">
        <is>
          <t>Day 2</t>
        </is>
      </c>
      <c r="B15" s="28" t="n">
        <v>430</v>
      </c>
      <c r="C15" s="28" t="n">
        <v>395</v>
      </c>
      <c r="D15" s="28" t="n">
        <v>400</v>
      </c>
      <c r="E15" s="28" t="n">
        <v>430</v>
      </c>
      <c r="F15" s="28" t="n">
        <v>395</v>
      </c>
      <c r="G15" s="16">
        <f>IF(COUNT(B15:F15)=0,"",AVERAGE(B15:F15))</f>
        <v/>
      </c>
      <c r="H15" s="16">
        <f>IF(COUNT(B15:F15)=0,"",MAX(B15:F15)-MIN(B15:F15))</f>
        <v/>
      </c>
      <c r="I15" s="16">
        <f>IF(G15="","",$B$6)</f>
        <v/>
      </c>
      <c r="J15" s="16">
        <f>IF(G15="","",$B$6+$B$8*$B$7)</f>
        <v/>
      </c>
      <c r="K15" s="16">
        <f>IF(G15="","",$B$6-$B$8*$B$7)</f>
        <v/>
      </c>
      <c r="L15" s="18">
        <f>IF(G15="","",IF(OR(G15&gt;J15,G15&lt;K15),"OUT OF CONTROL",""))</f>
        <v/>
      </c>
      <c r="N15" s="31">
        <f>IF(H15="","",$B$7)</f>
        <v/>
      </c>
      <c r="O15" s="31">
        <f>IF(H15="","",$B$9*$B$7)</f>
        <v/>
      </c>
      <c r="P15" s="31">
        <f>IF(H15="","",$B$10*$B$7)</f>
        <v/>
      </c>
      <c r="T15" s="19" t="n">
        <v>2</v>
      </c>
      <c r="AD15" s="19">
        <f>IF($G15="",NA(),IF(OR($G15&gt;$J15,$G15&lt;$K15),$G15,NA()))</f>
        <v/>
      </c>
      <c r="AE15" s="19">
        <f>NA()</f>
        <v/>
      </c>
      <c r="AF15" s="19">
        <f>IF($H15="",NA(),IF($H15&gt;$O15,$H15,NA()))</f>
        <v/>
      </c>
    </row>
    <row r="16">
      <c r="A16" t="inlineStr">
        <is>
          <t>Day 3</t>
        </is>
      </c>
      <c r="B16" s="28" t="n">
        <v>411</v>
      </c>
      <c r="C16" s="28" t="n">
        <v>401</v>
      </c>
      <c r="D16" s="28" t="n">
        <v>438</v>
      </c>
      <c r="E16" s="28" t="n">
        <v>410</v>
      </c>
      <c r="F16" s="28" t="n">
        <v>401</v>
      </c>
      <c r="G16" s="16">
        <f>IF(COUNT(B16:F16)=0,"",AVERAGE(B16:F16))</f>
        <v/>
      </c>
      <c r="H16" s="16">
        <f>IF(COUNT(B16:F16)=0,"",MAX(B16:F16)-MIN(B16:F16))</f>
        <v/>
      </c>
      <c r="I16" s="16">
        <f>IF(G16="","",$B$6)</f>
        <v/>
      </c>
      <c r="J16" s="16">
        <f>IF(G16="","",$B$6+$B$8*$B$7)</f>
        <v/>
      </c>
      <c r="K16" s="16">
        <f>IF(G16="","",$B$6-$B$8*$B$7)</f>
        <v/>
      </c>
      <c r="L16" s="18">
        <f>IF(G16="","",IF(OR(G16&gt;J16,G16&lt;K16),"OUT OF CONTROL",""))</f>
        <v/>
      </c>
      <c r="N16" s="31">
        <f>IF(H16="","",$B$7)</f>
        <v/>
      </c>
      <c r="O16" s="31">
        <f>IF(H16="","",$B$9*$B$7)</f>
        <v/>
      </c>
      <c r="P16" s="31">
        <f>IF(H16="","",$B$10*$B$7)</f>
        <v/>
      </c>
      <c r="T16" s="19" t="n">
        <v>3</v>
      </c>
      <c r="AD16" s="19">
        <f>IF($G16="",NA(),IF(OR($G16&gt;$J16,$G16&lt;$K16),$G16,NA()))</f>
        <v/>
      </c>
      <c r="AE16" s="19">
        <f>NA()</f>
        <v/>
      </c>
      <c r="AF16" s="19">
        <f>IF($H16="",NA(),IF($H16&gt;$O16,$H16,NA()))</f>
        <v/>
      </c>
    </row>
    <row r="17">
      <c r="A17" t="inlineStr">
        <is>
          <t>Day 4</t>
        </is>
      </c>
      <c r="B17" s="28" t="n">
        <v>402</v>
      </c>
      <c r="C17" s="28" t="n">
        <v>440</v>
      </c>
      <c r="D17" s="28" t="n">
        <v>425</v>
      </c>
      <c r="E17" s="28" t="n">
        <v>402</v>
      </c>
      <c r="F17" s="28" t="n">
        <v>440</v>
      </c>
      <c r="G17" s="16">
        <f>IF(COUNT(B17:F17)=0,"",AVERAGE(B17:F17))</f>
        <v/>
      </c>
      <c r="H17" s="16">
        <f>IF(COUNT(B17:F17)=0,"",MAX(B17:F17)-MIN(B17:F17))</f>
        <v/>
      </c>
      <c r="I17" s="16">
        <f>IF(G17="","",$B$6)</f>
        <v/>
      </c>
      <c r="J17" s="16">
        <f>IF(G17="","",$B$6+$B$8*$B$7)</f>
        <v/>
      </c>
      <c r="K17" s="16">
        <f>IF(G17="","",$B$6-$B$8*$B$7)</f>
        <v/>
      </c>
      <c r="L17" s="18">
        <f>IF(G17="","",IF(OR(G17&gt;J17,G17&lt;K17),"OUT OF CONTROL",""))</f>
        <v/>
      </c>
      <c r="N17" s="31">
        <f>IF(H17="","",$B$7)</f>
        <v/>
      </c>
      <c r="O17" s="31">
        <f>IF(H17="","",$B$9*$B$7)</f>
        <v/>
      </c>
      <c r="P17" s="31">
        <f>IF(H17="","",$B$10*$B$7)</f>
        <v/>
      </c>
      <c r="T17" s="19" t="n">
        <v>4</v>
      </c>
      <c r="AD17" s="19">
        <f>IF($G17="",NA(),IF(OR($G17&gt;$J17,$G17&lt;$K17),$G17,NA()))</f>
        <v/>
      </c>
      <c r="AE17" s="19">
        <f>NA()</f>
        <v/>
      </c>
      <c r="AF17" s="19">
        <f>IF($H17="",NA(),IF($H17&gt;$O17,$H17,NA()))</f>
        <v/>
      </c>
    </row>
    <row r="18">
      <c r="A18" t="inlineStr">
        <is>
          <t>Day 5</t>
        </is>
      </c>
      <c r="B18" s="28" t="n">
        <v>437</v>
      </c>
      <c r="C18" s="28" t="n">
        <v>437</v>
      </c>
      <c r="D18" s="28" t="n">
        <v>404</v>
      </c>
      <c r="E18" s="28" t="n">
        <v>437</v>
      </c>
      <c r="F18" s="28" t="n">
        <v>437</v>
      </c>
      <c r="G18" s="16">
        <f>IF(COUNT(B18:F18)=0,"",AVERAGE(B18:F18))</f>
        <v/>
      </c>
      <c r="H18" s="16">
        <f>IF(COUNT(B18:F18)=0,"",MAX(B18:F18)-MIN(B18:F18))</f>
        <v/>
      </c>
      <c r="I18" s="16">
        <f>IF(G18="","",$B$6)</f>
        <v/>
      </c>
      <c r="J18" s="16">
        <f>IF(G18="","",$B$6+$B$8*$B$7)</f>
        <v/>
      </c>
      <c r="K18" s="16">
        <f>IF(G18="","",$B$6-$B$8*$B$7)</f>
        <v/>
      </c>
      <c r="L18" s="18">
        <f>IF(G18="","",IF(OR(G18&gt;J18,G18&lt;K18),"OUT OF CONTROL",""))</f>
        <v/>
      </c>
      <c r="N18" s="31">
        <f>IF(H18="","",$B$7)</f>
        <v/>
      </c>
      <c r="O18" s="31">
        <f>IF(H18="","",$B$9*$B$7)</f>
        <v/>
      </c>
      <c r="P18" s="31">
        <f>IF(H18="","",$B$10*$B$7)</f>
        <v/>
      </c>
      <c r="T18" s="19" t="n">
        <v>5</v>
      </c>
      <c r="AD18" s="19">
        <f>IF($G18="",NA(),IF(OR($G18&gt;$J18,$G18&lt;$K18),$G18,NA()))</f>
        <v/>
      </c>
      <c r="AE18" s="19">
        <f>NA()</f>
        <v/>
      </c>
      <c r="AF18" s="19">
        <f>IF($H18="",NA(),IF($H18&gt;$O18,$H18,NA()))</f>
        <v/>
      </c>
    </row>
    <row r="19">
      <c r="A19" t="inlineStr">
        <is>
          <t>Day 6</t>
        </is>
      </c>
      <c r="B19" s="28" t="n">
        <v>430</v>
      </c>
      <c r="C19" s="28" t="n">
        <v>392</v>
      </c>
      <c r="D19" s="28" t="n">
        <v>415</v>
      </c>
      <c r="E19" s="28" t="n">
        <v>430</v>
      </c>
      <c r="F19" s="28" t="n">
        <v>392</v>
      </c>
      <c r="G19" s="16">
        <f>IF(COUNT(B19:F19)=0,"",AVERAGE(B19:F19))</f>
        <v/>
      </c>
      <c r="H19" s="16">
        <f>IF(COUNT(B19:F19)=0,"",MAX(B19:F19)-MIN(B19:F19))</f>
        <v/>
      </c>
      <c r="I19" s="16">
        <f>IF(G19="","",$B$6)</f>
        <v/>
      </c>
      <c r="J19" s="16">
        <f>IF(G19="","",$B$6+$B$8*$B$7)</f>
        <v/>
      </c>
      <c r="K19" s="16">
        <f>IF(G19="","",$B$6-$B$8*$B$7)</f>
        <v/>
      </c>
      <c r="L19" s="18">
        <f>IF(G19="","",IF(OR(G19&gt;J19,G19&lt;K19),"OUT OF CONTROL",""))</f>
        <v/>
      </c>
      <c r="N19" s="31">
        <f>IF(H19="","",$B$7)</f>
        <v/>
      </c>
      <c r="O19" s="31">
        <f>IF(H19="","",$B$9*$B$7)</f>
        <v/>
      </c>
      <c r="P19" s="31">
        <f>IF(H19="","",$B$10*$B$7)</f>
        <v/>
      </c>
      <c r="T19" s="19" t="n">
        <v>6</v>
      </c>
      <c r="AD19" s="19">
        <f>IF($G19="",NA(),IF(OR($G19&gt;$J19,$G19&lt;$K19),$G19,NA()))</f>
        <v/>
      </c>
      <c r="AE19" s="19">
        <f>NA()</f>
        <v/>
      </c>
      <c r="AF19" s="19">
        <f>IF($H19="",NA(),IF($H19&gt;$O19,$H19,NA()))</f>
        <v/>
      </c>
    </row>
    <row r="20">
      <c r="A20" t="inlineStr">
        <is>
          <t>Day 7</t>
        </is>
      </c>
      <c r="B20" s="28" t="n">
        <v>396</v>
      </c>
      <c r="C20" s="28" t="n">
        <v>406</v>
      </c>
      <c r="D20" s="28" t="n">
        <v>433</v>
      </c>
      <c r="E20" s="28" t="n">
        <v>396</v>
      </c>
      <c r="F20" s="28" t="n">
        <v>406</v>
      </c>
      <c r="G20" s="16">
        <f>IF(COUNT(B20:F20)=0,"",AVERAGE(B20:F20))</f>
        <v/>
      </c>
      <c r="H20" s="16">
        <f>IF(COUNT(B20:F20)=0,"",MAX(B20:F20)-MIN(B20:F20))</f>
        <v/>
      </c>
      <c r="I20" s="16">
        <f>IF(G20="","",$B$6)</f>
        <v/>
      </c>
      <c r="J20" s="16">
        <f>IF(G20="","",$B$6+$B$8*$B$7)</f>
        <v/>
      </c>
      <c r="K20" s="16">
        <f>IF(G20="","",$B$6-$B$8*$B$7)</f>
        <v/>
      </c>
      <c r="L20" s="18">
        <f>IF(G20="","",IF(OR(G20&gt;J20,G20&lt;K20),"OUT OF CONTROL",""))</f>
        <v/>
      </c>
      <c r="N20" s="31">
        <f>IF(H20="","",$B$7)</f>
        <v/>
      </c>
      <c r="O20" s="31">
        <f>IF(H20="","",$B$9*$B$7)</f>
        <v/>
      </c>
      <c r="P20" s="31">
        <f>IF(H20="","",$B$10*$B$7)</f>
        <v/>
      </c>
      <c r="T20" s="19" t="n">
        <v>7</v>
      </c>
      <c r="AD20" s="19">
        <f>IF($G20="",NA(),IF(OR($G20&gt;$J20,$G20&lt;$K20),$G20,NA()))</f>
        <v/>
      </c>
      <c r="AE20" s="19">
        <f>NA()</f>
        <v/>
      </c>
      <c r="AF20" s="19">
        <f>IF($H20="",NA(),IF($H20&gt;$O20,$H20,NA()))</f>
        <v/>
      </c>
    </row>
    <row r="21">
      <c r="A21" t="inlineStr">
        <is>
          <t>Day 8</t>
        </is>
      </c>
      <c r="B21" s="28" t="n">
        <v>396</v>
      </c>
      <c r="C21" s="28" t="n">
        <v>431</v>
      </c>
      <c r="D21" s="28" t="n">
        <v>401</v>
      </c>
      <c r="E21" s="28" t="n">
        <v>396</v>
      </c>
      <c r="F21" s="28" t="n">
        <v>431</v>
      </c>
      <c r="G21" s="16">
        <f>IF(COUNT(B21:F21)=0,"",AVERAGE(B21:F21))</f>
        <v/>
      </c>
      <c r="H21" s="16">
        <f>IF(COUNT(B21:F21)=0,"",MAX(B21:F21)-MIN(B21:F21))</f>
        <v/>
      </c>
      <c r="I21" s="16">
        <f>IF(G21="","",$B$6)</f>
        <v/>
      </c>
      <c r="J21" s="16">
        <f>IF(G21="","",$B$6+$B$8*$B$7)</f>
        <v/>
      </c>
      <c r="K21" s="16">
        <f>IF(G21="","",$B$6-$B$8*$B$7)</f>
        <v/>
      </c>
      <c r="L21" s="18">
        <f>IF(G21="","",IF(OR(G21&gt;J21,G21&lt;K21),"OUT OF CONTROL",""))</f>
        <v/>
      </c>
      <c r="N21" s="31">
        <f>IF(H21="","",$B$7)</f>
        <v/>
      </c>
      <c r="O21" s="31">
        <f>IF(H21="","",$B$9*$B$7)</f>
        <v/>
      </c>
      <c r="P21" s="31">
        <f>IF(H21="","",$B$10*$B$7)</f>
        <v/>
      </c>
      <c r="T21" s="19" t="n">
        <v>8</v>
      </c>
      <c r="AD21" s="19">
        <f>IF($G21="",NA(),IF(OR($G21&gt;$J21,$G21&lt;$K21),$G21,NA()))</f>
        <v/>
      </c>
      <c r="AE21" s="19">
        <f>IF(COUNT($G14:$G21)&lt;8,NA(),IF(OR(MIN($G14:$G21)&gt;$B$6,MAX($G14:$G21)&lt;$B$6),$G21,NA()))</f>
        <v/>
      </c>
      <c r="AF21" s="19">
        <f>IF($H21="",NA(),IF($H21&gt;$O21,$H21,NA()))</f>
        <v/>
      </c>
    </row>
    <row r="22">
      <c r="A22" t="inlineStr">
        <is>
          <t>Day 9</t>
        </is>
      </c>
      <c r="B22" s="28" t="n">
        <v>425</v>
      </c>
      <c r="C22" s="28" t="n">
        <v>407</v>
      </c>
      <c r="D22" s="28" t="n">
        <v>387</v>
      </c>
      <c r="E22" s="28" t="n">
        <v>425</v>
      </c>
      <c r="F22" s="28" t="n">
        <v>406</v>
      </c>
      <c r="G22" s="16">
        <f>IF(COUNT(B22:F22)=0,"",AVERAGE(B22:F22))</f>
        <v/>
      </c>
      <c r="H22" s="16">
        <f>IF(COUNT(B22:F22)=0,"",MAX(B22:F22)-MIN(B22:F22))</f>
        <v/>
      </c>
      <c r="I22" s="16">
        <f>IF(G22="","",$B$6)</f>
        <v/>
      </c>
      <c r="J22" s="16">
        <f>IF(G22="","",$B$6+$B$8*$B$7)</f>
        <v/>
      </c>
      <c r="K22" s="16">
        <f>IF(G22="","",$B$6-$B$8*$B$7)</f>
        <v/>
      </c>
      <c r="L22" s="18">
        <f>IF(G22="","",IF(OR(G22&gt;J22,G22&lt;K22),"OUT OF CONTROL",""))</f>
        <v/>
      </c>
      <c r="N22" s="31">
        <f>IF(H22="","",$B$7)</f>
        <v/>
      </c>
      <c r="O22" s="31">
        <f>IF(H22="","",$B$9*$B$7)</f>
        <v/>
      </c>
      <c r="P22" s="31">
        <f>IF(H22="","",$B$10*$B$7)</f>
        <v/>
      </c>
      <c r="T22" s="19" t="n">
        <v>9</v>
      </c>
      <c r="AD22" s="19">
        <f>IF($G22="",NA(),IF(OR($G22&gt;$J22,$G22&lt;$K22),$G22,NA()))</f>
        <v/>
      </c>
      <c r="AE22" s="19">
        <f>IF(COUNT($G15:$G22)&lt;8,NA(),IF(OR(MIN($G15:$G22)&gt;$B$6,MAX($G15:$G22)&lt;$B$6),$G22,NA()))</f>
        <v/>
      </c>
      <c r="AF22" s="19">
        <f>IF($H22="",NA(),IF($H22&gt;$O22,$H22,NA()))</f>
        <v/>
      </c>
    </row>
    <row r="23">
      <c r="A23" t="inlineStr">
        <is>
          <t>Day 10</t>
        </is>
      </c>
      <c r="B23" s="28" t="n">
        <v>413</v>
      </c>
      <c r="C23" s="28" t="n">
        <v>382</v>
      </c>
      <c r="D23" s="28" t="n">
        <v>417</v>
      </c>
      <c r="E23" s="28" t="n">
        <v>412</v>
      </c>
      <c r="F23" s="28" t="n">
        <v>382</v>
      </c>
      <c r="G23" s="16">
        <f>IF(COUNT(B23:F23)=0,"",AVERAGE(B23:F23))</f>
        <v/>
      </c>
      <c r="H23" s="16">
        <f>IF(COUNT(B23:F23)=0,"",MAX(B23:F23)-MIN(B23:F23))</f>
        <v/>
      </c>
      <c r="I23" s="16">
        <f>IF(G23="","",$B$6)</f>
        <v/>
      </c>
      <c r="J23" s="16">
        <f>IF(G23="","",$B$6+$B$8*$B$7)</f>
        <v/>
      </c>
      <c r="K23" s="16">
        <f>IF(G23="","",$B$6-$B$8*$B$7)</f>
        <v/>
      </c>
      <c r="L23" s="18">
        <f>IF(G23="","",IF(OR(G23&gt;J23,G23&lt;K23),"OUT OF CONTROL",""))</f>
        <v/>
      </c>
      <c r="N23" s="31">
        <f>IF(H23="","",$B$7)</f>
        <v/>
      </c>
      <c r="O23" s="31">
        <f>IF(H23="","",$B$9*$B$7)</f>
        <v/>
      </c>
      <c r="P23" s="31">
        <f>IF(H23="","",$B$10*$B$7)</f>
        <v/>
      </c>
      <c r="T23" s="19" t="n">
        <v>10</v>
      </c>
      <c r="AD23" s="19">
        <f>IF($G23="",NA(),IF(OR($G23&gt;$J23,$G23&lt;$K23),$G23,NA()))</f>
        <v/>
      </c>
      <c r="AE23" s="19">
        <f>IF(COUNT($G16:$G23)&lt;8,NA(),IF(OR(MIN($G16:$G23)&gt;$B$6,MAX($G16:$G23)&lt;$B$6),$G23,NA()))</f>
        <v/>
      </c>
      <c r="AF23" s="19">
        <f>IF($H23="",NA(),IF($H23&gt;$O23,$H23,NA()))</f>
        <v/>
      </c>
    </row>
    <row r="24">
      <c r="A24" t="inlineStr">
        <is>
          <t>Day 11</t>
        </is>
      </c>
      <c r="B24" s="28" t="n">
        <v>367</v>
      </c>
      <c r="C24" s="28" t="n">
        <v>393</v>
      </c>
      <c r="D24" s="28" t="n">
        <v>404</v>
      </c>
      <c r="E24" s="28" t="n">
        <v>367</v>
      </c>
      <c r="F24" s="28" t="n">
        <v>394</v>
      </c>
      <c r="G24" s="16">
        <f>IF(COUNT(B24:F24)=0,"",AVERAGE(B24:F24))</f>
        <v/>
      </c>
      <c r="H24" s="16">
        <f>IF(COUNT(B24:F24)=0,"",MAX(B24:F24)-MIN(B24:F24))</f>
        <v/>
      </c>
      <c r="I24" s="16">
        <f>IF(G24="","",$B$6)</f>
        <v/>
      </c>
      <c r="J24" s="16">
        <f>IF(G24="","",$B$6+$B$8*$B$7)</f>
        <v/>
      </c>
      <c r="K24" s="16">
        <f>IF(G24="","",$B$6-$B$8*$B$7)</f>
        <v/>
      </c>
      <c r="L24" s="18">
        <f>IF(G24="","",IF(OR(G24&gt;J24,G24&lt;K24),"OUT OF CONTROL",""))</f>
        <v/>
      </c>
      <c r="N24" s="31">
        <f>IF(H24="","",$B$7)</f>
        <v/>
      </c>
      <c r="O24" s="31">
        <f>IF(H24="","",$B$9*$B$7)</f>
        <v/>
      </c>
      <c r="P24" s="31">
        <f>IF(H24="","",$B$10*$B$7)</f>
        <v/>
      </c>
      <c r="T24" s="19" t="n">
        <v>11</v>
      </c>
      <c r="AD24" s="19">
        <f>IF($G24="",NA(),IF(OR($G24&gt;$J24,$G24&lt;$K24),$G24,NA()))</f>
        <v/>
      </c>
      <c r="AE24" s="19">
        <f>IF(COUNT($G17:$G24)&lt;8,NA(),IF(OR(MIN($G17:$G24)&gt;$B$6,MAX($G17:$G24)&lt;$B$6),$G24,NA()))</f>
        <v/>
      </c>
      <c r="AF24" s="19">
        <f>IF($H24="",NA(),IF($H24&gt;$O24,$H24,NA()))</f>
        <v/>
      </c>
    </row>
    <row r="25">
      <c r="A25" t="inlineStr">
        <is>
          <t>Day 12</t>
        </is>
      </c>
      <c r="B25" s="28" t="n">
        <v>386</v>
      </c>
      <c r="C25" s="28" t="n">
        <v>410</v>
      </c>
      <c r="D25" s="28" t="n">
        <v>372</v>
      </c>
      <c r="E25" s="28" t="n">
        <v>386</v>
      </c>
      <c r="F25" s="28" t="n">
        <v>409</v>
      </c>
      <c r="G25" s="16">
        <f>IF(COUNT(B25:F25)=0,"",AVERAGE(B25:F25))</f>
        <v/>
      </c>
      <c r="H25" s="16">
        <f>IF(COUNT(B25:F25)=0,"",MAX(B25:F25)-MIN(B25:F25))</f>
        <v/>
      </c>
      <c r="I25" s="16">
        <f>IF(G25="","",$B$6)</f>
        <v/>
      </c>
      <c r="J25" s="16">
        <f>IF(G25="","",$B$6+$B$8*$B$7)</f>
        <v/>
      </c>
      <c r="K25" s="16">
        <f>IF(G25="","",$B$6-$B$8*$B$7)</f>
        <v/>
      </c>
      <c r="L25" s="18">
        <f>IF(G25="","",IF(OR(G25&gt;J25,G25&lt;K25),"OUT OF CONTROL",""))</f>
        <v/>
      </c>
      <c r="N25" s="31">
        <f>IF(H25="","",$B$7)</f>
        <v/>
      </c>
      <c r="O25" s="31">
        <f>IF(H25="","",$B$9*$B$7)</f>
        <v/>
      </c>
      <c r="P25" s="31">
        <f>IF(H25="","",$B$10*$B$7)</f>
        <v/>
      </c>
      <c r="T25" s="19" t="n">
        <v>12</v>
      </c>
      <c r="AD25" s="19">
        <f>IF($G25="",NA(),IF(OR($G25&gt;$J25,$G25&lt;$K25),$G25,NA()))</f>
        <v/>
      </c>
      <c r="AE25" s="19">
        <f>IF(COUNT($G18:$G25)&lt;8,NA(),IF(OR(MIN($G18:$G25)&gt;$B$6,MAX($G18:$G25)&lt;$B$6),$G25,NA()))</f>
        <v/>
      </c>
      <c r="AF25" s="19">
        <f>IF($H25="",NA(),IF($H25&gt;$O25,$H25,NA()))</f>
        <v/>
      </c>
    </row>
    <row r="26">
      <c r="A26" t="inlineStr">
        <is>
          <t>Day 13</t>
        </is>
      </c>
      <c r="B26" s="28" t="n">
        <v>415</v>
      </c>
      <c r="C26" s="28" t="n">
        <v>382</v>
      </c>
      <c r="D26" s="28" t="n">
        <v>381</v>
      </c>
      <c r="E26" s="28" t="n">
        <v>415</v>
      </c>
      <c r="F26" s="28" t="n">
        <v>382</v>
      </c>
      <c r="G26" s="16">
        <f>IF(COUNT(B26:F26)=0,"",AVERAGE(B26:F26))</f>
        <v/>
      </c>
      <c r="H26" s="16">
        <f>IF(COUNT(B26:F26)=0,"",MAX(B26:F26)-MIN(B26:F26))</f>
        <v/>
      </c>
      <c r="I26" s="16">
        <f>IF(G26="","",$B$6)</f>
        <v/>
      </c>
      <c r="J26" s="16">
        <f>IF(G26="","",$B$6+$B$8*$B$7)</f>
        <v/>
      </c>
      <c r="K26" s="16">
        <f>IF(G26="","",$B$6-$B$8*$B$7)</f>
        <v/>
      </c>
      <c r="L26" s="18">
        <f>IF(G26="","",IF(OR(G26&gt;J26,G26&lt;K26),"OUT OF CONTROL",""))</f>
        <v/>
      </c>
      <c r="N26" s="31">
        <f>IF(H26="","",$B$7)</f>
        <v/>
      </c>
      <c r="O26" s="31">
        <f>IF(H26="","",$B$9*$B$7)</f>
        <v/>
      </c>
      <c r="P26" s="31">
        <f>IF(H26="","",$B$10*$B$7)</f>
        <v/>
      </c>
      <c r="T26" s="19" t="n">
        <v>13</v>
      </c>
      <c r="AD26" s="19">
        <f>IF($G26="",NA(),IF(OR($G26&gt;$J26,$G26&lt;$K26),$G26,NA()))</f>
        <v/>
      </c>
      <c r="AE26" s="19">
        <f>IF(COUNT($G19:$G26)&lt;8,NA(),IF(OR(MIN($G19:$G26)&gt;$B$6,MAX($G19:$G26)&lt;$B$6),$G26,NA()))</f>
        <v/>
      </c>
      <c r="AF26" s="19">
        <f>IF($H26="",NA(),IF($H26&gt;$O26,$H26,NA()))</f>
        <v/>
      </c>
    </row>
    <row r="27">
      <c r="A27" t="inlineStr">
        <is>
          <t>Day 14</t>
        </is>
      </c>
      <c r="B27" s="28" t="n">
        <v>396</v>
      </c>
      <c r="C27" s="28" t="n">
        <v>381</v>
      </c>
      <c r="D27" s="28" t="n">
        <v>419</v>
      </c>
      <c r="E27" s="28" t="n">
        <v>396</v>
      </c>
      <c r="F27" s="28" t="n">
        <v>381</v>
      </c>
      <c r="G27" s="16">
        <f>IF(COUNT(B27:F27)=0,"",AVERAGE(B27:F27))</f>
        <v/>
      </c>
      <c r="H27" s="16">
        <f>IF(COUNT(B27:F27)=0,"",MAX(B27:F27)-MIN(B27:F27))</f>
        <v/>
      </c>
      <c r="I27" s="16">
        <f>IF(G27="","",$B$6)</f>
        <v/>
      </c>
      <c r="J27" s="16">
        <f>IF(G27="","",$B$6+$B$8*$B$7)</f>
        <v/>
      </c>
      <c r="K27" s="16">
        <f>IF(G27="","",$B$6-$B$8*$B$7)</f>
        <v/>
      </c>
      <c r="L27" s="18">
        <f>IF(G27="","",IF(OR(G27&gt;J27,G27&lt;K27),"OUT OF CONTROL",""))</f>
        <v/>
      </c>
      <c r="N27" s="31">
        <f>IF(H27="","",$B$7)</f>
        <v/>
      </c>
      <c r="O27" s="31">
        <f>IF(H27="","",$B$9*$B$7)</f>
        <v/>
      </c>
      <c r="P27" s="31">
        <f>IF(H27="","",$B$10*$B$7)</f>
        <v/>
      </c>
      <c r="T27" s="19" t="n">
        <v>14</v>
      </c>
      <c r="AD27" s="19">
        <f>IF($G27="",NA(),IF(OR($G27&gt;$J27,$G27&lt;$K27),$G27,NA()))</f>
        <v/>
      </c>
      <c r="AE27" s="19">
        <f>IF(COUNT($G20:$G27)&lt;8,NA(),IF(OR(MIN($G20:$G27)&gt;$B$6,MAX($G20:$G27)&lt;$B$6),$G27,NA()))</f>
        <v/>
      </c>
      <c r="AF27" s="19">
        <f>IF($H27="",NA(),IF($H27&gt;$O27,$H27,NA()))</f>
        <v/>
      </c>
    </row>
    <row r="28">
      <c r="A28" t="inlineStr">
        <is>
          <t>Day 15</t>
        </is>
      </c>
      <c r="B28" s="28" t="n">
        <v>385</v>
      </c>
      <c r="C28" s="28" t="n">
        <v>421</v>
      </c>
      <c r="D28" s="28" t="n">
        <v>412</v>
      </c>
      <c r="E28" s="28" t="n">
        <v>385</v>
      </c>
      <c r="F28" s="28" t="n">
        <v>421</v>
      </c>
      <c r="G28" s="16">
        <f>IF(COUNT(B28:F28)=0,"",AVERAGE(B28:F28))</f>
        <v/>
      </c>
      <c r="H28" s="16">
        <f>IF(COUNT(B28:F28)=0,"",MAX(B28:F28)-MIN(B28:F28))</f>
        <v/>
      </c>
      <c r="I28" s="16">
        <f>IF(G28="","",$B$6)</f>
        <v/>
      </c>
      <c r="J28" s="16">
        <f>IF(G28="","",$B$6+$B$8*$B$7)</f>
        <v/>
      </c>
      <c r="K28" s="16">
        <f>IF(G28="","",$B$6-$B$8*$B$7)</f>
        <v/>
      </c>
      <c r="L28" s="18">
        <f>IF(G28="","",IF(OR(G28&gt;J28,G28&lt;K28),"OUT OF CONTROL",""))</f>
        <v/>
      </c>
      <c r="N28" s="31">
        <f>IF(H28="","",$B$7)</f>
        <v/>
      </c>
      <c r="O28" s="31">
        <f>IF(H28="","",$B$9*$B$7)</f>
        <v/>
      </c>
      <c r="P28" s="31">
        <f>IF(H28="","",$B$10*$B$7)</f>
        <v/>
      </c>
      <c r="T28" s="19" t="n">
        <v>15</v>
      </c>
      <c r="AD28" s="19">
        <f>IF($G28="",NA(),IF(OR($G28&gt;$J28,$G28&lt;$K28),$G28,NA()))</f>
        <v/>
      </c>
      <c r="AE28" s="19">
        <f>IF(COUNT($G21:$G28)&lt;8,NA(),IF(OR(MIN($G21:$G28)&gt;$B$6,MAX($G21:$G28)&lt;$B$6),$G28,NA()))</f>
        <v/>
      </c>
      <c r="AF28" s="19">
        <f>IF($H28="",NA(),IF($H28&gt;$O28,$H28,NA()))</f>
        <v/>
      </c>
    </row>
    <row r="29">
      <c r="A29" t="inlineStr">
        <is>
          <t>Day 16</t>
        </is>
      </c>
      <c r="B29" s="28" t="n">
        <v>407</v>
      </c>
      <c r="C29" s="28" t="n">
        <v>413</v>
      </c>
      <c r="D29" s="28" t="n">
        <v>378</v>
      </c>
      <c r="E29" s="28" t="n">
        <v>408</v>
      </c>
      <c r="F29" s="28" t="n">
        <v>413</v>
      </c>
      <c r="G29" s="16">
        <f>IF(COUNT(B29:F29)=0,"",AVERAGE(B29:F29))</f>
        <v/>
      </c>
      <c r="H29" s="16">
        <f>IF(COUNT(B29:F29)=0,"",MAX(B29:F29)-MIN(B29:F29))</f>
        <v/>
      </c>
      <c r="I29" s="16">
        <f>IF(G29="","",$B$6)</f>
        <v/>
      </c>
      <c r="J29" s="16">
        <f>IF(G29="","",$B$6+$B$8*$B$7)</f>
        <v/>
      </c>
      <c r="K29" s="16">
        <f>IF(G29="","",$B$6-$B$8*$B$7)</f>
        <v/>
      </c>
      <c r="L29" s="18">
        <f>IF(G29="","",IF(OR(G29&gt;J29,G29&lt;K29),"OUT OF CONTROL",""))</f>
        <v/>
      </c>
      <c r="N29" s="31">
        <f>IF(H29="","",$B$7)</f>
        <v/>
      </c>
      <c r="O29" s="31">
        <f>IF(H29="","",$B$9*$B$7)</f>
        <v/>
      </c>
      <c r="P29" s="31">
        <f>IF(H29="","",$B$10*$B$7)</f>
        <v/>
      </c>
      <c r="T29" s="19" t="n">
        <v>16</v>
      </c>
      <c r="AD29" s="19">
        <f>IF($G29="",NA(),IF(OR($G29&gt;$J29,$G29&lt;$K29),$G29,NA()))</f>
        <v/>
      </c>
      <c r="AE29" s="19">
        <f>IF(COUNT($G22:$G29)&lt;8,NA(),IF(OR(MIN($G22:$G29)&gt;$B$6,MAX($G22:$G29)&lt;$B$6),$G29,NA()))</f>
        <v/>
      </c>
      <c r="AF29" s="19">
        <f>IF($H29="",NA(),IF($H29&gt;$O29,$H29,NA()))</f>
        <v/>
      </c>
    </row>
    <row r="30">
      <c r="A30" t="inlineStr">
        <is>
          <t>Day 17</t>
        </is>
      </c>
      <c r="B30" s="28" t="n">
        <v>428</v>
      </c>
      <c r="C30" s="28" t="n">
        <v>389</v>
      </c>
      <c r="D30" s="28" t="n">
        <v>408</v>
      </c>
      <c r="E30" s="28" t="n">
        <v>427</v>
      </c>
      <c r="F30" s="28" t="n">
        <v>389</v>
      </c>
      <c r="G30" s="16">
        <f>IF(COUNT(B30:F30)=0,"",AVERAGE(B30:F30))</f>
        <v/>
      </c>
      <c r="H30" s="16">
        <f>IF(COUNT(B30:F30)=0,"",MAX(B30:F30)-MIN(B30:F30))</f>
        <v/>
      </c>
      <c r="I30" s="16">
        <f>IF(G30="","",$B$6)</f>
        <v/>
      </c>
      <c r="J30" s="16">
        <f>IF(G30="","",$B$6+$B$8*$B$7)</f>
        <v/>
      </c>
      <c r="K30" s="16">
        <f>IF(G30="","",$B$6-$B$8*$B$7)</f>
        <v/>
      </c>
      <c r="L30" s="18">
        <f>IF(G30="","",IF(OR(G30&gt;J30,G30&lt;K30),"OUT OF CONTROL",""))</f>
        <v/>
      </c>
      <c r="N30" s="31">
        <f>IF(H30="","",$B$7)</f>
        <v/>
      </c>
      <c r="O30" s="31">
        <f>IF(H30="","",$B$9*$B$7)</f>
        <v/>
      </c>
      <c r="P30" s="31">
        <f>IF(H30="","",$B$10*$B$7)</f>
        <v/>
      </c>
      <c r="T30" s="19" t="n">
        <v>17</v>
      </c>
      <c r="AD30" s="19">
        <f>IF($G30="",NA(),IF(OR($G30&gt;$J30,$G30&lt;$K30),$G30,NA()))</f>
        <v/>
      </c>
      <c r="AE30" s="19">
        <f>IF(COUNT($G23:$G30)&lt;8,NA(),IF(OR(MIN($G23:$G30)&gt;$B$6,MAX($G23:$G30)&lt;$B$6),$G30,NA()))</f>
        <v/>
      </c>
      <c r="AF30" s="19">
        <f>IF($H30="",NA(),IF($H30&gt;$O30,$H30,NA()))</f>
        <v/>
      </c>
    </row>
    <row r="31">
      <c r="A31" t="inlineStr">
        <is>
          <t>Day 18</t>
        </is>
      </c>
      <c r="B31" s="28" t="n">
        <v>403</v>
      </c>
      <c r="C31" s="28" t="n">
        <v>407</v>
      </c>
      <c r="D31" s="28" t="n">
        <v>438</v>
      </c>
      <c r="E31" s="28" t="n">
        <v>403</v>
      </c>
      <c r="F31" s="28" t="n">
        <v>407</v>
      </c>
      <c r="G31" s="16">
        <f>IF(COUNT(B31:F31)=0,"",AVERAGE(B31:F31))</f>
        <v/>
      </c>
      <c r="H31" s="16">
        <f>IF(COUNT(B31:F31)=0,"",MAX(B31:F31)-MIN(B31:F31))</f>
        <v/>
      </c>
      <c r="I31" s="16">
        <f>IF(G31="","",$B$6)</f>
        <v/>
      </c>
      <c r="J31" s="16">
        <f>IF(G31="","",$B$6+$B$8*$B$7)</f>
        <v/>
      </c>
      <c r="K31" s="16">
        <f>IF(G31="","",$B$6-$B$8*$B$7)</f>
        <v/>
      </c>
      <c r="L31" s="18">
        <f>IF(G31="","",IF(OR(G31&gt;J31,G31&lt;K31),"OUT OF CONTROL",""))</f>
        <v/>
      </c>
      <c r="N31" s="31">
        <f>IF(H31="","",$B$7)</f>
        <v/>
      </c>
      <c r="O31" s="31">
        <f>IF(H31="","",$B$9*$B$7)</f>
        <v/>
      </c>
      <c r="P31" s="31">
        <f>IF(H31="","",$B$10*$B$7)</f>
        <v/>
      </c>
      <c r="T31" s="19" t="n">
        <v>18</v>
      </c>
      <c r="AD31" s="19">
        <f>IF($G31="",NA(),IF(OR($G31&gt;$J31,$G31&lt;$K31),$G31,NA()))</f>
        <v/>
      </c>
      <c r="AE31" s="19">
        <f>IF(COUNT($G24:$G31)&lt;8,NA(),IF(OR(MIN($G24:$G31)&gt;$B$6,MAX($G24:$G31)&lt;$B$6),$G31,NA()))</f>
        <v/>
      </c>
      <c r="AF31" s="19">
        <f>IF($H31="",NA(),IF($H31&gt;$O31,$H31,NA()))</f>
        <v/>
      </c>
    </row>
    <row r="32">
      <c r="A32" t="inlineStr">
        <is>
          <t>Day 19</t>
        </is>
      </c>
      <c r="B32" s="28" t="n">
        <v>406</v>
      </c>
      <c r="C32" s="28" t="n">
        <v>443</v>
      </c>
      <c r="D32" s="28" t="n">
        <v>417</v>
      </c>
      <c r="E32" s="28" t="n">
        <v>406</v>
      </c>
      <c r="F32" s="28" t="n">
        <v>443</v>
      </c>
      <c r="G32" s="16">
        <f>IF(COUNT(B32:F32)=0,"",AVERAGE(B32:F32))</f>
        <v/>
      </c>
      <c r="H32" s="16">
        <f>IF(COUNT(B32:F32)=0,"",MAX(B32:F32)-MIN(B32:F32))</f>
        <v/>
      </c>
      <c r="I32" s="16">
        <f>IF(G32="","",$B$6)</f>
        <v/>
      </c>
      <c r="J32" s="16">
        <f>IF(G32="","",$B$6+$B$8*$B$7)</f>
        <v/>
      </c>
      <c r="K32" s="16">
        <f>IF(G32="","",$B$6-$B$8*$B$7)</f>
        <v/>
      </c>
      <c r="L32" s="18">
        <f>IF(G32="","",IF(OR(G32&gt;J32,G32&lt;K32),"OUT OF CONTROL",""))</f>
        <v/>
      </c>
      <c r="N32" s="31">
        <f>IF(H32="","",$B$7)</f>
        <v/>
      </c>
      <c r="O32" s="31">
        <f>IF(H32="","",$B$9*$B$7)</f>
        <v/>
      </c>
      <c r="P32" s="31">
        <f>IF(H32="","",$B$10*$B$7)</f>
        <v/>
      </c>
      <c r="T32" s="19" t="n">
        <v>19</v>
      </c>
      <c r="AD32" s="19">
        <f>IF($G32="",NA(),IF(OR($G32&gt;$J32,$G32&lt;$K32),$G32,NA()))</f>
        <v/>
      </c>
      <c r="AE32" s="19">
        <f>IF(COUNT($G25:$G32)&lt;8,NA(),IF(OR(MIN($G25:$G32)&gt;$B$6,MAX($G25:$G32)&lt;$B$6),$G32,NA()))</f>
        <v/>
      </c>
      <c r="AF32" s="19">
        <f>IF($H32="",NA(),IF($H32&gt;$O32,$H32,NA()))</f>
        <v/>
      </c>
    </row>
    <row r="33">
      <c r="A33" t="inlineStr">
        <is>
          <t>Day 20</t>
        </is>
      </c>
      <c r="B33" s="28" t="n">
        <v>443</v>
      </c>
      <c r="C33" s="28" t="n">
        <v>429</v>
      </c>
      <c r="D33" s="28" t="n">
        <v>405</v>
      </c>
      <c r="E33" s="28" t="n">
        <v>443</v>
      </c>
      <c r="F33" s="28" t="n">
        <v>429</v>
      </c>
      <c r="G33" s="16">
        <f>IF(COUNT(B33:F33)=0,"",AVERAGE(B33:F33))</f>
        <v/>
      </c>
      <c r="H33" s="16">
        <f>IF(COUNT(B33:F33)=0,"",MAX(B33:F33)-MIN(B33:F33))</f>
        <v/>
      </c>
      <c r="I33" s="16">
        <f>IF(G33="","",$B$6)</f>
        <v/>
      </c>
      <c r="J33" s="16">
        <f>IF(G33="","",$B$6+$B$8*$B$7)</f>
        <v/>
      </c>
      <c r="K33" s="16">
        <f>IF(G33="","",$B$6-$B$8*$B$7)</f>
        <v/>
      </c>
      <c r="L33" s="18">
        <f>IF(G33="","",IF(OR(G33&gt;J33,G33&lt;K33),"OUT OF CONTROL",""))</f>
        <v/>
      </c>
      <c r="N33" s="31">
        <f>IF(H33="","",$B$7)</f>
        <v/>
      </c>
      <c r="O33" s="31">
        <f>IF(H33="","",$B$9*$B$7)</f>
        <v/>
      </c>
      <c r="P33" s="31">
        <f>IF(H33="","",$B$10*$B$7)</f>
        <v/>
      </c>
      <c r="T33" s="19" t="n">
        <v>20</v>
      </c>
      <c r="AD33" s="19">
        <f>IF($G33="",NA(),IF(OR($G33&gt;$J33,$G33&lt;$K33),$G33,NA()))</f>
        <v/>
      </c>
      <c r="AE33" s="19">
        <f>IF(COUNT($G26:$G33)&lt;8,NA(),IF(OR(MIN($G26:$G33)&gt;$B$6,MAX($G26:$G33)&lt;$B$6),$G33,NA()))</f>
        <v/>
      </c>
      <c r="AF33" s="19">
        <f>IF($H33="",NA(),IF($H33&gt;$O33,$H33,NA()))</f>
        <v/>
      </c>
    </row>
    <row r="34">
      <c r="A34" t="inlineStr">
        <is>
          <t>Day 21</t>
        </is>
      </c>
      <c r="B34" s="28" t="n">
        <v>424</v>
      </c>
      <c r="C34" s="28" t="n">
        <v>390</v>
      </c>
      <c r="D34" s="28" t="n">
        <v>423</v>
      </c>
      <c r="E34" s="28" t="n">
        <v>424</v>
      </c>
      <c r="F34" s="28" t="n">
        <v>390</v>
      </c>
      <c r="G34" s="16">
        <f>IF(COUNT(B34:F34)=0,"",AVERAGE(B34:F34))</f>
        <v/>
      </c>
      <c r="H34" s="16">
        <f>IF(COUNT(B34:F34)=0,"",MAX(B34:F34)-MIN(B34:F34))</f>
        <v/>
      </c>
      <c r="I34" s="16">
        <f>IF(G34="","",$B$6)</f>
        <v/>
      </c>
      <c r="J34" s="16">
        <f>IF(G34="","",$B$6+$B$8*$B$7)</f>
        <v/>
      </c>
      <c r="K34" s="16">
        <f>IF(G34="","",$B$6-$B$8*$B$7)</f>
        <v/>
      </c>
      <c r="L34" s="18">
        <f>IF(G34="","",IF(OR(G34&gt;J34,G34&lt;K34),"OUT OF CONTROL",""))</f>
        <v/>
      </c>
      <c r="N34" s="31">
        <f>IF(H34="","",$B$7)</f>
        <v/>
      </c>
      <c r="O34" s="31">
        <f>IF(H34="","",$B$9*$B$7)</f>
        <v/>
      </c>
      <c r="P34" s="31">
        <f>IF(H34="","",$B$10*$B$7)</f>
        <v/>
      </c>
      <c r="T34" s="19" t="n">
        <v>21</v>
      </c>
      <c r="AD34" s="19">
        <f>IF($G34="",NA(),IF(OR($G34&gt;$J34,$G34&lt;$K34),$G34,NA()))</f>
        <v/>
      </c>
      <c r="AE34" s="19">
        <f>IF(COUNT($G27:$G34)&lt;8,NA(),IF(OR(MIN($G27:$G34)&gt;$B$6,MAX($G27:$G34)&lt;$B$6),$G34,NA()))</f>
        <v/>
      </c>
      <c r="AF34" s="19">
        <f>IF($H34="",NA(),IF($H34&gt;$O34,$H34,NA()))</f>
        <v/>
      </c>
    </row>
    <row r="35">
      <c r="A35" t="inlineStr">
        <is>
          <t>Day 22</t>
        </is>
      </c>
      <c r="B35" s="28" t="n">
        <v>392</v>
      </c>
      <c r="C35" s="28" t="n">
        <v>414</v>
      </c>
      <c r="D35" s="28" t="n">
        <v>430</v>
      </c>
      <c r="E35" s="28" t="n">
        <v>392</v>
      </c>
      <c r="F35" s="28" t="n">
        <v>414</v>
      </c>
      <c r="G35" s="16">
        <f>IF(COUNT(B35:F35)=0,"",AVERAGE(B35:F35))</f>
        <v/>
      </c>
      <c r="H35" s="16">
        <f>IF(COUNT(B35:F35)=0,"",MAX(B35:F35)-MIN(B35:F35))</f>
        <v/>
      </c>
      <c r="I35" s="16">
        <f>IF(G35="","",$B$6)</f>
        <v/>
      </c>
      <c r="J35" s="16">
        <f>IF(G35="","",$B$6+$B$8*$B$7)</f>
        <v/>
      </c>
      <c r="K35" s="16">
        <f>IF(G35="","",$B$6-$B$8*$B$7)</f>
        <v/>
      </c>
      <c r="L35" s="18">
        <f>IF(G35="","",IF(OR(G35&gt;J35,G35&lt;K35),"OUT OF CONTROL",""))</f>
        <v/>
      </c>
      <c r="N35" s="31">
        <f>IF(H35="","",$B$7)</f>
        <v/>
      </c>
      <c r="O35" s="31">
        <f>IF(H35="","",$B$9*$B$7)</f>
        <v/>
      </c>
      <c r="P35" s="31">
        <f>IF(H35="","",$B$10*$B$7)</f>
        <v/>
      </c>
      <c r="T35" s="19" t="n">
        <v>22</v>
      </c>
      <c r="AD35" s="19">
        <f>IF($G35="",NA(),IF(OR($G35&gt;$J35,$G35&lt;$K35),$G35,NA()))</f>
        <v/>
      </c>
      <c r="AE35" s="19">
        <f>IF(COUNT($G28:$G35)&lt;8,NA(),IF(OR(MIN($G28:$G35)&gt;$B$6,MAX($G28:$G35)&lt;$B$6),$G35,NA()))</f>
        <v/>
      </c>
      <c r="AF35" s="19">
        <f>IF($H35="",NA(),IF($H35&gt;$O35,$H35,NA()))</f>
        <v/>
      </c>
    </row>
    <row r="36">
      <c r="A36" t="inlineStr">
        <is>
          <t>Day 23</t>
        </is>
      </c>
      <c r="B36" s="28" t="n">
        <v>403</v>
      </c>
      <c r="C36" s="28" t="n">
        <v>431</v>
      </c>
      <c r="D36" s="28" t="n">
        <v>394</v>
      </c>
      <c r="E36" s="28" t="n">
        <v>403</v>
      </c>
      <c r="F36" s="28" t="n">
        <v>431</v>
      </c>
      <c r="G36" s="16">
        <f>IF(COUNT(B36:F36)=0,"",AVERAGE(B36:F36))</f>
        <v/>
      </c>
      <c r="H36" s="16">
        <f>IF(COUNT(B36:F36)=0,"",MAX(B36:F36)-MIN(B36:F36))</f>
        <v/>
      </c>
      <c r="I36" s="16">
        <f>IF(G36="","",$B$6)</f>
        <v/>
      </c>
      <c r="J36" s="16">
        <f>IF(G36="","",$B$6+$B$8*$B$7)</f>
        <v/>
      </c>
      <c r="K36" s="16">
        <f>IF(G36="","",$B$6-$B$8*$B$7)</f>
        <v/>
      </c>
      <c r="L36" s="18">
        <f>IF(G36="","",IF(OR(G36&gt;J36,G36&lt;K36),"OUT OF CONTROL",""))</f>
        <v/>
      </c>
      <c r="N36" s="31">
        <f>IF(H36="","",$B$7)</f>
        <v/>
      </c>
      <c r="O36" s="31">
        <f>IF(H36="","",$B$9*$B$7)</f>
        <v/>
      </c>
      <c r="P36" s="31">
        <f>IF(H36="","",$B$10*$B$7)</f>
        <v/>
      </c>
      <c r="T36" s="19" t="n">
        <v>23</v>
      </c>
      <c r="AD36" s="19">
        <f>IF($G36="",NA(),IF(OR($G36&gt;$J36,$G36&lt;$K36),$G36,NA()))</f>
        <v/>
      </c>
      <c r="AE36" s="19">
        <f>IF(COUNT($G29:$G36)&lt;8,NA(),IF(OR(MIN($G29:$G36)&gt;$B$6,MAX($G29:$G36)&lt;$B$6),$G36,NA()))</f>
        <v/>
      </c>
      <c r="AF36" s="19">
        <f>IF($H36="",NA(),IF($H36&gt;$O36,$H36,NA()))</f>
        <v/>
      </c>
    </row>
    <row r="37">
      <c r="A37" t="inlineStr">
        <is>
          <t>Day 24</t>
        </is>
      </c>
      <c r="B37" s="28" t="n">
        <v>428</v>
      </c>
      <c r="C37" s="28" t="n">
        <v>399</v>
      </c>
      <c r="D37" s="28" t="n">
        <v>393</v>
      </c>
      <c r="E37" s="28" t="n">
        <v>429</v>
      </c>
      <c r="F37" s="28" t="n">
        <v>399</v>
      </c>
      <c r="G37" s="16">
        <f>IF(COUNT(B37:F37)=0,"",AVERAGE(B37:F37))</f>
        <v/>
      </c>
      <c r="H37" s="16">
        <f>IF(COUNT(B37:F37)=0,"",MAX(B37:F37)-MIN(B37:F37))</f>
        <v/>
      </c>
      <c r="I37" s="16">
        <f>IF(G37="","",$B$6)</f>
        <v/>
      </c>
      <c r="J37" s="16">
        <f>IF(G37="","",$B$6+$B$8*$B$7)</f>
        <v/>
      </c>
      <c r="K37" s="16">
        <f>IF(G37="","",$B$6-$B$8*$B$7)</f>
        <v/>
      </c>
      <c r="L37" s="18">
        <f>IF(G37="","",IF(OR(G37&gt;J37,G37&lt;K37),"OUT OF CONTROL",""))</f>
        <v/>
      </c>
      <c r="N37" s="31">
        <f>IF(H37="","",$B$7)</f>
        <v/>
      </c>
      <c r="O37" s="31">
        <f>IF(H37="","",$B$9*$B$7)</f>
        <v/>
      </c>
      <c r="P37" s="31">
        <f>IF(H37="","",$B$10*$B$7)</f>
        <v/>
      </c>
      <c r="T37" s="19" t="n">
        <v>24</v>
      </c>
      <c r="AD37" s="19">
        <f>IF($G37="",NA(),IF(OR($G37&gt;$J37,$G37&lt;$K37),$G37,NA()))</f>
        <v/>
      </c>
      <c r="AE37" s="19">
        <f>IF(COUNT($G30:$G37)&lt;8,NA(),IF(OR(MIN($G30:$G37)&gt;$B$6,MAX($G30:$G37)&lt;$B$6),$G37,NA()))</f>
        <v/>
      </c>
      <c r="AF37" s="19">
        <f>IF($H37="",NA(),IF($H37&gt;$O37,$H37,NA()))</f>
        <v/>
      </c>
    </row>
  </sheetData>
  <mergeCells count="11">
    <mergeCell ref="C5:L5"/>
    <mergeCell ref="A2:L2"/>
    <mergeCell ref="C8:L8"/>
    <mergeCell ref="A1:L1"/>
    <mergeCell ref="C3:L3"/>
    <mergeCell ref="C11:L11"/>
    <mergeCell ref="C7:L7"/>
    <mergeCell ref="C6:L6"/>
    <mergeCell ref="C10:L10"/>
    <mergeCell ref="A12:L12"/>
    <mergeCell ref="A4:L4"/>
  </mergeCells>
  <printOptions horizontalCentered="1"/>
  <pageMargins left="0.4" right="0.4" top="0.5" bottom="0.5"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AD39"/>
  <sheetViews>
    <sheetView showGridLines="0" workbookViewId="0">
      <pane ySplit="15" topLeftCell="A16" activePane="bottomLeft" state="frozen"/>
      <selection pane="bottomLeft" activeCell="A1" sqref="A1"/>
    </sheetView>
  </sheetViews>
  <sheetFormatPr baseColWidth="8" defaultRowHeight="15"/>
  <cols>
    <col width="32" customWidth="1" min="1" max="1"/>
    <col width="13" customWidth="1" min="2" max="2"/>
    <col width="13" customWidth="1" min="3" max="3"/>
    <col width="12" customWidth="1" min="4" max="4"/>
    <col width="12" customWidth="1" min="5" max="5"/>
    <col width="12" customWidth="1" min="6" max="6"/>
    <col width="11" customWidth="1" min="7" max="7"/>
    <col width="11" customWidth="1" min="8" max="8"/>
    <col width="22" customWidth="1" min="9" max="9"/>
    <col width="4" customWidth="1" min="30" max="30"/>
  </cols>
  <sheetData>
    <row r="1" ht="26" customHeight="1">
      <c r="A1" s="3" t="inlineStr">
        <is>
          <t>EWMA — catch a slow slide before it becomes obvious</t>
        </is>
      </c>
      <c r="B1" s="4" t="n"/>
      <c r="C1" s="4" t="n"/>
      <c r="D1" s="4" t="n"/>
      <c r="E1" s="4" t="n"/>
      <c r="F1" s="4" t="n"/>
      <c r="G1" s="4" t="n"/>
      <c r="H1" s="4" t="n"/>
      <c r="I1" s="4" t="n"/>
    </row>
    <row r="2">
      <c r="A2" s="5" t="inlineStr">
        <is>
          <t>An ordinary chart is poor at small sustained shifts, which is exactly what a decaying improvement looks like. Lambda around 0.2 detects a 1-sigma drift in a handful of periods.</t>
        </is>
      </c>
    </row>
    <row r="3"/>
    <row r="4">
      <c r="A4" s="9" t="inlineStr">
        <is>
          <t>The maths, calculated from your data — nothing here is hard-coded</t>
        </is>
      </c>
      <c r="B4" s="10" t="n"/>
      <c r="C4" s="10" t="n"/>
      <c r="D4" s="10" t="n"/>
      <c r="E4" s="10" t="n"/>
      <c r="F4" s="10" t="n"/>
      <c r="G4" s="10" t="n"/>
      <c r="H4" s="10" t="n"/>
      <c r="I4" s="10" t="n"/>
    </row>
    <row r="5" ht="30" customHeight="1">
      <c r="A5" s="12" t="inlineStr">
        <is>
          <t>Lambda (weight on the newest point)</t>
        </is>
      </c>
      <c r="B5" s="32" t="n">
        <v>0.2</v>
      </c>
      <c r="C5" s="15" t="inlineStr">
        <is>
          <t>0.05 is very smooth and slow; 0.4 behaves nearly like an ordinary chart. 0.2 is the usual choice.</t>
        </is>
      </c>
    </row>
    <row r="6" ht="15" customHeight="1">
      <c r="A6" s="12" t="inlineStr">
        <is>
          <t>L (limit width in sigmas)</t>
        </is>
      </c>
      <c r="B6" s="33" t="n">
        <v>2.7</v>
      </c>
      <c r="C6" s="15" t="inlineStr">
        <is>
          <t>2.7 with lambda 0.2 gives roughly the same false-alarm rate as a 3-sigma chart.</t>
        </is>
      </c>
    </row>
    <row r="7" ht="30" customHeight="1">
      <c r="A7" s="12" t="inlineStr">
        <is>
          <t>Target / process mean</t>
        </is>
      </c>
      <c r="B7" s="16">
        <f>AVERAGE(B16:B27)</f>
        <v/>
      </c>
      <c r="C7" s="15" t="inlineStr">
        <is>
          <t>Baseline window only — the first 12 periods. Averaging the whole series folds the very drift you are hunting into the centre line. Type your own target over this if you have one.</t>
        </is>
      </c>
    </row>
    <row r="8" ht="15" customHeight="1">
      <c r="A8" s="12" t="inlineStr">
        <is>
          <t>Average moving range</t>
        </is>
      </c>
      <c r="B8" s="16">
        <f>AVERAGE(C17:C27)</f>
        <v/>
      </c>
      <c r="C8" s="15" t="inlineStr">
        <is>
          <t>Baseline window, same reason.</t>
        </is>
      </c>
    </row>
    <row r="9" ht="15" customHeight="1">
      <c r="A9" s="12" t="inlineStr">
        <is>
          <t>Sigma estimate</t>
        </is>
      </c>
      <c r="B9" s="16">
        <f>B8/1.128</f>
        <v/>
      </c>
      <c r="C9" s="15" t="inlineStr">
        <is>
          <t>Short-term variation only — the same estimate the I chart uses.</t>
        </is>
      </c>
    </row>
    <row r="10"/>
    <row r="11"/>
    <row r="12"/>
    <row r="13"/>
    <row r="14">
      <c r="A14" s="9" t="inlineStr">
        <is>
          <t>Your data — one row per period, oldest first</t>
        </is>
      </c>
      <c r="B14" s="10" t="n"/>
      <c r="C14" s="10" t="n"/>
      <c r="D14" s="10" t="n"/>
      <c r="E14" s="10" t="n"/>
      <c r="F14" s="10" t="n"/>
      <c r="G14" s="10" t="n"/>
      <c r="H14" s="10" t="n"/>
      <c r="I14" s="10" t="n"/>
    </row>
    <row r="15" ht="30" customHeight="1">
      <c r="A15" s="6" t="inlineStr">
        <is>
          <t>Period</t>
        </is>
      </c>
      <c r="B15" s="6" t="inlineStr">
        <is>
          <t>Value</t>
        </is>
      </c>
      <c r="C15" s="6" t="inlineStr">
        <is>
          <t>Moving range</t>
        </is>
      </c>
      <c r="D15" s="6" t="inlineStr">
        <is>
          <t>EWMA</t>
        </is>
      </c>
      <c r="E15" s="6" t="inlineStr">
        <is>
          <t>CL</t>
        </is>
      </c>
      <c r="F15" s="6" t="inlineStr">
        <is>
          <t>UCL</t>
        </is>
      </c>
      <c r="G15" s="6" t="inlineStr">
        <is>
          <t>LCL</t>
        </is>
      </c>
      <c r="H15" s="6" t="inlineStr"/>
      <c r="I15" s="6" t="inlineStr">
        <is>
          <t>Signal</t>
        </is>
      </c>
      <c r="AD15" s="5" t="inlineStr">
        <is>
          <t>out of control</t>
        </is>
      </c>
    </row>
    <row r="16">
      <c r="A16" t="inlineStr">
        <is>
          <t>Day 1</t>
        </is>
      </c>
      <c r="B16" s="17" t="n">
        <v>408</v>
      </c>
      <c r="D16" s="16">
        <f>IF(B16="","",$B$5*B16+(1-$B$5)*$B$7)</f>
        <v/>
      </c>
      <c r="E16" s="16">
        <f>IF(B16="","",$B$7)</f>
        <v/>
      </c>
      <c r="F16" s="16">
        <f>IF(B16="","",$B$7+$B$6*$B$9*SQRT($B$5/(2-$B$5)*(1-(1-$B$5)^(2*1))))</f>
        <v/>
      </c>
      <c r="G16" s="16">
        <f>IF(B16="","",$B$7-$B$6*$B$9*SQRT($B$5/(2-$B$5)*(1-(1-$B$5)^(2*1))))</f>
        <v/>
      </c>
      <c r="I16" s="18">
        <f>IF(D16="","",IF(OR(D16&gt;F16,D16&lt;G16),"SIGNAL — the process has drifted",""))</f>
        <v/>
      </c>
      <c r="AD16" s="19">
        <f>IF($D16="",NA(),IF(OR($D16&gt;$F16,$D16&lt;$G16),$D16,NA()))</f>
        <v/>
      </c>
    </row>
    <row r="17">
      <c r="A17" t="inlineStr">
        <is>
          <t>Day 2</t>
        </is>
      </c>
      <c r="B17" s="20" t="n">
        <v>415</v>
      </c>
      <c r="C17" s="16">
        <f>IF(COUNT(B16:B17)=2,ABS(B17-B16),"")</f>
        <v/>
      </c>
      <c r="D17" s="16">
        <f>IF(B17="","",$B$5*B17+(1-$B$5)*D16)</f>
        <v/>
      </c>
      <c r="E17" s="16">
        <f>IF(B17="","",$B$7)</f>
        <v/>
      </c>
      <c r="F17" s="16">
        <f>IF(B17="","",$B$7+$B$6*$B$9*SQRT($B$5/(2-$B$5)*(1-(1-$B$5)^(2*2))))</f>
        <v/>
      </c>
      <c r="G17" s="16">
        <f>IF(B17="","",$B$7-$B$6*$B$9*SQRT($B$5/(2-$B$5)*(1-(1-$B$5)^(2*2))))</f>
        <v/>
      </c>
      <c r="I17" s="18">
        <f>IF(D17="","",IF(OR(D17&gt;F17,D17&lt;G17),"SIGNAL — the process has drifted",""))</f>
        <v/>
      </c>
      <c r="AD17" s="19">
        <f>IF($D17="",NA(),IF(OR($D17&gt;$F17,$D17&lt;$G17),$D17,NA()))</f>
        <v/>
      </c>
    </row>
    <row r="18">
      <c r="A18" t="inlineStr">
        <is>
          <t>Day 3</t>
        </is>
      </c>
      <c r="B18" s="20" t="n">
        <v>402</v>
      </c>
      <c r="C18" s="16">
        <f>IF(COUNT(B17:B18)=2,ABS(B18-B17),"")</f>
        <v/>
      </c>
      <c r="D18" s="16">
        <f>IF(B18="","",$B$5*B18+(1-$B$5)*D17)</f>
        <v/>
      </c>
      <c r="E18" s="16">
        <f>IF(B18="","",$B$7)</f>
        <v/>
      </c>
      <c r="F18" s="16">
        <f>IF(B18="","",$B$7+$B$6*$B$9*SQRT($B$5/(2-$B$5)*(1-(1-$B$5)^(2*3))))</f>
        <v/>
      </c>
      <c r="G18" s="16">
        <f>IF(B18="","",$B$7-$B$6*$B$9*SQRT($B$5/(2-$B$5)*(1-(1-$B$5)^(2*3))))</f>
        <v/>
      </c>
      <c r="I18" s="18">
        <f>IF(D18="","",IF(OR(D18&gt;F18,D18&lt;G18),"SIGNAL — the process has drifted",""))</f>
        <v/>
      </c>
      <c r="AD18" s="19">
        <f>IF($D18="",NA(),IF(OR($D18&gt;$F18,$D18&lt;$G18),$D18,NA()))</f>
        <v/>
      </c>
    </row>
    <row r="19">
      <c r="A19" t="inlineStr">
        <is>
          <t>Day 4</t>
        </is>
      </c>
      <c r="B19" s="20" t="n">
        <v>431</v>
      </c>
      <c r="C19" s="16">
        <f>IF(COUNT(B18:B19)=2,ABS(B19-B18),"")</f>
        <v/>
      </c>
      <c r="D19" s="16">
        <f>IF(B19="","",$B$5*B19+(1-$B$5)*D18)</f>
        <v/>
      </c>
      <c r="E19" s="16">
        <f>IF(B19="","",$B$7)</f>
        <v/>
      </c>
      <c r="F19" s="16">
        <f>IF(B19="","",$B$7+$B$6*$B$9*SQRT($B$5/(2-$B$5)*(1-(1-$B$5)^(2*4))))</f>
        <v/>
      </c>
      <c r="G19" s="16">
        <f>IF(B19="","",$B$7-$B$6*$B$9*SQRT($B$5/(2-$B$5)*(1-(1-$B$5)^(2*4))))</f>
        <v/>
      </c>
      <c r="I19" s="18">
        <f>IF(D19="","",IF(OR(D19&gt;F19,D19&lt;G19),"SIGNAL — the process has drifted",""))</f>
        <v/>
      </c>
      <c r="AD19" s="19">
        <f>IF($D19="",NA(),IF(OR($D19&gt;$F19,$D19&lt;$G19),$D19,NA()))</f>
        <v/>
      </c>
    </row>
    <row r="20">
      <c r="A20" t="inlineStr">
        <is>
          <t>Day 5</t>
        </is>
      </c>
      <c r="B20" s="20" t="n">
        <v>419</v>
      </c>
      <c r="C20" s="16">
        <f>IF(COUNT(B19:B20)=2,ABS(B20-B19),"")</f>
        <v/>
      </c>
      <c r="D20" s="16">
        <f>IF(B20="","",$B$5*B20+(1-$B$5)*D19)</f>
        <v/>
      </c>
      <c r="E20" s="16">
        <f>IF(B20="","",$B$7)</f>
        <v/>
      </c>
      <c r="F20" s="16">
        <f>IF(B20="","",$B$7+$B$6*$B$9*SQRT($B$5/(2-$B$5)*(1-(1-$B$5)^(2*5))))</f>
        <v/>
      </c>
      <c r="G20" s="16">
        <f>IF(B20="","",$B$7-$B$6*$B$9*SQRT($B$5/(2-$B$5)*(1-(1-$B$5)^(2*5))))</f>
        <v/>
      </c>
      <c r="I20" s="18">
        <f>IF(D20="","",IF(OR(D20&gt;F20,D20&lt;G20),"SIGNAL — the process has drifted",""))</f>
        <v/>
      </c>
      <c r="AD20" s="19">
        <f>IF($D20="",NA(),IF(OR($D20&gt;$F20,$D20&lt;$G20),$D20,NA()))</f>
        <v/>
      </c>
    </row>
    <row r="21">
      <c r="A21" t="inlineStr">
        <is>
          <t>Day 6</t>
        </is>
      </c>
      <c r="B21" s="20" t="n">
        <v>396</v>
      </c>
      <c r="C21" s="16">
        <f>IF(COUNT(B20:B21)=2,ABS(B21-B20),"")</f>
        <v/>
      </c>
      <c r="D21" s="16">
        <f>IF(B21="","",$B$5*B21+(1-$B$5)*D20)</f>
        <v/>
      </c>
      <c r="E21" s="16">
        <f>IF(B21="","",$B$7)</f>
        <v/>
      </c>
      <c r="F21" s="16">
        <f>IF(B21="","",$B$7+$B$6*$B$9*SQRT($B$5/(2-$B$5)*(1-(1-$B$5)^(2*6))))</f>
        <v/>
      </c>
      <c r="G21" s="16">
        <f>IF(B21="","",$B$7-$B$6*$B$9*SQRT($B$5/(2-$B$5)*(1-(1-$B$5)^(2*6))))</f>
        <v/>
      </c>
      <c r="I21" s="18">
        <f>IF(D21="","",IF(OR(D21&gt;F21,D21&lt;G21),"SIGNAL — the process has drifted",""))</f>
        <v/>
      </c>
      <c r="AD21" s="19">
        <f>IF($D21="",NA(),IF(OR($D21&gt;$F21,$D21&lt;$G21),$D21,NA()))</f>
        <v/>
      </c>
    </row>
    <row r="22">
      <c r="A22" t="inlineStr">
        <is>
          <t>Day 7</t>
        </is>
      </c>
      <c r="B22" s="20" t="n">
        <v>424</v>
      </c>
      <c r="C22" s="16">
        <f>IF(COUNT(B21:B22)=2,ABS(B22-B21),"")</f>
        <v/>
      </c>
      <c r="D22" s="16">
        <f>IF(B22="","",$B$5*B22+(1-$B$5)*D21)</f>
        <v/>
      </c>
      <c r="E22" s="16">
        <f>IF(B22="","",$B$7)</f>
        <v/>
      </c>
      <c r="F22" s="16">
        <f>IF(B22="","",$B$7+$B$6*$B$9*SQRT($B$5/(2-$B$5)*(1-(1-$B$5)^(2*7))))</f>
        <v/>
      </c>
      <c r="G22" s="16">
        <f>IF(B22="","",$B$7-$B$6*$B$9*SQRT($B$5/(2-$B$5)*(1-(1-$B$5)^(2*7))))</f>
        <v/>
      </c>
      <c r="I22" s="18">
        <f>IF(D22="","",IF(OR(D22&gt;F22,D22&lt;G22),"SIGNAL — the process has drifted",""))</f>
        <v/>
      </c>
      <c r="AD22" s="19">
        <f>IF($D22="",NA(),IF(OR($D22&gt;$F22,$D22&lt;$G22),$D22,NA()))</f>
        <v/>
      </c>
    </row>
    <row r="23">
      <c r="A23" t="inlineStr">
        <is>
          <t>Day 8</t>
        </is>
      </c>
      <c r="B23" s="20" t="n">
        <v>410</v>
      </c>
      <c r="C23" s="16">
        <f>IF(COUNT(B22:B23)=2,ABS(B23-B22),"")</f>
        <v/>
      </c>
      <c r="D23" s="16">
        <f>IF(B23="","",$B$5*B23+(1-$B$5)*D22)</f>
        <v/>
      </c>
      <c r="E23" s="16">
        <f>IF(B23="","",$B$7)</f>
        <v/>
      </c>
      <c r="F23" s="16">
        <f>IF(B23="","",$B$7+$B$6*$B$9*SQRT($B$5/(2-$B$5)*(1-(1-$B$5)^(2*8))))</f>
        <v/>
      </c>
      <c r="G23" s="16">
        <f>IF(B23="","",$B$7-$B$6*$B$9*SQRT($B$5/(2-$B$5)*(1-(1-$B$5)^(2*8))))</f>
        <v/>
      </c>
      <c r="I23" s="18">
        <f>IF(D23="","",IF(OR(D23&gt;F23,D23&lt;G23),"SIGNAL — the process has drifted",""))</f>
        <v/>
      </c>
      <c r="AD23" s="19">
        <f>IF($D23="",NA(),IF(OR($D23&gt;$F23,$D23&lt;$G23),$D23,NA()))</f>
        <v/>
      </c>
    </row>
    <row r="24">
      <c r="A24" t="inlineStr">
        <is>
          <t>Day 9</t>
        </is>
      </c>
      <c r="B24" s="20" t="n">
        <v>438</v>
      </c>
      <c r="C24" s="16">
        <f>IF(COUNT(B23:B24)=2,ABS(B24-B23),"")</f>
        <v/>
      </c>
      <c r="D24" s="16">
        <f>IF(B24="","",$B$5*B24+(1-$B$5)*D23)</f>
        <v/>
      </c>
      <c r="E24" s="16">
        <f>IF(B24="","",$B$7)</f>
        <v/>
      </c>
      <c r="F24" s="16">
        <f>IF(B24="","",$B$7+$B$6*$B$9*SQRT($B$5/(2-$B$5)*(1-(1-$B$5)^(2*9))))</f>
        <v/>
      </c>
      <c r="G24" s="16">
        <f>IF(B24="","",$B$7-$B$6*$B$9*SQRT($B$5/(2-$B$5)*(1-(1-$B$5)^(2*9))))</f>
        <v/>
      </c>
      <c r="I24" s="18">
        <f>IF(D24="","",IF(OR(D24&gt;F24,D24&lt;G24),"SIGNAL — the process has drifted",""))</f>
        <v/>
      </c>
      <c r="AD24" s="19">
        <f>IF($D24="",NA(),IF(OR($D24&gt;$F24,$D24&lt;$G24),$D24,NA()))</f>
        <v/>
      </c>
    </row>
    <row r="25">
      <c r="A25" t="inlineStr">
        <is>
          <t>Day 10</t>
        </is>
      </c>
      <c r="B25" s="20" t="n">
        <v>405</v>
      </c>
      <c r="C25" s="16">
        <f>IF(COUNT(B24:B25)=2,ABS(B25-B24),"")</f>
        <v/>
      </c>
      <c r="D25" s="16">
        <f>IF(B25="","",$B$5*B25+(1-$B$5)*D24)</f>
        <v/>
      </c>
      <c r="E25" s="16">
        <f>IF(B25="","",$B$7)</f>
        <v/>
      </c>
      <c r="F25" s="16">
        <f>IF(B25="","",$B$7+$B$6*$B$9*SQRT($B$5/(2-$B$5)*(1-(1-$B$5)^(2*10))))</f>
        <v/>
      </c>
      <c r="G25" s="16">
        <f>IF(B25="","",$B$7-$B$6*$B$9*SQRT($B$5/(2-$B$5)*(1-(1-$B$5)^(2*10))))</f>
        <v/>
      </c>
      <c r="I25" s="18">
        <f>IF(D25="","",IF(OR(D25&gt;F25,D25&lt;G25),"SIGNAL — the process has drifted",""))</f>
        <v/>
      </c>
      <c r="AD25" s="19">
        <f>IF($D25="",NA(),IF(OR($D25&gt;$F25,$D25&lt;$G25),$D25,NA()))</f>
        <v/>
      </c>
    </row>
    <row r="26">
      <c r="A26" t="inlineStr">
        <is>
          <t>Day 11</t>
        </is>
      </c>
      <c r="B26" s="20" t="n">
        <v>417</v>
      </c>
      <c r="C26" s="16">
        <f>IF(COUNT(B25:B26)=2,ABS(B26-B25),"")</f>
        <v/>
      </c>
      <c r="D26" s="16">
        <f>IF(B26="","",$B$5*B26+(1-$B$5)*D25)</f>
        <v/>
      </c>
      <c r="E26" s="16">
        <f>IF(B26="","",$B$7)</f>
        <v/>
      </c>
      <c r="F26" s="16">
        <f>IF(B26="","",$B$7+$B$6*$B$9*SQRT($B$5/(2-$B$5)*(1-(1-$B$5)^(2*11))))</f>
        <v/>
      </c>
      <c r="G26" s="16">
        <f>IF(B26="","",$B$7-$B$6*$B$9*SQRT($B$5/(2-$B$5)*(1-(1-$B$5)^(2*11))))</f>
        <v/>
      </c>
      <c r="I26" s="18">
        <f>IF(D26="","",IF(OR(D26&gt;F26,D26&lt;G26),"SIGNAL — the process has drifted",""))</f>
        <v/>
      </c>
      <c r="AD26" s="19">
        <f>IF($D26="",NA(),IF(OR($D26&gt;$F26,$D26&lt;$G26),$D26,NA()))</f>
        <v/>
      </c>
    </row>
    <row r="27">
      <c r="A27" t="inlineStr">
        <is>
          <t>Day 12</t>
        </is>
      </c>
      <c r="B27" s="20" t="n">
        <v>429</v>
      </c>
      <c r="C27" s="16">
        <f>IF(COUNT(B26:B27)=2,ABS(B27-B26),"")</f>
        <v/>
      </c>
      <c r="D27" s="16">
        <f>IF(B27="","",$B$5*B27+(1-$B$5)*D26)</f>
        <v/>
      </c>
      <c r="E27" s="16">
        <f>IF(B27="","",$B$7)</f>
        <v/>
      </c>
      <c r="F27" s="16">
        <f>IF(B27="","",$B$7+$B$6*$B$9*SQRT($B$5/(2-$B$5)*(1-(1-$B$5)^(2*12))))</f>
        <v/>
      </c>
      <c r="G27" s="16">
        <f>IF(B27="","",$B$7-$B$6*$B$9*SQRT($B$5/(2-$B$5)*(1-(1-$B$5)^(2*12))))</f>
        <v/>
      </c>
      <c r="I27" s="18">
        <f>IF(D27="","",IF(OR(D27&gt;F27,D27&lt;G27),"SIGNAL — the process has drifted",""))</f>
        <v/>
      </c>
      <c r="AD27" s="19">
        <f>IF($D27="",NA(),IF(OR($D27&gt;$F27,$D27&lt;$G27),$D27,NA()))</f>
        <v/>
      </c>
    </row>
    <row r="28">
      <c r="A28" t="inlineStr">
        <is>
          <t>Day 13</t>
        </is>
      </c>
      <c r="B28" s="20" t="n">
        <v>418</v>
      </c>
      <c r="C28" s="16">
        <f>IF(COUNT(B27:B28)=2,ABS(B28-B27),"")</f>
        <v/>
      </c>
      <c r="D28" s="16">
        <f>IF(B28="","",$B$5*B28+(1-$B$5)*D27)</f>
        <v/>
      </c>
      <c r="E28" s="16">
        <f>IF(B28="","",$B$7)</f>
        <v/>
      </c>
      <c r="F28" s="16">
        <f>IF(B28="","",$B$7+$B$6*$B$9*SQRT($B$5/(2-$B$5)*(1-(1-$B$5)^(2*13))))</f>
        <v/>
      </c>
      <c r="G28" s="16">
        <f>IF(B28="","",$B$7-$B$6*$B$9*SQRT($B$5/(2-$B$5)*(1-(1-$B$5)^(2*13))))</f>
        <v/>
      </c>
      <c r="I28" s="18">
        <f>IF(D28="","",IF(OR(D28&gt;F28,D28&lt;G28),"SIGNAL — the process has drifted",""))</f>
        <v/>
      </c>
      <c r="AD28" s="19">
        <f>IF($D28="",NA(),IF(OR($D28&gt;$F28,$D28&lt;$G28),$D28,NA()))</f>
        <v/>
      </c>
    </row>
    <row r="29">
      <c r="A29" t="inlineStr">
        <is>
          <t>Day 14</t>
        </is>
      </c>
      <c r="B29" s="20" t="n">
        <v>426</v>
      </c>
      <c r="C29" s="16">
        <f>IF(COUNT(B28:B29)=2,ABS(B29-B28),"")</f>
        <v/>
      </c>
      <c r="D29" s="16">
        <f>IF(B29="","",$B$5*B29+(1-$B$5)*D28)</f>
        <v/>
      </c>
      <c r="E29" s="16">
        <f>IF(B29="","",$B$7)</f>
        <v/>
      </c>
      <c r="F29" s="16">
        <f>IF(B29="","",$B$7+$B$6*$B$9*SQRT($B$5/(2-$B$5)*(1-(1-$B$5)^(2*14))))</f>
        <v/>
      </c>
      <c r="G29" s="16">
        <f>IF(B29="","",$B$7-$B$6*$B$9*SQRT($B$5/(2-$B$5)*(1-(1-$B$5)^(2*14))))</f>
        <v/>
      </c>
      <c r="I29" s="18">
        <f>IF(D29="","",IF(OR(D29&gt;F29,D29&lt;G29),"SIGNAL — the process has drifted",""))</f>
        <v/>
      </c>
      <c r="AD29" s="19">
        <f>IF($D29="",NA(),IF(OR($D29&gt;$F29,$D29&lt;$G29),$D29,NA()))</f>
        <v/>
      </c>
    </row>
    <row r="30">
      <c r="A30" t="inlineStr">
        <is>
          <t>Day 15</t>
        </is>
      </c>
      <c r="B30" s="20" t="n">
        <v>431</v>
      </c>
      <c r="C30" s="16">
        <f>IF(COUNT(B29:B30)=2,ABS(B30-B29),"")</f>
        <v/>
      </c>
      <c r="D30" s="16">
        <f>IF(B30="","",$B$5*B30+(1-$B$5)*D29)</f>
        <v/>
      </c>
      <c r="E30" s="16">
        <f>IF(B30="","",$B$7)</f>
        <v/>
      </c>
      <c r="F30" s="16">
        <f>IF(B30="","",$B$7+$B$6*$B$9*SQRT($B$5/(2-$B$5)*(1-(1-$B$5)^(2*15))))</f>
        <v/>
      </c>
      <c r="G30" s="16">
        <f>IF(B30="","",$B$7-$B$6*$B$9*SQRT($B$5/(2-$B$5)*(1-(1-$B$5)^(2*15))))</f>
        <v/>
      </c>
      <c r="I30" s="18">
        <f>IF(D30="","",IF(OR(D30&gt;F30,D30&lt;G30),"SIGNAL — the process has drifted",""))</f>
        <v/>
      </c>
      <c r="AD30" s="19">
        <f>IF($D30="",NA(),IF(OR($D30&gt;$F30,$D30&lt;$G30),$D30,NA()))</f>
        <v/>
      </c>
    </row>
    <row r="31">
      <c r="A31" t="inlineStr">
        <is>
          <t>Day 16</t>
        </is>
      </c>
      <c r="B31" s="20" t="n">
        <v>428</v>
      </c>
      <c r="C31" s="16">
        <f>IF(COUNT(B30:B31)=2,ABS(B31-B30),"")</f>
        <v/>
      </c>
      <c r="D31" s="16">
        <f>IF(B31="","",$B$5*B31+(1-$B$5)*D30)</f>
        <v/>
      </c>
      <c r="E31" s="16">
        <f>IF(B31="","",$B$7)</f>
        <v/>
      </c>
      <c r="F31" s="16">
        <f>IF(B31="","",$B$7+$B$6*$B$9*SQRT($B$5/(2-$B$5)*(1-(1-$B$5)^(2*16))))</f>
        <v/>
      </c>
      <c r="G31" s="16">
        <f>IF(B31="","",$B$7-$B$6*$B$9*SQRT($B$5/(2-$B$5)*(1-(1-$B$5)^(2*16))))</f>
        <v/>
      </c>
      <c r="I31" s="18">
        <f>IF(D31="","",IF(OR(D31&gt;F31,D31&lt;G31),"SIGNAL — the process has drifted",""))</f>
        <v/>
      </c>
      <c r="AD31" s="19">
        <f>IF($D31="",NA(),IF(OR($D31&gt;$F31,$D31&lt;$G31),$D31,NA()))</f>
        <v/>
      </c>
    </row>
    <row r="32">
      <c r="A32" t="inlineStr">
        <is>
          <t>Day 17</t>
        </is>
      </c>
      <c r="B32" s="20" t="n">
        <v>437</v>
      </c>
      <c r="C32" s="16">
        <f>IF(COUNT(B31:B32)=2,ABS(B32-B31),"")</f>
        <v/>
      </c>
      <c r="D32" s="16">
        <f>IF(B32="","",$B$5*B32+(1-$B$5)*D31)</f>
        <v/>
      </c>
      <c r="E32" s="16">
        <f>IF(B32="","",$B$7)</f>
        <v/>
      </c>
      <c r="F32" s="16">
        <f>IF(B32="","",$B$7+$B$6*$B$9*SQRT($B$5/(2-$B$5)*(1-(1-$B$5)^(2*17))))</f>
        <v/>
      </c>
      <c r="G32" s="16">
        <f>IF(B32="","",$B$7-$B$6*$B$9*SQRT($B$5/(2-$B$5)*(1-(1-$B$5)^(2*17))))</f>
        <v/>
      </c>
      <c r="I32" s="18">
        <f>IF(D32="","",IF(OR(D32&gt;F32,D32&lt;G32),"SIGNAL — the process has drifted",""))</f>
        <v/>
      </c>
      <c r="AD32" s="19">
        <f>IF($D32="",NA(),IF(OR($D32&gt;$F32,$D32&lt;$G32),$D32,NA()))</f>
        <v/>
      </c>
    </row>
    <row r="33">
      <c r="A33" t="inlineStr">
        <is>
          <t>Day 18</t>
        </is>
      </c>
      <c r="B33" s="20" t="n">
        <v>433</v>
      </c>
      <c r="C33" s="16">
        <f>IF(COUNT(B32:B33)=2,ABS(B33-B32),"")</f>
        <v/>
      </c>
      <c r="D33" s="16">
        <f>IF(B33="","",$B$5*B33+(1-$B$5)*D32)</f>
        <v/>
      </c>
      <c r="E33" s="16">
        <f>IF(B33="","",$B$7)</f>
        <v/>
      </c>
      <c r="F33" s="16">
        <f>IF(B33="","",$B$7+$B$6*$B$9*SQRT($B$5/(2-$B$5)*(1-(1-$B$5)^(2*18))))</f>
        <v/>
      </c>
      <c r="G33" s="16">
        <f>IF(B33="","",$B$7-$B$6*$B$9*SQRT($B$5/(2-$B$5)*(1-(1-$B$5)^(2*18))))</f>
        <v/>
      </c>
      <c r="I33" s="18">
        <f>IF(D33="","",IF(OR(D33&gt;F33,D33&lt;G33),"SIGNAL — the process has drifted",""))</f>
        <v/>
      </c>
      <c r="AD33" s="19">
        <f>IF($D33="",NA(),IF(OR($D33&gt;$F33,$D33&lt;$G33),$D33,NA()))</f>
        <v/>
      </c>
    </row>
    <row r="34">
      <c r="A34" t="inlineStr">
        <is>
          <t>Day 19</t>
        </is>
      </c>
      <c r="B34" s="20" t="n">
        <v>441</v>
      </c>
      <c r="C34" s="16">
        <f>IF(COUNT(B33:B34)=2,ABS(B34-B33),"")</f>
        <v/>
      </c>
      <c r="D34" s="16">
        <f>IF(B34="","",$B$5*B34+(1-$B$5)*D33)</f>
        <v/>
      </c>
      <c r="E34" s="16">
        <f>IF(B34="","",$B$7)</f>
        <v/>
      </c>
      <c r="F34" s="16">
        <f>IF(B34="","",$B$7+$B$6*$B$9*SQRT($B$5/(2-$B$5)*(1-(1-$B$5)^(2*19))))</f>
        <v/>
      </c>
      <c r="G34" s="16">
        <f>IF(B34="","",$B$7-$B$6*$B$9*SQRT($B$5/(2-$B$5)*(1-(1-$B$5)^(2*19))))</f>
        <v/>
      </c>
      <c r="I34" s="18">
        <f>IF(D34="","",IF(OR(D34&gt;F34,D34&lt;G34),"SIGNAL — the process has drifted",""))</f>
        <v/>
      </c>
      <c r="AD34" s="19">
        <f>IF($D34="",NA(),IF(OR($D34&gt;$F34,$D34&lt;$G34),$D34,NA()))</f>
        <v/>
      </c>
    </row>
    <row r="35">
      <c r="A35" t="inlineStr">
        <is>
          <t>Day 20</t>
        </is>
      </c>
      <c r="B35" s="20" t="n">
        <v>439</v>
      </c>
      <c r="C35" s="16">
        <f>IF(COUNT(B34:B35)=2,ABS(B35-B34),"")</f>
        <v/>
      </c>
      <c r="D35" s="16">
        <f>IF(B35="","",$B$5*B35+(1-$B$5)*D34)</f>
        <v/>
      </c>
      <c r="E35" s="16">
        <f>IF(B35="","",$B$7)</f>
        <v/>
      </c>
      <c r="F35" s="16">
        <f>IF(B35="","",$B$7+$B$6*$B$9*SQRT($B$5/(2-$B$5)*(1-(1-$B$5)^(2*20))))</f>
        <v/>
      </c>
      <c r="G35" s="16">
        <f>IF(B35="","",$B$7-$B$6*$B$9*SQRT($B$5/(2-$B$5)*(1-(1-$B$5)^(2*20))))</f>
        <v/>
      </c>
      <c r="I35" s="18">
        <f>IF(D35="","",IF(OR(D35&gt;F35,D35&lt;G35),"SIGNAL — the process has drifted",""))</f>
        <v/>
      </c>
      <c r="AD35" s="19">
        <f>IF($D35="",NA(),IF(OR($D35&gt;$F35,$D35&lt;$G35),$D35,NA()))</f>
        <v/>
      </c>
    </row>
    <row r="36">
      <c r="A36" t="inlineStr">
        <is>
          <t>Day 21</t>
        </is>
      </c>
      <c r="B36" s="20" t="n">
        <v>448</v>
      </c>
      <c r="C36" s="16">
        <f>IF(COUNT(B35:B36)=2,ABS(B36-B35),"")</f>
        <v/>
      </c>
      <c r="D36" s="16">
        <f>IF(B36="","",$B$5*B36+(1-$B$5)*D35)</f>
        <v/>
      </c>
      <c r="E36" s="16">
        <f>IF(B36="","",$B$7)</f>
        <v/>
      </c>
      <c r="F36" s="16">
        <f>IF(B36="","",$B$7+$B$6*$B$9*SQRT($B$5/(2-$B$5)*(1-(1-$B$5)^(2*21))))</f>
        <v/>
      </c>
      <c r="G36" s="16">
        <f>IF(B36="","",$B$7-$B$6*$B$9*SQRT($B$5/(2-$B$5)*(1-(1-$B$5)^(2*21))))</f>
        <v/>
      </c>
      <c r="I36" s="18">
        <f>IF(D36="","",IF(OR(D36&gt;F36,D36&lt;G36),"SIGNAL — the process has drifted",""))</f>
        <v/>
      </c>
      <c r="AD36" s="19">
        <f>IF($D36="",NA(),IF(OR($D36&gt;$F36,$D36&lt;$G36),$D36,NA()))</f>
        <v/>
      </c>
    </row>
    <row r="37">
      <c r="A37" t="inlineStr">
        <is>
          <t>Day 22</t>
        </is>
      </c>
      <c r="B37" s="20" t="n">
        <v>444</v>
      </c>
      <c r="C37" s="16">
        <f>IF(COUNT(B36:B37)=2,ABS(B37-B36),"")</f>
        <v/>
      </c>
      <c r="D37" s="16">
        <f>IF(B37="","",$B$5*B37+(1-$B$5)*D36)</f>
        <v/>
      </c>
      <c r="E37" s="16">
        <f>IF(B37="","",$B$7)</f>
        <v/>
      </c>
      <c r="F37" s="16">
        <f>IF(B37="","",$B$7+$B$6*$B$9*SQRT($B$5/(2-$B$5)*(1-(1-$B$5)^(2*22))))</f>
        <v/>
      </c>
      <c r="G37" s="16">
        <f>IF(B37="","",$B$7-$B$6*$B$9*SQRT($B$5/(2-$B$5)*(1-(1-$B$5)^(2*22))))</f>
        <v/>
      </c>
      <c r="I37" s="18">
        <f>IF(D37="","",IF(OR(D37&gt;F37,D37&lt;G37),"SIGNAL — the process has drifted",""))</f>
        <v/>
      </c>
      <c r="AD37" s="19">
        <f>IF($D37="",NA(),IF(OR($D37&gt;$F37,$D37&lt;$G37),$D37,NA()))</f>
        <v/>
      </c>
    </row>
    <row r="38">
      <c r="A38" t="inlineStr">
        <is>
          <t>Day 23</t>
        </is>
      </c>
      <c r="B38" s="20" t="n">
        <v>452</v>
      </c>
      <c r="C38" s="16">
        <f>IF(COUNT(B37:B38)=2,ABS(B38-B37),"")</f>
        <v/>
      </c>
      <c r="D38" s="16">
        <f>IF(B38="","",$B$5*B38+(1-$B$5)*D37)</f>
        <v/>
      </c>
      <c r="E38" s="16">
        <f>IF(B38="","",$B$7)</f>
        <v/>
      </c>
      <c r="F38" s="16">
        <f>IF(B38="","",$B$7+$B$6*$B$9*SQRT($B$5/(2-$B$5)*(1-(1-$B$5)^(2*23))))</f>
        <v/>
      </c>
      <c r="G38" s="16">
        <f>IF(B38="","",$B$7-$B$6*$B$9*SQRT($B$5/(2-$B$5)*(1-(1-$B$5)^(2*23))))</f>
        <v/>
      </c>
      <c r="I38" s="18">
        <f>IF(D38="","",IF(OR(D38&gt;F38,D38&lt;G38),"SIGNAL — the process has drifted",""))</f>
        <v/>
      </c>
      <c r="AD38" s="19">
        <f>IF($D38="",NA(),IF(OR($D38&gt;$F38,$D38&lt;$G38),$D38,NA()))</f>
        <v/>
      </c>
    </row>
    <row r="39">
      <c r="A39" t="inlineStr">
        <is>
          <t>Day 24</t>
        </is>
      </c>
      <c r="B39" s="20" t="n">
        <v>449</v>
      </c>
      <c r="C39" s="16">
        <f>IF(COUNT(B38:B39)=2,ABS(B39-B38),"")</f>
        <v/>
      </c>
      <c r="D39" s="16">
        <f>IF(B39="","",$B$5*B39+(1-$B$5)*D38)</f>
        <v/>
      </c>
      <c r="E39" s="16">
        <f>IF(B39="","",$B$7)</f>
        <v/>
      </c>
      <c r="F39" s="16">
        <f>IF(B39="","",$B$7+$B$6*$B$9*SQRT($B$5/(2-$B$5)*(1-(1-$B$5)^(2*24))))</f>
        <v/>
      </c>
      <c r="G39" s="16">
        <f>IF(B39="","",$B$7-$B$6*$B$9*SQRT($B$5/(2-$B$5)*(1-(1-$B$5)^(2*24))))</f>
        <v/>
      </c>
      <c r="I39" s="18">
        <f>IF(D39="","",IF(OR(D39&gt;F39,D39&lt;G39),"SIGNAL — the process has drifted",""))</f>
        <v/>
      </c>
      <c r="AD39" s="19">
        <f>IF($D39="",NA(),IF(OR($D39&gt;$F39,$D39&lt;$G39),$D39,NA()))</f>
        <v/>
      </c>
    </row>
  </sheetData>
  <mergeCells count="9">
    <mergeCell ref="A2:I2"/>
    <mergeCell ref="C9:I9"/>
    <mergeCell ref="C8:I8"/>
    <mergeCell ref="A14:I14"/>
    <mergeCell ref="A1:I1"/>
    <mergeCell ref="C6:I6"/>
    <mergeCell ref="C7:I7"/>
    <mergeCell ref="A4:I4"/>
    <mergeCell ref="C5:I5"/>
  </mergeCells>
  <printOptions horizontalCentered="1"/>
  <pageMargins left="0.4" right="0.4" top="0.5" bottom="0.5"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D39"/>
  <sheetViews>
    <sheetView showGridLines="0" workbookViewId="0">
      <pane ySplit="15" topLeftCell="A16" activePane="bottomLeft" state="frozen"/>
      <selection pane="bottomLeft" activeCell="A1" sqref="A1"/>
    </sheetView>
  </sheetViews>
  <sheetFormatPr baseColWidth="8" defaultRowHeight="15"/>
  <cols>
    <col width="32" customWidth="1" min="1" max="1"/>
    <col width="13" customWidth="1" min="2" max="2"/>
    <col width="13" customWidth="1" min="3" max="3"/>
    <col width="12" customWidth="1" min="4" max="4"/>
    <col width="12" customWidth="1" min="5" max="5"/>
    <col width="11" customWidth="1" min="6" max="6"/>
    <col width="11" customWidth="1" min="7" max="7"/>
    <col width="11" customWidth="1" min="8" max="8"/>
    <col width="24" customWidth="1" min="9" max="9"/>
    <col width="4" customWidth="1" min="30" max="30"/>
  </cols>
  <sheetData>
    <row r="1" ht="26" customHeight="1">
      <c r="A1" s="3" t="inlineStr">
        <is>
          <t>CUSUM — confirm a change landed on the day you deployed it</t>
        </is>
      </c>
      <c r="B1" s="4" t="n"/>
      <c r="C1" s="4" t="n"/>
      <c r="D1" s="4" t="n"/>
      <c r="E1" s="4" t="n"/>
      <c r="F1" s="4" t="n"/>
      <c r="G1" s="4" t="n"/>
      <c r="H1" s="4" t="n"/>
      <c r="I1" s="4" t="n"/>
    </row>
    <row r="2">
      <c r="A2" s="5" t="inlineStr">
        <is>
          <t>Fastest detection of a step change. Two running sums: one accumulates evidence the process went up, the other that it went down. Whichever crosses h first tells you the direction.</t>
        </is>
      </c>
    </row>
    <row r="3"/>
    <row r="4">
      <c r="A4" s="9" t="inlineStr">
        <is>
          <t>The maths, calculated from your data — nothing here is hard-coded</t>
        </is>
      </c>
      <c r="B4" s="10" t="n"/>
      <c r="C4" s="10" t="n"/>
      <c r="D4" s="10" t="n"/>
      <c r="E4" s="10" t="n"/>
      <c r="F4" s="10" t="n"/>
      <c r="G4" s="10" t="n"/>
      <c r="H4" s="10" t="n"/>
      <c r="I4" s="10" t="n"/>
    </row>
    <row r="5" ht="15" customHeight="1">
      <c r="A5" s="12" t="inlineStr">
        <is>
          <t>k (slack, in sigmas)</t>
        </is>
      </c>
      <c r="B5" s="32" t="n">
        <v>0.5</v>
      </c>
      <c r="C5" s="15" t="inlineStr">
        <is>
          <t>Half the shift you care about. 0.5 is tuned to catch a 1-sigma shift.</t>
        </is>
      </c>
    </row>
    <row r="6" ht="15" customHeight="1">
      <c r="A6" s="12" t="inlineStr">
        <is>
          <t>h (decision interval)</t>
        </is>
      </c>
      <c r="B6" s="33" t="n">
        <v>4</v>
      </c>
      <c r="C6" s="15" t="inlineStr">
        <is>
          <t>4 or 5. Lower means faster detection and more false alarms.</t>
        </is>
      </c>
    </row>
    <row r="7" ht="30" customHeight="1">
      <c r="A7" s="12" t="inlineStr">
        <is>
          <t>Target / pre-change mean</t>
        </is>
      </c>
      <c r="B7" s="16">
        <f>AVERAGE(B16:B27)</f>
        <v/>
      </c>
      <c r="C7" s="15" t="inlineStr">
        <is>
          <t>Set this from the BEFORE window only. Including the after period hides the very shift you are testing for.</t>
        </is>
      </c>
    </row>
    <row r="8" ht="15" customHeight="1">
      <c r="A8" s="12" t="inlineStr">
        <is>
          <t>Average moving range</t>
        </is>
      </c>
      <c r="B8" s="16">
        <f>AVERAGE(C17:C27)</f>
        <v/>
      </c>
      <c r="C8" s="15" t="inlineStr">
        <is>
          <t>Baseline window only, for the same reason.</t>
        </is>
      </c>
    </row>
    <row r="9">
      <c r="A9" s="12" t="inlineStr">
        <is>
          <t>Sigma estimate</t>
        </is>
      </c>
      <c r="B9" s="16">
        <f>B8/1.128</f>
        <v/>
      </c>
    </row>
    <row r="10"/>
    <row r="11"/>
    <row r="12"/>
    <row r="13"/>
    <row r="14">
      <c r="A14" s="9" t="inlineStr">
        <is>
          <t>Your data — one row per period, oldest first</t>
        </is>
      </c>
      <c r="B14" s="10" t="n"/>
      <c r="C14" s="10" t="n"/>
      <c r="D14" s="10" t="n"/>
      <c r="E14" s="10" t="n"/>
      <c r="F14" s="10" t="n"/>
      <c r="G14" s="10" t="n"/>
      <c r="H14" s="10" t="n"/>
      <c r="I14" s="10" t="n"/>
    </row>
    <row r="15" ht="30" customHeight="1">
      <c r="A15" s="6" t="inlineStr">
        <is>
          <t>Period</t>
        </is>
      </c>
      <c r="B15" s="6" t="inlineStr">
        <is>
          <t>Value</t>
        </is>
      </c>
      <c r="C15" s="6" t="inlineStr">
        <is>
          <t>Moving range</t>
        </is>
      </c>
      <c r="D15" s="6" t="inlineStr">
        <is>
          <t>Standardised</t>
        </is>
      </c>
      <c r="E15" s="6" t="inlineStr">
        <is>
          <t>SH (up)</t>
        </is>
      </c>
      <c r="F15" s="6" t="inlineStr">
        <is>
          <t>SL (down)</t>
        </is>
      </c>
      <c r="G15" s="6" t="inlineStr">
        <is>
          <t>h</t>
        </is>
      </c>
      <c r="H15" s="6" t="inlineStr">
        <is>
          <t>-h</t>
        </is>
      </c>
      <c r="I15" s="6" t="inlineStr">
        <is>
          <t>Signal</t>
        </is>
      </c>
      <c r="AD15" s="5" t="inlineStr">
        <is>
          <t>crossed h</t>
        </is>
      </c>
    </row>
    <row r="16">
      <c r="A16" t="inlineStr">
        <is>
          <t>Day 1</t>
        </is>
      </c>
      <c r="B16" s="17" t="n">
        <v>408</v>
      </c>
      <c r="D16" s="16">
        <f>IF(B16="","",(B16-$B$7)/$B$9)</f>
        <v/>
      </c>
      <c r="E16" s="16">
        <f>IF(B16="","",MAX(0,D16-$B$5+0))</f>
        <v/>
      </c>
      <c r="F16" s="16">
        <f>IF(B16="","",MAX(0,-D16-$B$5+0))</f>
        <v/>
      </c>
      <c r="G16" s="16">
        <f>IF(B16="","",$B$6)</f>
        <v/>
      </c>
      <c r="H16" s="16">
        <f>IF(B16="","",-$B$6)</f>
        <v/>
      </c>
      <c r="I16" s="18">
        <f>IF(E16="","",IF(E16&gt;$B$6,"SHIFT UP confirmed",IF(F16&gt;$B$6,"SHIFT DOWN confirmed","")))</f>
        <v/>
      </c>
      <c r="AD16" s="19">
        <f>IF($E16="",NA(),IF(OR($E16&gt;$B$6,$F16&gt;$B$6),MAX($E16,$F16),NA()))</f>
        <v/>
      </c>
    </row>
    <row r="17">
      <c r="A17" t="inlineStr">
        <is>
          <t>Day 2</t>
        </is>
      </c>
      <c r="B17" s="20" t="n">
        <v>415</v>
      </c>
      <c r="C17" s="16">
        <f>IF(COUNT(B16:B17)=2,ABS(B17-B16),"")</f>
        <v/>
      </c>
      <c r="D17" s="16">
        <f>IF(B17="","",(B17-$B$7)/$B$9)</f>
        <v/>
      </c>
      <c r="E17" s="16">
        <f>IF(B17="","",MAX(0,D17-$B$5+E16))</f>
        <v/>
      </c>
      <c r="F17" s="16">
        <f>IF(B17="","",MAX(0,-D17-$B$5+F16))</f>
        <v/>
      </c>
      <c r="G17" s="16">
        <f>IF(B17="","",$B$6)</f>
        <v/>
      </c>
      <c r="H17" s="16">
        <f>IF(B17="","",-$B$6)</f>
        <v/>
      </c>
      <c r="I17" s="18">
        <f>IF(E17="","",IF(E17&gt;$B$6,"SHIFT UP confirmed",IF(F17&gt;$B$6,"SHIFT DOWN confirmed","")))</f>
        <v/>
      </c>
      <c r="AD17" s="19">
        <f>IF($E17="",NA(),IF(OR($E17&gt;$B$6,$F17&gt;$B$6),MAX($E17,$F17),NA()))</f>
        <v/>
      </c>
    </row>
    <row r="18">
      <c r="A18" t="inlineStr">
        <is>
          <t>Day 3</t>
        </is>
      </c>
      <c r="B18" s="20" t="n">
        <v>402</v>
      </c>
      <c r="C18" s="16">
        <f>IF(COUNT(B17:B18)=2,ABS(B18-B17),"")</f>
        <v/>
      </c>
      <c r="D18" s="16">
        <f>IF(B18="","",(B18-$B$7)/$B$9)</f>
        <v/>
      </c>
      <c r="E18" s="16">
        <f>IF(B18="","",MAX(0,D18-$B$5+E17))</f>
        <v/>
      </c>
      <c r="F18" s="16">
        <f>IF(B18="","",MAX(0,-D18-$B$5+F17))</f>
        <v/>
      </c>
      <c r="G18" s="16">
        <f>IF(B18="","",$B$6)</f>
        <v/>
      </c>
      <c r="H18" s="16">
        <f>IF(B18="","",-$B$6)</f>
        <v/>
      </c>
      <c r="I18" s="18">
        <f>IF(E18="","",IF(E18&gt;$B$6,"SHIFT UP confirmed",IF(F18&gt;$B$6,"SHIFT DOWN confirmed","")))</f>
        <v/>
      </c>
      <c r="AD18" s="19">
        <f>IF($E18="",NA(),IF(OR($E18&gt;$B$6,$F18&gt;$B$6),MAX($E18,$F18),NA()))</f>
        <v/>
      </c>
    </row>
    <row r="19">
      <c r="A19" t="inlineStr">
        <is>
          <t>Day 4</t>
        </is>
      </c>
      <c r="B19" s="20" t="n">
        <v>431</v>
      </c>
      <c r="C19" s="16">
        <f>IF(COUNT(B18:B19)=2,ABS(B19-B18),"")</f>
        <v/>
      </c>
      <c r="D19" s="16">
        <f>IF(B19="","",(B19-$B$7)/$B$9)</f>
        <v/>
      </c>
      <c r="E19" s="16">
        <f>IF(B19="","",MAX(0,D19-$B$5+E18))</f>
        <v/>
      </c>
      <c r="F19" s="16">
        <f>IF(B19="","",MAX(0,-D19-$B$5+F18))</f>
        <v/>
      </c>
      <c r="G19" s="16">
        <f>IF(B19="","",$B$6)</f>
        <v/>
      </c>
      <c r="H19" s="16">
        <f>IF(B19="","",-$B$6)</f>
        <v/>
      </c>
      <c r="I19" s="18">
        <f>IF(E19="","",IF(E19&gt;$B$6,"SHIFT UP confirmed",IF(F19&gt;$B$6,"SHIFT DOWN confirmed","")))</f>
        <v/>
      </c>
      <c r="AD19" s="19">
        <f>IF($E19="",NA(),IF(OR($E19&gt;$B$6,$F19&gt;$B$6),MAX($E19,$F19),NA()))</f>
        <v/>
      </c>
    </row>
    <row r="20">
      <c r="A20" t="inlineStr">
        <is>
          <t>Day 5</t>
        </is>
      </c>
      <c r="B20" s="20" t="n">
        <v>419</v>
      </c>
      <c r="C20" s="16">
        <f>IF(COUNT(B19:B20)=2,ABS(B20-B19),"")</f>
        <v/>
      </c>
      <c r="D20" s="16">
        <f>IF(B20="","",(B20-$B$7)/$B$9)</f>
        <v/>
      </c>
      <c r="E20" s="16">
        <f>IF(B20="","",MAX(0,D20-$B$5+E19))</f>
        <v/>
      </c>
      <c r="F20" s="16">
        <f>IF(B20="","",MAX(0,-D20-$B$5+F19))</f>
        <v/>
      </c>
      <c r="G20" s="16">
        <f>IF(B20="","",$B$6)</f>
        <v/>
      </c>
      <c r="H20" s="16">
        <f>IF(B20="","",-$B$6)</f>
        <v/>
      </c>
      <c r="I20" s="18">
        <f>IF(E20="","",IF(E20&gt;$B$6,"SHIFT UP confirmed",IF(F20&gt;$B$6,"SHIFT DOWN confirmed","")))</f>
        <v/>
      </c>
      <c r="AD20" s="19">
        <f>IF($E20="",NA(),IF(OR($E20&gt;$B$6,$F20&gt;$B$6),MAX($E20,$F20),NA()))</f>
        <v/>
      </c>
    </row>
    <row r="21">
      <c r="A21" t="inlineStr">
        <is>
          <t>Day 6</t>
        </is>
      </c>
      <c r="B21" s="20" t="n">
        <v>396</v>
      </c>
      <c r="C21" s="16">
        <f>IF(COUNT(B20:B21)=2,ABS(B21-B20),"")</f>
        <v/>
      </c>
      <c r="D21" s="16">
        <f>IF(B21="","",(B21-$B$7)/$B$9)</f>
        <v/>
      </c>
      <c r="E21" s="16">
        <f>IF(B21="","",MAX(0,D21-$B$5+E20))</f>
        <v/>
      </c>
      <c r="F21" s="16">
        <f>IF(B21="","",MAX(0,-D21-$B$5+F20))</f>
        <v/>
      </c>
      <c r="G21" s="16">
        <f>IF(B21="","",$B$6)</f>
        <v/>
      </c>
      <c r="H21" s="16">
        <f>IF(B21="","",-$B$6)</f>
        <v/>
      </c>
      <c r="I21" s="18">
        <f>IF(E21="","",IF(E21&gt;$B$6,"SHIFT UP confirmed",IF(F21&gt;$B$6,"SHIFT DOWN confirmed","")))</f>
        <v/>
      </c>
      <c r="AD21" s="19">
        <f>IF($E21="",NA(),IF(OR($E21&gt;$B$6,$F21&gt;$B$6),MAX($E21,$F21),NA()))</f>
        <v/>
      </c>
    </row>
    <row r="22">
      <c r="A22" t="inlineStr">
        <is>
          <t>Day 7</t>
        </is>
      </c>
      <c r="B22" s="20" t="n">
        <v>424</v>
      </c>
      <c r="C22" s="16">
        <f>IF(COUNT(B21:B22)=2,ABS(B22-B21),"")</f>
        <v/>
      </c>
      <c r="D22" s="16">
        <f>IF(B22="","",(B22-$B$7)/$B$9)</f>
        <v/>
      </c>
      <c r="E22" s="16">
        <f>IF(B22="","",MAX(0,D22-$B$5+E21))</f>
        <v/>
      </c>
      <c r="F22" s="16">
        <f>IF(B22="","",MAX(0,-D22-$B$5+F21))</f>
        <v/>
      </c>
      <c r="G22" s="16">
        <f>IF(B22="","",$B$6)</f>
        <v/>
      </c>
      <c r="H22" s="16">
        <f>IF(B22="","",-$B$6)</f>
        <v/>
      </c>
      <c r="I22" s="18">
        <f>IF(E22="","",IF(E22&gt;$B$6,"SHIFT UP confirmed",IF(F22&gt;$B$6,"SHIFT DOWN confirmed","")))</f>
        <v/>
      </c>
      <c r="AD22" s="19">
        <f>IF($E22="",NA(),IF(OR($E22&gt;$B$6,$F22&gt;$B$6),MAX($E22,$F22),NA()))</f>
        <v/>
      </c>
    </row>
    <row r="23">
      <c r="A23" t="inlineStr">
        <is>
          <t>Day 8</t>
        </is>
      </c>
      <c r="B23" s="20" t="n">
        <v>410</v>
      </c>
      <c r="C23" s="16">
        <f>IF(COUNT(B22:B23)=2,ABS(B23-B22),"")</f>
        <v/>
      </c>
      <c r="D23" s="16">
        <f>IF(B23="","",(B23-$B$7)/$B$9)</f>
        <v/>
      </c>
      <c r="E23" s="16">
        <f>IF(B23="","",MAX(0,D23-$B$5+E22))</f>
        <v/>
      </c>
      <c r="F23" s="16">
        <f>IF(B23="","",MAX(0,-D23-$B$5+F22))</f>
        <v/>
      </c>
      <c r="G23" s="16">
        <f>IF(B23="","",$B$6)</f>
        <v/>
      </c>
      <c r="H23" s="16">
        <f>IF(B23="","",-$B$6)</f>
        <v/>
      </c>
      <c r="I23" s="18">
        <f>IF(E23="","",IF(E23&gt;$B$6,"SHIFT UP confirmed",IF(F23&gt;$B$6,"SHIFT DOWN confirmed","")))</f>
        <v/>
      </c>
      <c r="AD23" s="19">
        <f>IF($E23="",NA(),IF(OR($E23&gt;$B$6,$F23&gt;$B$6),MAX($E23,$F23),NA()))</f>
        <v/>
      </c>
    </row>
    <row r="24">
      <c r="A24" t="inlineStr">
        <is>
          <t>Day 9</t>
        </is>
      </c>
      <c r="B24" s="20" t="n">
        <v>438</v>
      </c>
      <c r="C24" s="16">
        <f>IF(COUNT(B23:B24)=2,ABS(B24-B23),"")</f>
        <v/>
      </c>
      <c r="D24" s="16">
        <f>IF(B24="","",(B24-$B$7)/$B$9)</f>
        <v/>
      </c>
      <c r="E24" s="16">
        <f>IF(B24="","",MAX(0,D24-$B$5+E23))</f>
        <v/>
      </c>
      <c r="F24" s="16">
        <f>IF(B24="","",MAX(0,-D24-$B$5+F23))</f>
        <v/>
      </c>
      <c r="G24" s="16">
        <f>IF(B24="","",$B$6)</f>
        <v/>
      </c>
      <c r="H24" s="16">
        <f>IF(B24="","",-$B$6)</f>
        <v/>
      </c>
      <c r="I24" s="18">
        <f>IF(E24="","",IF(E24&gt;$B$6,"SHIFT UP confirmed",IF(F24&gt;$B$6,"SHIFT DOWN confirmed","")))</f>
        <v/>
      </c>
      <c r="AD24" s="19">
        <f>IF($E24="",NA(),IF(OR($E24&gt;$B$6,$F24&gt;$B$6),MAX($E24,$F24),NA()))</f>
        <v/>
      </c>
    </row>
    <row r="25">
      <c r="A25" t="inlineStr">
        <is>
          <t>Day 10</t>
        </is>
      </c>
      <c r="B25" s="20" t="n">
        <v>405</v>
      </c>
      <c r="C25" s="16">
        <f>IF(COUNT(B24:B25)=2,ABS(B25-B24),"")</f>
        <v/>
      </c>
      <c r="D25" s="16">
        <f>IF(B25="","",(B25-$B$7)/$B$9)</f>
        <v/>
      </c>
      <c r="E25" s="16">
        <f>IF(B25="","",MAX(0,D25-$B$5+E24))</f>
        <v/>
      </c>
      <c r="F25" s="16">
        <f>IF(B25="","",MAX(0,-D25-$B$5+F24))</f>
        <v/>
      </c>
      <c r="G25" s="16">
        <f>IF(B25="","",$B$6)</f>
        <v/>
      </c>
      <c r="H25" s="16">
        <f>IF(B25="","",-$B$6)</f>
        <v/>
      </c>
      <c r="I25" s="18">
        <f>IF(E25="","",IF(E25&gt;$B$6,"SHIFT UP confirmed",IF(F25&gt;$B$6,"SHIFT DOWN confirmed","")))</f>
        <v/>
      </c>
      <c r="AD25" s="19">
        <f>IF($E25="",NA(),IF(OR($E25&gt;$B$6,$F25&gt;$B$6),MAX($E25,$F25),NA()))</f>
        <v/>
      </c>
    </row>
    <row r="26">
      <c r="A26" t="inlineStr">
        <is>
          <t>Day 11</t>
        </is>
      </c>
      <c r="B26" s="20" t="n">
        <v>417</v>
      </c>
      <c r="C26" s="16">
        <f>IF(COUNT(B25:B26)=2,ABS(B26-B25),"")</f>
        <v/>
      </c>
      <c r="D26" s="16">
        <f>IF(B26="","",(B26-$B$7)/$B$9)</f>
        <v/>
      </c>
      <c r="E26" s="16">
        <f>IF(B26="","",MAX(0,D26-$B$5+E25))</f>
        <v/>
      </c>
      <c r="F26" s="16">
        <f>IF(B26="","",MAX(0,-D26-$B$5+F25))</f>
        <v/>
      </c>
      <c r="G26" s="16">
        <f>IF(B26="","",$B$6)</f>
        <v/>
      </c>
      <c r="H26" s="16">
        <f>IF(B26="","",-$B$6)</f>
        <v/>
      </c>
      <c r="I26" s="18">
        <f>IF(E26="","",IF(E26&gt;$B$6,"SHIFT UP confirmed",IF(F26&gt;$B$6,"SHIFT DOWN confirmed","")))</f>
        <v/>
      </c>
      <c r="AD26" s="19">
        <f>IF($E26="",NA(),IF(OR($E26&gt;$B$6,$F26&gt;$B$6),MAX($E26,$F26),NA()))</f>
        <v/>
      </c>
    </row>
    <row r="27">
      <c r="A27" t="inlineStr">
        <is>
          <t>Day 12</t>
        </is>
      </c>
      <c r="B27" s="20" t="n">
        <v>429</v>
      </c>
      <c r="C27" s="16">
        <f>IF(COUNT(B26:B27)=2,ABS(B27-B26),"")</f>
        <v/>
      </c>
      <c r="D27" s="16">
        <f>IF(B27="","",(B27-$B$7)/$B$9)</f>
        <v/>
      </c>
      <c r="E27" s="16">
        <f>IF(B27="","",MAX(0,D27-$B$5+E26))</f>
        <v/>
      </c>
      <c r="F27" s="16">
        <f>IF(B27="","",MAX(0,-D27-$B$5+F26))</f>
        <v/>
      </c>
      <c r="G27" s="16">
        <f>IF(B27="","",$B$6)</f>
        <v/>
      </c>
      <c r="H27" s="16">
        <f>IF(B27="","",-$B$6)</f>
        <v/>
      </c>
      <c r="I27" s="18">
        <f>IF(E27="","",IF(E27&gt;$B$6,"SHIFT UP confirmed",IF(F27&gt;$B$6,"SHIFT DOWN confirmed","")))</f>
        <v/>
      </c>
      <c r="AD27" s="19">
        <f>IF($E27="",NA(),IF(OR($E27&gt;$B$6,$F27&gt;$B$6),MAX($E27,$F27),NA()))</f>
        <v/>
      </c>
    </row>
    <row r="28">
      <c r="A28" t="inlineStr">
        <is>
          <t>Day 13</t>
        </is>
      </c>
      <c r="B28" s="20" t="n">
        <v>452</v>
      </c>
      <c r="C28" s="16">
        <f>IF(COUNT(B27:B28)=2,ABS(B28-B27),"")</f>
        <v/>
      </c>
      <c r="D28" s="16">
        <f>IF(B28="","",(B28-$B$7)/$B$9)</f>
        <v/>
      </c>
      <c r="E28" s="16">
        <f>IF(B28="","",MAX(0,D28-$B$5+E27))</f>
        <v/>
      </c>
      <c r="F28" s="16">
        <f>IF(B28="","",MAX(0,-D28-$B$5+F27))</f>
        <v/>
      </c>
      <c r="G28" s="16">
        <f>IF(B28="","",$B$6)</f>
        <v/>
      </c>
      <c r="H28" s="16">
        <f>IF(B28="","",-$B$6)</f>
        <v/>
      </c>
      <c r="I28" s="18">
        <f>IF(E28="","",IF(E28&gt;$B$6,"SHIFT UP confirmed",IF(F28&gt;$B$6,"SHIFT DOWN confirmed","")))</f>
        <v/>
      </c>
      <c r="AD28" s="19">
        <f>IF($E28="",NA(),IF(OR($E28&gt;$B$6,$F28&gt;$B$6),MAX($E28,$F28),NA()))</f>
        <v/>
      </c>
    </row>
    <row r="29">
      <c r="A29" t="inlineStr">
        <is>
          <t>Day 14</t>
        </is>
      </c>
      <c r="B29" s="20" t="n">
        <v>461</v>
      </c>
      <c r="C29" s="16">
        <f>IF(COUNT(B28:B29)=2,ABS(B29-B28),"")</f>
        <v/>
      </c>
      <c r="D29" s="16">
        <f>IF(B29="","",(B29-$B$7)/$B$9)</f>
        <v/>
      </c>
      <c r="E29" s="16">
        <f>IF(B29="","",MAX(0,D29-$B$5+E28))</f>
        <v/>
      </c>
      <c r="F29" s="16">
        <f>IF(B29="","",MAX(0,-D29-$B$5+F28))</f>
        <v/>
      </c>
      <c r="G29" s="16">
        <f>IF(B29="","",$B$6)</f>
        <v/>
      </c>
      <c r="H29" s="16">
        <f>IF(B29="","",-$B$6)</f>
        <v/>
      </c>
      <c r="I29" s="18">
        <f>IF(E29="","",IF(E29&gt;$B$6,"SHIFT UP confirmed",IF(F29&gt;$B$6,"SHIFT DOWN confirmed","")))</f>
        <v/>
      </c>
      <c r="AD29" s="19">
        <f>IF($E29="",NA(),IF(OR($E29&gt;$B$6,$F29&gt;$B$6),MAX($E29,$F29),NA()))</f>
        <v/>
      </c>
    </row>
    <row r="30">
      <c r="A30" t="inlineStr">
        <is>
          <t>Day 15</t>
        </is>
      </c>
      <c r="B30" s="20" t="n">
        <v>448</v>
      </c>
      <c r="C30" s="16">
        <f>IF(COUNT(B29:B30)=2,ABS(B30-B29),"")</f>
        <v/>
      </c>
      <c r="D30" s="16">
        <f>IF(B30="","",(B30-$B$7)/$B$9)</f>
        <v/>
      </c>
      <c r="E30" s="16">
        <f>IF(B30="","",MAX(0,D30-$B$5+E29))</f>
        <v/>
      </c>
      <c r="F30" s="16">
        <f>IF(B30="","",MAX(0,-D30-$B$5+F29))</f>
        <v/>
      </c>
      <c r="G30" s="16">
        <f>IF(B30="","",$B$6)</f>
        <v/>
      </c>
      <c r="H30" s="16">
        <f>IF(B30="","",-$B$6)</f>
        <v/>
      </c>
      <c r="I30" s="18">
        <f>IF(E30="","",IF(E30&gt;$B$6,"SHIFT UP confirmed",IF(F30&gt;$B$6,"SHIFT DOWN confirmed","")))</f>
        <v/>
      </c>
      <c r="AD30" s="19">
        <f>IF($E30="",NA(),IF(OR($E30&gt;$B$6,$F30&gt;$B$6),MAX($E30,$F30),NA()))</f>
        <v/>
      </c>
    </row>
    <row r="31">
      <c r="A31" t="inlineStr">
        <is>
          <t>Day 16</t>
        </is>
      </c>
      <c r="B31" s="20" t="n">
        <v>470</v>
      </c>
      <c r="C31" s="16">
        <f>IF(COUNT(B30:B31)=2,ABS(B31-B30),"")</f>
        <v/>
      </c>
      <c r="D31" s="16">
        <f>IF(B31="","",(B31-$B$7)/$B$9)</f>
        <v/>
      </c>
      <c r="E31" s="16">
        <f>IF(B31="","",MAX(0,D31-$B$5+E30))</f>
        <v/>
      </c>
      <c r="F31" s="16">
        <f>IF(B31="","",MAX(0,-D31-$B$5+F30))</f>
        <v/>
      </c>
      <c r="G31" s="16">
        <f>IF(B31="","",$B$6)</f>
        <v/>
      </c>
      <c r="H31" s="16">
        <f>IF(B31="","",-$B$6)</f>
        <v/>
      </c>
      <c r="I31" s="18">
        <f>IF(E31="","",IF(E31&gt;$B$6,"SHIFT UP confirmed",IF(F31&gt;$B$6,"SHIFT DOWN confirmed","")))</f>
        <v/>
      </c>
      <c r="AD31" s="19">
        <f>IF($E31="",NA(),IF(OR($E31&gt;$B$6,$F31&gt;$B$6),MAX($E31,$F31),NA()))</f>
        <v/>
      </c>
    </row>
    <row r="32">
      <c r="A32" t="inlineStr">
        <is>
          <t>Day 17</t>
        </is>
      </c>
      <c r="B32" s="20" t="n">
        <v>457</v>
      </c>
      <c r="C32" s="16">
        <f>IF(COUNT(B31:B32)=2,ABS(B32-B31),"")</f>
        <v/>
      </c>
      <c r="D32" s="16">
        <f>IF(B32="","",(B32-$B$7)/$B$9)</f>
        <v/>
      </c>
      <c r="E32" s="16">
        <f>IF(B32="","",MAX(0,D32-$B$5+E31))</f>
        <v/>
      </c>
      <c r="F32" s="16">
        <f>IF(B32="","",MAX(0,-D32-$B$5+F31))</f>
        <v/>
      </c>
      <c r="G32" s="16">
        <f>IF(B32="","",$B$6)</f>
        <v/>
      </c>
      <c r="H32" s="16">
        <f>IF(B32="","",-$B$6)</f>
        <v/>
      </c>
      <c r="I32" s="18">
        <f>IF(E32="","",IF(E32&gt;$B$6,"SHIFT UP confirmed",IF(F32&gt;$B$6,"SHIFT DOWN confirmed","")))</f>
        <v/>
      </c>
      <c r="AD32" s="19">
        <f>IF($E32="",NA(),IF(OR($E32&gt;$B$6,$F32&gt;$B$6),MAX($E32,$F32),NA()))</f>
        <v/>
      </c>
    </row>
    <row r="33">
      <c r="A33" t="inlineStr">
        <is>
          <t>Day 18</t>
        </is>
      </c>
      <c r="B33" s="20" t="n">
        <v>466</v>
      </c>
      <c r="C33" s="16">
        <f>IF(COUNT(B32:B33)=2,ABS(B33-B32),"")</f>
        <v/>
      </c>
      <c r="D33" s="16">
        <f>IF(B33="","",(B33-$B$7)/$B$9)</f>
        <v/>
      </c>
      <c r="E33" s="16">
        <f>IF(B33="","",MAX(0,D33-$B$5+E32))</f>
        <v/>
      </c>
      <c r="F33" s="16">
        <f>IF(B33="","",MAX(0,-D33-$B$5+F32))</f>
        <v/>
      </c>
      <c r="G33" s="16">
        <f>IF(B33="","",$B$6)</f>
        <v/>
      </c>
      <c r="H33" s="16">
        <f>IF(B33="","",-$B$6)</f>
        <v/>
      </c>
      <c r="I33" s="18">
        <f>IF(E33="","",IF(E33&gt;$B$6,"SHIFT UP confirmed",IF(F33&gt;$B$6,"SHIFT DOWN confirmed","")))</f>
        <v/>
      </c>
      <c r="AD33" s="19">
        <f>IF($E33="",NA(),IF(OR($E33&gt;$B$6,$F33&gt;$B$6),MAX($E33,$F33),NA()))</f>
        <v/>
      </c>
    </row>
    <row r="34">
      <c r="A34" t="inlineStr">
        <is>
          <t>Day 19</t>
        </is>
      </c>
      <c r="B34" s="20" t="n">
        <v>449</v>
      </c>
      <c r="C34" s="16">
        <f>IF(COUNT(B33:B34)=2,ABS(B34-B33),"")</f>
        <v/>
      </c>
      <c r="D34" s="16">
        <f>IF(B34="","",(B34-$B$7)/$B$9)</f>
        <v/>
      </c>
      <c r="E34" s="16">
        <f>IF(B34="","",MAX(0,D34-$B$5+E33))</f>
        <v/>
      </c>
      <c r="F34" s="16">
        <f>IF(B34="","",MAX(0,-D34-$B$5+F33))</f>
        <v/>
      </c>
      <c r="G34" s="16">
        <f>IF(B34="","",$B$6)</f>
        <v/>
      </c>
      <c r="H34" s="16">
        <f>IF(B34="","",-$B$6)</f>
        <v/>
      </c>
      <c r="I34" s="18">
        <f>IF(E34="","",IF(E34&gt;$B$6,"SHIFT UP confirmed",IF(F34&gt;$B$6,"SHIFT DOWN confirmed","")))</f>
        <v/>
      </c>
      <c r="AD34" s="19">
        <f>IF($E34="",NA(),IF(OR($E34&gt;$B$6,$F34&gt;$B$6),MAX($E34,$F34),NA()))</f>
        <v/>
      </c>
    </row>
    <row r="35">
      <c r="A35" t="inlineStr">
        <is>
          <t>Day 20</t>
        </is>
      </c>
      <c r="B35" s="20" t="n">
        <v>463</v>
      </c>
      <c r="C35" s="16">
        <f>IF(COUNT(B34:B35)=2,ABS(B35-B34),"")</f>
        <v/>
      </c>
      <c r="D35" s="16">
        <f>IF(B35="","",(B35-$B$7)/$B$9)</f>
        <v/>
      </c>
      <c r="E35" s="16">
        <f>IF(B35="","",MAX(0,D35-$B$5+E34))</f>
        <v/>
      </c>
      <c r="F35" s="16">
        <f>IF(B35="","",MAX(0,-D35-$B$5+F34))</f>
        <v/>
      </c>
      <c r="G35" s="16">
        <f>IF(B35="","",$B$6)</f>
        <v/>
      </c>
      <c r="H35" s="16">
        <f>IF(B35="","",-$B$6)</f>
        <v/>
      </c>
      <c r="I35" s="18">
        <f>IF(E35="","",IF(E35&gt;$B$6,"SHIFT UP confirmed",IF(F35&gt;$B$6,"SHIFT DOWN confirmed","")))</f>
        <v/>
      </c>
      <c r="AD35" s="19">
        <f>IF($E35="",NA(),IF(OR($E35&gt;$B$6,$F35&gt;$B$6),MAX($E35,$F35),NA()))</f>
        <v/>
      </c>
    </row>
    <row r="36">
      <c r="A36" t="inlineStr">
        <is>
          <t>Day 21</t>
        </is>
      </c>
      <c r="B36" s="20" t="n">
        <v>471</v>
      </c>
      <c r="C36" s="16">
        <f>IF(COUNT(B35:B36)=2,ABS(B36-B35),"")</f>
        <v/>
      </c>
      <c r="D36" s="16">
        <f>IF(B36="","",(B36-$B$7)/$B$9)</f>
        <v/>
      </c>
      <c r="E36" s="16">
        <f>IF(B36="","",MAX(0,D36-$B$5+E35))</f>
        <v/>
      </c>
      <c r="F36" s="16">
        <f>IF(B36="","",MAX(0,-D36-$B$5+F35))</f>
        <v/>
      </c>
      <c r="G36" s="16">
        <f>IF(B36="","",$B$6)</f>
        <v/>
      </c>
      <c r="H36" s="16">
        <f>IF(B36="","",-$B$6)</f>
        <v/>
      </c>
      <c r="I36" s="18">
        <f>IF(E36="","",IF(E36&gt;$B$6,"SHIFT UP confirmed",IF(F36&gt;$B$6,"SHIFT DOWN confirmed","")))</f>
        <v/>
      </c>
      <c r="AD36" s="19">
        <f>IF($E36="",NA(),IF(OR($E36&gt;$B$6,$F36&gt;$B$6),MAX($E36,$F36),NA()))</f>
        <v/>
      </c>
    </row>
    <row r="37">
      <c r="A37" t="inlineStr">
        <is>
          <t>Day 22</t>
        </is>
      </c>
      <c r="B37" s="20" t="n">
        <v>455</v>
      </c>
      <c r="C37" s="16">
        <f>IF(COUNT(B36:B37)=2,ABS(B37-B36),"")</f>
        <v/>
      </c>
      <c r="D37" s="16">
        <f>IF(B37="","",(B37-$B$7)/$B$9)</f>
        <v/>
      </c>
      <c r="E37" s="16">
        <f>IF(B37="","",MAX(0,D37-$B$5+E36))</f>
        <v/>
      </c>
      <c r="F37" s="16">
        <f>IF(B37="","",MAX(0,-D37-$B$5+F36))</f>
        <v/>
      </c>
      <c r="G37" s="16">
        <f>IF(B37="","",$B$6)</f>
        <v/>
      </c>
      <c r="H37" s="16">
        <f>IF(B37="","",-$B$6)</f>
        <v/>
      </c>
      <c r="I37" s="18">
        <f>IF(E37="","",IF(E37&gt;$B$6,"SHIFT UP confirmed",IF(F37&gt;$B$6,"SHIFT DOWN confirmed","")))</f>
        <v/>
      </c>
      <c r="AD37" s="19">
        <f>IF($E37="",NA(),IF(OR($E37&gt;$B$6,$F37&gt;$B$6),MAX($E37,$F37),NA()))</f>
        <v/>
      </c>
    </row>
    <row r="38">
      <c r="A38" t="inlineStr">
        <is>
          <t>Day 23</t>
        </is>
      </c>
      <c r="B38" s="20" t="n">
        <v>468</v>
      </c>
      <c r="C38" s="16">
        <f>IF(COUNT(B37:B38)=2,ABS(B38-B37),"")</f>
        <v/>
      </c>
      <c r="D38" s="16">
        <f>IF(B38="","",(B38-$B$7)/$B$9)</f>
        <v/>
      </c>
      <c r="E38" s="16">
        <f>IF(B38="","",MAX(0,D38-$B$5+E37))</f>
        <v/>
      </c>
      <c r="F38" s="16">
        <f>IF(B38="","",MAX(0,-D38-$B$5+F37))</f>
        <v/>
      </c>
      <c r="G38" s="16">
        <f>IF(B38="","",$B$6)</f>
        <v/>
      </c>
      <c r="H38" s="16">
        <f>IF(B38="","",-$B$6)</f>
        <v/>
      </c>
      <c r="I38" s="18">
        <f>IF(E38="","",IF(E38&gt;$B$6,"SHIFT UP confirmed",IF(F38&gt;$B$6,"SHIFT DOWN confirmed","")))</f>
        <v/>
      </c>
      <c r="AD38" s="19">
        <f>IF($E38="",NA(),IF(OR($E38&gt;$B$6,$F38&gt;$B$6),MAX($E38,$F38),NA()))</f>
        <v/>
      </c>
    </row>
    <row r="39">
      <c r="A39" t="inlineStr">
        <is>
          <t>Day 24</t>
        </is>
      </c>
      <c r="B39" s="20" t="n">
        <v>460</v>
      </c>
      <c r="C39" s="16">
        <f>IF(COUNT(B38:B39)=2,ABS(B39-B38),"")</f>
        <v/>
      </c>
      <c r="D39" s="16">
        <f>IF(B39="","",(B39-$B$7)/$B$9)</f>
        <v/>
      </c>
      <c r="E39" s="16">
        <f>IF(B39="","",MAX(0,D39-$B$5+E38))</f>
        <v/>
      </c>
      <c r="F39" s="16">
        <f>IF(B39="","",MAX(0,-D39-$B$5+F38))</f>
        <v/>
      </c>
      <c r="G39" s="16">
        <f>IF(B39="","",$B$6)</f>
        <v/>
      </c>
      <c r="H39" s="16">
        <f>IF(B39="","",-$B$6)</f>
        <v/>
      </c>
      <c r="I39" s="18">
        <f>IF(E39="","",IF(E39&gt;$B$6,"SHIFT UP confirmed",IF(F39&gt;$B$6,"SHIFT DOWN confirmed","")))</f>
        <v/>
      </c>
      <c r="AD39" s="19">
        <f>IF($E39="",NA(),IF(OR($E39&gt;$B$6,$F39&gt;$B$6),MAX($E39,$F39),NA()))</f>
        <v/>
      </c>
    </row>
  </sheetData>
  <mergeCells count="8">
    <mergeCell ref="A2:I2"/>
    <mergeCell ref="C8:I8"/>
    <mergeCell ref="A14:I14"/>
    <mergeCell ref="A1:I1"/>
    <mergeCell ref="C6:I6"/>
    <mergeCell ref="C7:I7"/>
    <mergeCell ref="A4:I4"/>
    <mergeCell ref="C5:I5"/>
  </mergeCells>
  <printOptions horizontalCentered="1"/>
  <pageMargins left="0.4" right="0.4" top="0.5" bottom="0.5"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G37"/>
  <sheetViews>
    <sheetView showGridLines="0" workbookViewId="0">
      <pane ySplit="13" topLeftCell="A14" activePane="bottomLeft" state="frozen"/>
      <selection pane="bottomLeft" activeCell="A1" sqref="A1"/>
    </sheetView>
  </sheetViews>
  <sheetFormatPr baseColWidth="8" defaultRowHeight="15"/>
  <cols>
    <col width="32" customWidth="1" min="1" max="1"/>
    <col width="15" customWidth="1" min="2" max="2"/>
    <col width="15" customWidth="1" min="3" max="3"/>
    <col width="13" customWidth="1" min="4" max="4"/>
    <col width="13" customWidth="1" min="5" max="5"/>
    <col width="13" customWidth="1" min="6" max="6"/>
    <col width="13" customWidth="1" min="7" max="7"/>
    <col width="26" customWidth="1" min="8" max="8"/>
    <col width="4" customWidth="1" min="30" max="30"/>
    <col width="4" customWidth="1" min="31" max="31"/>
    <col width="4" customWidth="1" min="32" max="32"/>
    <col width="4" customWidth="1" min="33" max="33"/>
  </cols>
  <sheetData>
    <row r="1" ht="26" customHeight="1">
      <c r="A1" s="3" t="inlineStr">
        <is>
          <t>t-chart and g-chart — for things that almost never happen</t>
        </is>
      </c>
      <c r="B1" s="4" t="n"/>
      <c r="C1" s="4" t="n"/>
      <c r="D1" s="4" t="n"/>
      <c r="E1" s="4" t="n"/>
      <c r="F1" s="4" t="n"/>
      <c r="G1" s="4" t="n"/>
      <c r="H1" s="4" t="n"/>
    </row>
    <row r="2">
      <c r="A2" s="5" t="inlineStr">
        <is>
          <t>Sev-1 outages, compliance misses, security incidents. Charting COUNTS of a rare event gives you a chart of zeros that tells you nothing. Chart the gap BETWEEN events instead — longer gaps mean improvement.</t>
        </is>
      </c>
    </row>
    <row r="3"/>
    <row r="4">
      <c r="A4" s="9" t="inlineStr">
        <is>
          <t>The maths, calculated from your data — nothing here is hard-coded</t>
        </is>
      </c>
      <c r="B4" s="10" t="n"/>
      <c r="C4" s="10" t="n"/>
      <c r="D4" s="10" t="n"/>
      <c r="E4" s="10" t="n"/>
      <c r="F4" s="10" t="n"/>
      <c r="G4" s="10" t="n"/>
      <c r="H4" s="10" t="n"/>
    </row>
    <row r="5" ht="15" customHeight="1">
      <c r="A5" s="12" t="inlineStr">
        <is>
          <t>Events recorded</t>
        </is>
      </c>
      <c r="B5" s="14">
        <f>COUNT(B14:B37)</f>
        <v/>
      </c>
      <c r="C5" s="15" t="inlineStr">
        <is>
          <t>Ten events is a workable minimum.</t>
        </is>
      </c>
    </row>
    <row r="6" ht="45" customHeight="1">
      <c r="A6" s="12" t="inlineStr">
        <is>
          <t>Average days between (t-chart)</t>
        </is>
      </c>
      <c r="B6" s="16">
        <f>AVERAGE(B14:B37)</f>
        <v/>
      </c>
      <c r="C6" s="15" t="inlineStr">
        <is>
          <t>Rising over time is the improvement you want. This is the arithmetic mean and is deliberately NOT the chart's centre line — these gaps are right-skewed, so the mean sits above the middle of the limits.</t>
        </is>
      </c>
    </row>
    <row r="7" ht="30" customHeight="1">
      <c r="A7" s="12" t="inlineStr">
        <is>
          <t>Transformed mean</t>
        </is>
      </c>
      <c r="B7" s="29">
        <f>AVERAGE(C14:C37)</f>
        <v/>
      </c>
      <c r="C7" s="15" t="inlineStr">
        <is>
          <t>Gaps between rare events are exponential, not normal. The 1/3.6 power (Nelson) makes them near-normal so ordinary limits apply.</t>
        </is>
      </c>
    </row>
    <row r="8">
      <c r="A8" s="12" t="inlineStr">
        <is>
          <t>Transformed MR-bar</t>
        </is>
      </c>
      <c r="B8" s="29">
        <f>AVERAGE(D15:D37)</f>
        <v/>
      </c>
    </row>
    <row r="9" ht="15" customHeight="1">
      <c r="A9" s="12" t="inlineStr">
        <is>
          <t>t-chart UCL / LCL (days)</t>
        </is>
      </c>
      <c r="B9" s="23">
        <f>TEXT((B7+2.66*B8)^3.6,"#,##0.0")&amp;"  /  "&amp;TEXT(MAX(0,(B7-2.66*B8))^3.6,"#,##0.0")</f>
        <v/>
      </c>
      <c r="C9" s="15" t="inlineStr">
        <is>
          <t>Limits are computed on the transformed scale and then converted back to days.</t>
        </is>
      </c>
    </row>
    <row r="10" ht="30" customHeight="1">
      <c r="A10" s="12" t="inlineStr">
        <is>
          <t>Average opportunities between (g-chart)</t>
        </is>
      </c>
      <c r="B10" s="16">
        <f>AVERAGE(F14:F37)</f>
        <v/>
      </c>
      <c r="C10" s="15" t="inlineStr">
        <is>
          <t>Use this instead of days when volume swings — 'contacts between misses' beats 'days between misses'.</t>
        </is>
      </c>
    </row>
    <row r="11" ht="15" customHeight="1">
      <c r="A11" s="12" t="inlineStr">
        <is>
          <t>g-chart UCL</t>
        </is>
      </c>
      <c r="B11" s="16">
        <f>B10+3*SQRT(B10*(B10+1))</f>
        <v/>
      </c>
      <c r="C11" s="15" t="inlineStr">
        <is>
          <t>Geometric, so the limits are wide and the lower limit is almost always zero.</t>
        </is>
      </c>
    </row>
    <row r="12">
      <c r="A12" s="9" t="inlineStr">
        <is>
          <t>One row per event, oldest first</t>
        </is>
      </c>
      <c r="B12" s="10" t="n"/>
      <c r="C12" s="10" t="n"/>
      <c r="D12" s="10" t="n"/>
      <c r="E12" s="10" t="n"/>
      <c r="F12" s="10" t="n"/>
      <c r="G12" s="10" t="n"/>
      <c r="H12" s="10" t="n"/>
    </row>
    <row r="13" ht="30" customHeight="1">
      <c r="A13" s="6" t="inlineStr">
        <is>
          <t>Event</t>
        </is>
      </c>
      <c r="B13" s="6" t="inlineStr">
        <is>
          <t>Days since previous</t>
        </is>
      </c>
      <c r="C13" s="6" t="inlineStr">
        <is>
          <t>Transformed</t>
        </is>
      </c>
      <c r="D13" s="6" t="inlineStr">
        <is>
          <t>Moving range</t>
        </is>
      </c>
      <c r="E13" s="6" t="inlineStr">
        <is>
          <t>Transformed CL</t>
        </is>
      </c>
      <c r="F13" s="6" t="inlineStr">
        <is>
          <t>Contacts since previous</t>
        </is>
      </c>
      <c r="G13" s="6" t="inlineStr">
        <is>
          <t>g CL</t>
        </is>
      </c>
      <c r="H13" s="6" t="inlineStr">
        <is>
          <t>Signal</t>
        </is>
      </c>
      <c r="M13" s="5" t="inlineStr">
        <is>
          <t>g UCL</t>
        </is>
      </c>
      <c r="N13" s="5" t="inlineStr">
        <is>
          <t>g median</t>
        </is>
      </c>
      <c r="AD13" s="5" t="inlineStr">
        <is>
          <t>out of control</t>
        </is>
      </c>
      <c r="AE13" s="5" t="inlineStr">
        <is>
          <t>8 in a row one side (transformed)</t>
        </is>
      </c>
      <c r="AF13" s="5" t="inlineStr">
        <is>
          <t>above the g UCL</t>
        </is>
      </c>
      <c r="AG13" s="5" t="inlineStr">
        <is>
          <t>8 in a row above the median</t>
        </is>
      </c>
    </row>
    <row r="14">
      <c r="A14" t="inlineStr">
        <is>
          <t>Incident 1</t>
        </is>
      </c>
      <c r="B14" s="25" t="n">
        <v>14</v>
      </c>
      <c r="C14" s="26">
        <f>IF(B14="","",B14^(1/3.6))</f>
        <v/>
      </c>
      <c r="E14" s="26">
        <f>IF(B14="","",$B$7)</f>
        <v/>
      </c>
      <c r="F14" s="25" t="n">
        <v>12800</v>
      </c>
      <c r="G14" s="34">
        <f>IF(F14="","",$B$10)</f>
        <v/>
      </c>
      <c r="H14" s="18">
        <f>IF(B14="","",IF(C14&gt;$B$7+2.66*$B$8,"Longer gap than expected — improvement",IF(C14&lt;$B$7-2.66*$B$8,"Shorter gap than expected — investigate","")))</f>
        <v/>
      </c>
      <c r="J14" s="35">
        <f>IF(B14="","",($B$7+2.66*$B$8)^3.6)</f>
        <v/>
      </c>
      <c r="K14" s="35">
        <f>IF(B14="","",MAX(0,$B$7-2.66*$B$8)^3.6)</f>
        <v/>
      </c>
      <c r="L14" s="35">
        <f>IF(B14="","",$B$7^3.6)</f>
        <v/>
      </c>
      <c r="M14" s="36">
        <f>IF(F14="","",$B$11)</f>
        <v/>
      </c>
      <c r="N14" s="36">
        <f>IF(F14="","",MEDIAN($F$14:$F$37))</f>
        <v/>
      </c>
      <c r="AD14" s="19">
        <f>IF($B14="",NA(),IF(OR($C14&gt;$B$7+2.66*$B$8,$C14&lt;$B$7-2.66*$B$8),$B14,NA()))</f>
        <v/>
      </c>
      <c r="AE14" s="19">
        <f>NA()</f>
        <v/>
      </c>
      <c r="AF14" s="19">
        <f>IF($F14="",NA(),IF($F14&gt;$M14,$F14,NA()))</f>
        <v/>
      </c>
      <c r="AG14" s="19">
        <f>NA()</f>
        <v/>
      </c>
    </row>
    <row r="15">
      <c r="A15" t="inlineStr">
        <is>
          <t>Incident 2</t>
        </is>
      </c>
      <c r="B15" s="28" t="n">
        <v>9</v>
      </c>
      <c r="C15" s="26">
        <f>IF(B15="","",B15^(1/3.6))</f>
        <v/>
      </c>
      <c r="D15" s="26">
        <f>IF(COUNT(C14:C15)=2,ABS(C15-C14),"")</f>
        <v/>
      </c>
      <c r="E15" s="26">
        <f>IF(B15="","",$B$7)</f>
        <v/>
      </c>
      <c r="F15" s="28" t="n">
        <v>8400</v>
      </c>
      <c r="G15" s="34">
        <f>IF(F15="","",$B$10)</f>
        <v/>
      </c>
      <c r="H15" s="18">
        <f>IF(B15="","",IF(C15&gt;$B$7+2.66*$B$8,"Longer gap than expected — improvement",IF(C15&lt;$B$7-2.66*$B$8,"Shorter gap than expected — investigate","")))</f>
        <v/>
      </c>
      <c r="J15" s="35">
        <f>IF(B15="","",($B$7+2.66*$B$8)^3.6)</f>
        <v/>
      </c>
      <c r="K15" s="35">
        <f>IF(B15="","",MAX(0,$B$7-2.66*$B$8)^3.6)</f>
        <v/>
      </c>
      <c r="L15" s="35">
        <f>IF(B15="","",$B$7^3.6)</f>
        <v/>
      </c>
      <c r="M15" s="36">
        <f>IF(F15="","",$B$11)</f>
        <v/>
      </c>
      <c r="N15" s="36">
        <f>IF(F15="","",MEDIAN($F$14:$F$37))</f>
        <v/>
      </c>
      <c r="AD15" s="19">
        <f>IF($B15="",NA(),IF(OR($C15&gt;$B$7+2.66*$B$8,$C15&lt;$B$7-2.66*$B$8),$B15,NA()))</f>
        <v/>
      </c>
      <c r="AE15" s="19">
        <f>NA()</f>
        <v/>
      </c>
      <c r="AF15" s="19">
        <f>IF($F15="",NA(),IF($F15&gt;$M15,$F15,NA()))</f>
        <v/>
      </c>
      <c r="AG15" s="19">
        <f>NA()</f>
        <v/>
      </c>
    </row>
    <row r="16">
      <c r="A16" t="inlineStr">
        <is>
          <t>Incident 3</t>
        </is>
      </c>
      <c r="B16" s="28" t="n">
        <v>22</v>
      </c>
      <c r="C16" s="26">
        <f>IF(B16="","",B16^(1/3.6))</f>
        <v/>
      </c>
      <c r="D16" s="26">
        <f>IF(COUNT(C15:C16)=2,ABS(C16-C15),"")</f>
        <v/>
      </c>
      <c r="E16" s="26">
        <f>IF(B16="","",$B$7)</f>
        <v/>
      </c>
      <c r="F16" s="28" t="n">
        <v>21600</v>
      </c>
      <c r="G16" s="34">
        <f>IF(F16="","",$B$10)</f>
        <v/>
      </c>
      <c r="H16" s="18">
        <f>IF(B16="","",IF(C16&gt;$B$7+2.66*$B$8,"Longer gap than expected — improvement",IF(C16&lt;$B$7-2.66*$B$8,"Shorter gap than expected — investigate","")))</f>
        <v/>
      </c>
      <c r="J16" s="35">
        <f>IF(B16="","",($B$7+2.66*$B$8)^3.6)</f>
        <v/>
      </c>
      <c r="K16" s="35">
        <f>IF(B16="","",MAX(0,$B$7-2.66*$B$8)^3.6)</f>
        <v/>
      </c>
      <c r="L16" s="35">
        <f>IF(B16="","",$B$7^3.6)</f>
        <v/>
      </c>
      <c r="M16" s="36">
        <f>IF(F16="","",$B$11)</f>
        <v/>
      </c>
      <c r="N16" s="36">
        <f>IF(F16="","",MEDIAN($F$14:$F$37))</f>
        <v/>
      </c>
      <c r="AD16" s="19">
        <f>IF($B16="",NA(),IF(OR($C16&gt;$B$7+2.66*$B$8,$C16&lt;$B$7-2.66*$B$8),$B16,NA()))</f>
        <v/>
      </c>
      <c r="AE16" s="19">
        <f>NA()</f>
        <v/>
      </c>
      <c r="AF16" s="19">
        <f>IF($F16="",NA(),IF($F16&gt;$M16,$F16,NA()))</f>
        <v/>
      </c>
      <c r="AG16" s="19">
        <f>NA()</f>
        <v/>
      </c>
    </row>
    <row r="17">
      <c r="A17" t="inlineStr">
        <is>
          <t>Incident 4</t>
        </is>
      </c>
      <c r="B17" s="28" t="n">
        <v>31</v>
      </c>
      <c r="C17" s="26">
        <f>IF(B17="","",B17^(1/3.6))</f>
        <v/>
      </c>
      <c r="D17" s="26">
        <f>IF(COUNT(C16:C17)=2,ABS(C17-C16),"")</f>
        <v/>
      </c>
      <c r="E17" s="26">
        <f>IF(B17="","",$B$7)</f>
        <v/>
      </c>
      <c r="F17" s="28" t="n">
        <v>29800</v>
      </c>
      <c r="G17" s="34">
        <f>IF(F17="","",$B$10)</f>
        <v/>
      </c>
      <c r="H17" s="18">
        <f>IF(B17="","",IF(C17&gt;$B$7+2.66*$B$8,"Longer gap than expected — improvement",IF(C17&lt;$B$7-2.66*$B$8,"Shorter gap than expected — investigate","")))</f>
        <v/>
      </c>
      <c r="J17" s="35">
        <f>IF(B17="","",($B$7+2.66*$B$8)^3.6)</f>
        <v/>
      </c>
      <c r="K17" s="35">
        <f>IF(B17="","",MAX(0,$B$7-2.66*$B$8)^3.6)</f>
        <v/>
      </c>
      <c r="L17" s="35">
        <f>IF(B17="","",$B$7^3.6)</f>
        <v/>
      </c>
      <c r="M17" s="36">
        <f>IF(F17="","",$B$11)</f>
        <v/>
      </c>
      <c r="N17" s="36">
        <f>IF(F17="","",MEDIAN($F$14:$F$37))</f>
        <v/>
      </c>
      <c r="AD17" s="19">
        <f>IF($B17="",NA(),IF(OR($C17&gt;$B$7+2.66*$B$8,$C17&lt;$B$7-2.66*$B$8),$B17,NA()))</f>
        <v/>
      </c>
      <c r="AE17" s="19">
        <f>NA()</f>
        <v/>
      </c>
      <c r="AF17" s="19">
        <f>IF($F17="",NA(),IF($F17&gt;$M17,$F17,NA()))</f>
        <v/>
      </c>
      <c r="AG17" s="19">
        <f>NA()</f>
        <v/>
      </c>
    </row>
    <row r="18">
      <c r="A18" t="inlineStr">
        <is>
          <t>Incident 5</t>
        </is>
      </c>
      <c r="B18" s="28" t="n">
        <v>18</v>
      </c>
      <c r="C18" s="26">
        <f>IF(B18="","",B18^(1/3.6))</f>
        <v/>
      </c>
      <c r="D18" s="26">
        <f>IF(COUNT(C17:C18)=2,ABS(C18-C17),"")</f>
        <v/>
      </c>
      <c r="E18" s="26">
        <f>IF(B18="","",$B$7)</f>
        <v/>
      </c>
      <c r="F18" s="28" t="n">
        <v>17400</v>
      </c>
      <c r="G18" s="34">
        <f>IF(F18="","",$B$10)</f>
        <v/>
      </c>
      <c r="H18" s="18">
        <f>IF(B18="","",IF(C18&gt;$B$7+2.66*$B$8,"Longer gap than expected — improvement",IF(C18&lt;$B$7-2.66*$B$8,"Shorter gap than expected — investigate","")))</f>
        <v/>
      </c>
      <c r="J18" s="35">
        <f>IF(B18="","",($B$7+2.66*$B$8)^3.6)</f>
        <v/>
      </c>
      <c r="K18" s="35">
        <f>IF(B18="","",MAX(0,$B$7-2.66*$B$8)^3.6)</f>
        <v/>
      </c>
      <c r="L18" s="35">
        <f>IF(B18="","",$B$7^3.6)</f>
        <v/>
      </c>
      <c r="M18" s="36">
        <f>IF(F18="","",$B$11)</f>
        <v/>
      </c>
      <c r="N18" s="36">
        <f>IF(F18="","",MEDIAN($F$14:$F$37))</f>
        <v/>
      </c>
      <c r="AD18" s="19">
        <f>IF($B18="",NA(),IF(OR($C18&gt;$B$7+2.66*$B$8,$C18&lt;$B$7-2.66*$B$8),$B18,NA()))</f>
        <v/>
      </c>
      <c r="AE18" s="19">
        <f>NA()</f>
        <v/>
      </c>
      <c r="AF18" s="19">
        <f>IF($F18="",NA(),IF($F18&gt;$M18,$F18,NA()))</f>
        <v/>
      </c>
      <c r="AG18" s="19">
        <f>NA()</f>
        <v/>
      </c>
    </row>
    <row r="19">
      <c r="A19" t="inlineStr">
        <is>
          <t>Incident 6</t>
        </is>
      </c>
      <c r="B19" s="28" t="n">
        <v>27</v>
      </c>
      <c r="C19" s="26">
        <f>IF(B19="","",B19^(1/3.6))</f>
        <v/>
      </c>
      <c r="D19" s="26">
        <f>IF(COUNT(C18:C19)=2,ABS(C19-C18),"")</f>
        <v/>
      </c>
      <c r="E19" s="26">
        <f>IF(B19="","",$B$7)</f>
        <v/>
      </c>
      <c r="F19" s="28" t="n">
        <v>26100</v>
      </c>
      <c r="G19" s="34">
        <f>IF(F19="","",$B$10)</f>
        <v/>
      </c>
      <c r="H19" s="18">
        <f>IF(B19="","",IF(C19&gt;$B$7+2.66*$B$8,"Longer gap than expected — improvement",IF(C19&lt;$B$7-2.66*$B$8,"Shorter gap than expected — investigate","")))</f>
        <v/>
      </c>
      <c r="J19" s="35">
        <f>IF(B19="","",($B$7+2.66*$B$8)^3.6)</f>
        <v/>
      </c>
      <c r="K19" s="35">
        <f>IF(B19="","",MAX(0,$B$7-2.66*$B$8)^3.6)</f>
        <v/>
      </c>
      <c r="L19" s="35">
        <f>IF(B19="","",$B$7^3.6)</f>
        <v/>
      </c>
      <c r="M19" s="36">
        <f>IF(F19="","",$B$11)</f>
        <v/>
      </c>
      <c r="N19" s="36">
        <f>IF(F19="","",MEDIAN($F$14:$F$37))</f>
        <v/>
      </c>
      <c r="AD19" s="19">
        <f>IF($B19="",NA(),IF(OR($C19&gt;$B$7+2.66*$B$8,$C19&lt;$B$7-2.66*$B$8),$B19,NA()))</f>
        <v/>
      </c>
      <c r="AE19" s="19">
        <f>NA()</f>
        <v/>
      </c>
      <c r="AF19" s="19">
        <f>IF($F19="",NA(),IF($F19&gt;$M19,$F19,NA()))</f>
        <v/>
      </c>
      <c r="AG19" s="19">
        <f>NA()</f>
        <v/>
      </c>
    </row>
    <row r="20">
      <c r="A20" t="inlineStr">
        <is>
          <t>Incident 7</t>
        </is>
      </c>
      <c r="B20" s="28" t="n">
        <v>41</v>
      </c>
      <c r="C20" s="26">
        <f>IF(B20="","",B20^(1/3.6))</f>
        <v/>
      </c>
      <c r="D20" s="26">
        <f>IF(COUNT(C19:C20)=2,ABS(C20-C19),"")</f>
        <v/>
      </c>
      <c r="E20" s="26">
        <f>IF(B20="","",$B$7)</f>
        <v/>
      </c>
      <c r="F20" s="28" t="n">
        <v>39900</v>
      </c>
      <c r="G20" s="34">
        <f>IF(F20="","",$B$10)</f>
        <v/>
      </c>
      <c r="H20" s="18">
        <f>IF(B20="","",IF(C20&gt;$B$7+2.66*$B$8,"Longer gap than expected — improvement",IF(C20&lt;$B$7-2.66*$B$8,"Shorter gap than expected — investigate","")))</f>
        <v/>
      </c>
      <c r="J20" s="35">
        <f>IF(B20="","",($B$7+2.66*$B$8)^3.6)</f>
        <v/>
      </c>
      <c r="K20" s="35">
        <f>IF(B20="","",MAX(0,$B$7-2.66*$B$8)^3.6)</f>
        <v/>
      </c>
      <c r="L20" s="35">
        <f>IF(B20="","",$B$7^3.6)</f>
        <v/>
      </c>
      <c r="M20" s="36">
        <f>IF(F20="","",$B$11)</f>
        <v/>
      </c>
      <c r="N20" s="36">
        <f>IF(F20="","",MEDIAN($F$14:$F$37))</f>
        <v/>
      </c>
      <c r="AD20" s="19">
        <f>IF($B20="",NA(),IF(OR($C20&gt;$B$7+2.66*$B$8,$C20&lt;$B$7-2.66*$B$8),$B20,NA()))</f>
        <v/>
      </c>
      <c r="AE20" s="19">
        <f>NA()</f>
        <v/>
      </c>
      <c r="AF20" s="19">
        <f>IF($F20="",NA(),IF($F20&gt;$M20,$F20,NA()))</f>
        <v/>
      </c>
      <c r="AG20" s="19">
        <f>NA()</f>
        <v/>
      </c>
    </row>
    <row r="21">
      <c r="A21" t="inlineStr">
        <is>
          <t>Incident 8</t>
        </is>
      </c>
      <c r="B21" s="28" t="n">
        <v>12</v>
      </c>
      <c r="C21" s="26">
        <f>IF(B21="","",B21^(1/3.6))</f>
        <v/>
      </c>
      <c r="D21" s="26">
        <f>IF(COUNT(C20:C21)=2,ABS(C21-C20),"")</f>
        <v/>
      </c>
      <c r="E21" s="26">
        <f>IF(B21="","",$B$7)</f>
        <v/>
      </c>
      <c r="F21" s="28" t="n">
        <v>11200</v>
      </c>
      <c r="G21" s="34">
        <f>IF(F21="","",$B$10)</f>
        <v/>
      </c>
      <c r="H21" s="18">
        <f>IF(B21="","",IF(C21&gt;$B$7+2.66*$B$8,"Longer gap than expected — improvement",IF(C21&lt;$B$7-2.66*$B$8,"Shorter gap than expected — investigate","")))</f>
        <v/>
      </c>
      <c r="J21" s="35">
        <f>IF(B21="","",($B$7+2.66*$B$8)^3.6)</f>
        <v/>
      </c>
      <c r="K21" s="35">
        <f>IF(B21="","",MAX(0,$B$7-2.66*$B$8)^3.6)</f>
        <v/>
      </c>
      <c r="L21" s="35">
        <f>IF(B21="","",$B$7^3.6)</f>
        <v/>
      </c>
      <c r="M21" s="36">
        <f>IF(F21="","",$B$11)</f>
        <v/>
      </c>
      <c r="N21" s="36">
        <f>IF(F21="","",MEDIAN($F$14:$F$37))</f>
        <v/>
      </c>
      <c r="AD21" s="19">
        <f>IF($B21="",NA(),IF(OR($C21&gt;$B$7+2.66*$B$8,$C21&lt;$B$7-2.66*$B$8),$B21,NA()))</f>
        <v/>
      </c>
      <c r="AE21" s="19">
        <f>IF(COUNT($C14:$C21)&lt;8,NA(),IF(OR(MIN($C14:$C21)&gt;$B$7,MAX($C14:$C21)&lt;$B$7),$B21,NA()))</f>
        <v/>
      </c>
      <c r="AF21" s="19">
        <f>IF($F21="",NA(),IF($F21&gt;$M21,$F21,NA()))</f>
        <v/>
      </c>
      <c r="AG21" s="19">
        <f>IF(COUNT($F14:$F21)&lt;8,NA(),IF(MIN($F14:$F21)&gt;$N21,$F21,NA()))</f>
        <v/>
      </c>
    </row>
    <row r="22">
      <c r="A22" t="inlineStr">
        <is>
          <t>Incident 9</t>
        </is>
      </c>
      <c r="B22" s="28" t="n">
        <v>35</v>
      </c>
      <c r="C22" s="26">
        <f>IF(B22="","",B22^(1/3.6))</f>
        <v/>
      </c>
      <c r="D22" s="26">
        <f>IF(COUNT(C21:C22)=2,ABS(C22-C21),"")</f>
        <v/>
      </c>
      <c r="E22" s="26">
        <f>IF(B22="","",$B$7)</f>
        <v/>
      </c>
      <c r="F22" s="28" t="n">
        <v>33500</v>
      </c>
      <c r="G22" s="34">
        <f>IF(F22="","",$B$10)</f>
        <v/>
      </c>
      <c r="H22" s="18">
        <f>IF(B22="","",IF(C22&gt;$B$7+2.66*$B$8,"Longer gap than expected — improvement",IF(C22&lt;$B$7-2.66*$B$8,"Shorter gap than expected — investigate","")))</f>
        <v/>
      </c>
      <c r="J22" s="35">
        <f>IF(B22="","",($B$7+2.66*$B$8)^3.6)</f>
        <v/>
      </c>
      <c r="K22" s="35">
        <f>IF(B22="","",MAX(0,$B$7-2.66*$B$8)^3.6)</f>
        <v/>
      </c>
      <c r="L22" s="35">
        <f>IF(B22="","",$B$7^3.6)</f>
        <v/>
      </c>
      <c r="M22" s="36">
        <f>IF(F22="","",$B$11)</f>
        <v/>
      </c>
      <c r="N22" s="36">
        <f>IF(F22="","",MEDIAN($F$14:$F$37))</f>
        <v/>
      </c>
      <c r="AD22" s="19">
        <f>IF($B22="",NA(),IF(OR($C22&gt;$B$7+2.66*$B$8,$C22&lt;$B$7-2.66*$B$8),$B22,NA()))</f>
        <v/>
      </c>
      <c r="AE22" s="19">
        <f>IF(COUNT($C15:$C22)&lt;8,NA(),IF(OR(MIN($C15:$C22)&gt;$B$7,MAX($C15:$C22)&lt;$B$7),$B22,NA()))</f>
        <v/>
      </c>
      <c r="AF22" s="19">
        <f>IF($F22="",NA(),IF($F22&gt;$M22,$F22,NA()))</f>
        <v/>
      </c>
      <c r="AG22" s="19">
        <f>IF(COUNT($F15:$F22)&lt;8,NA(),IF(MIN($F15:$F22)&gt;$N22,$F22,NA()))</f>
        <v/>
      </c>
    </row>
    <row r="23">
      <c r="A23" t="inlineStr">
        <is>
          <t>Incident 10</t>
        </is>
      </c>
      <c r="B23" s="28" t="n">
        <v>24</v>
      </c>
      <c r="C23" s="26">
        <f>IF(B23="","",B23^(1/3.6))</f>
        <v/>
      </c>
      <c r="D23" s="26">
        <f>IF(COUNT(C22:C23)=2,ABS(C23-C22),"")</f>
        <v/>
      </c>
      <c r="E23" s="26">
        <f>IF(B23="","",$B$7)</f>
        <v/>
      </c>
      <c r="F23" s="28" t="n">
        <v>23100</v>
      </c>
      <c r="G23" s="34">
        <f>IF(F23="","",$B$10)</f>
        <v/>
      </c>
      <c r="H23" s="18">
        <f>IF(B23="","",IF(C23&gt;$B$7+2.66*$B$8,"Longer gap than expected — improvement",IF(C23&lt;$B$7-2.66*$B$8,"Shorter gap than expected — investigate","")))</f>
        <v/>
      </c>
      <c r="J23" s="35">
        <f>IF(B23="","",($B$7+2.66*$B$8)^3.6)</f>
        <v/>
      </c>
      <c r="K23" s="35">
        <f>IF(B23="","",MAX(0,$B$7-2.66*$B$8)^3.6)</f>
        <v/>
      </c>
      <c r="L23" s="35">
        <f>IF(B23="","",$B$7^3.6)</f>
        <v/>
      </c>
      <c r="M23" s="36">
        <f>IF(F23="","",$B$11)</f>
        <v/>
      </c>
      <c r="N23" s="36">
        <f>IF(F23="","",MEDIAN($F$14:$F$37))</f>
        <v/>
      </c>
      <c r="AD23" s="19">
        <f>IF($B23="",NA(),IF(OR($C23&gt;$B$7+2.66*$B$8,$C23&lt;$B$7-2.66*$B$8),$B23,NA()))</f>
        <v/>
      </c>
      <c r="AE23" s="19">
        <f>IF(COUNT($C16:$C23)&lt;8,NA(),IF(OR(MIN($C16:$C23)&gt;$B$7,MAX($C16:$C23)&lt;$B$7),$B23,NA()))</f>
        <v/>
      </c>
      <c r="AF23" s="19">
        <f>IF($F23="",NA(),IF($F23&gt;$M23,$F23,NA()))</f>
        <v/>
      </c>
      <c r="AG23" s="19">
        <f>IF(COUNT($F16:$F23)&lt;8,NA(),IF(MIN($F16:$F23)&gt;$N23,$F23,NA()))</f>
        <v/>
      </c>
    </row>
    <row r="24">
      <c r="A24" t="inlineStr">
        <is>
          <t>Incident 11</t>
        </is>
      </c>
      <c r="B24" s="28" t="n">
        <v>48</v>
      </c>
      <c r="C24" s="26">
        <f>IF(B24="","",B24^(1/3.6))</f>
        <v/>
      </c>
      <c r="D24" s="26">
        <f>IF(COUNT(C23:C24)=2,ABS(C24-C23),"")</f>
        <v/>
      </c>
      <c r="E24" s="26">
        <f>IF(B24="","",$B$7)</f>
        <v/>
      </c>
      <c r="F24" s="28" t="n">
        <v>46800</v>
      </c>
      <c r="G24" s="34">
        <f>IF(F24="","",$B$10)</f>
        <v/>
      </c>
      <c r="H24" s="18">
        <f>IF(B24="","",IF(C24&gt;$B$7+2.66*$B$8,"Longer gap than expected — improvement",IF(C24&lt;$B$7-2.66*$B$8,"Shorter gap than expected — investigate","")))</f>
        <v/>
      </c>
      <c r="J24" s="35">
        <f>IF(B24="","",($B$7+2.66*$B$8)^3.6)</f>
        <v/>
      </c>
      <c r="K24" s="35">
        <f>IF(B24="","",MAX(0,$B$7-2.66*$B$8)^3.6)</f>
        <v/>
      </c>
      <c r="L24" s="35">
        <f>IF(B24="","",$B$7^3.6)</f>
        <v/>
      </c>
      <c r="M24" s="36">
        <f>IF(F24="","",$B$11)</f>
        <v/>
      </c>
      <c r="N24" s="36">
        <f>IF(F24="","",MEDIAN($F$14:$F$37))</f>
        <v/>
      </c>
      <c r="AD24" s="19">
        <f>IF($B24="",NA(),IF(OR($C24&gt;$B$7+2.66*$B$8,$C24&lt;$B$7-2.66*$B$8),$B24,NA()))</f>
        <v/>
      </c>
      <c r="AE24" s="19">
        <f>IF(COUNT($C17:$C24)&lt;8,NA(),IF(OR(MIN($C17:$C24)&gt;$B$7,MAX($C17:$C24)&lt;$B$7),$B24,NA()))</f>
        <v/>
      </c>
      <c r="AF24" s="19">
        <f>IF($F24="",NA(),IF($F24&gt;$M24,$F24,NA()))</f>
        <v/>
      </c>
      <c r="AG24" s="19">
        <f>IF(COUNT($F17:$F24)&lt;8,NA(),IF(MIN($F17:$F24)&gt;$N24,$F24,NA()))</f>
        <v/>
      </c>
    </row>
    <row r="25">
      <c r="A25" t="inlineStr">
        <is>
          <t>Incident 12</t>
        </is>
      </c>
      <c r="B25" s="28" t="n">
        <v>19</v>
      </c>
      <c r="C25" s="26">
        <f>IF(B25="","",B25^(1/3.6))</f>
        <v/>
      </c>
      <c r="D25" s="26">
        <f>IF(COUNT(C24:C25)=2,ABS(C25-C24),"")</f>
        <v/>
      </c>
      <c r="E25" s="26">
        <f>IF(B25="","",$B$7)</f>
        <v/>
      </c>
      <c r="F25" s="28" t="n">
        <v>18300</v>
      </c>
      <c r="G25" s="34">
        <f>IF(F25="","",$B$10)</f>
        <v/>
      </c>
      <c r="H25" s="18">
        <f>IF(B25="","",IF(C25&gt;$B$7+2.66*$B$8,"Longer gap than expected — improvement",IF(C25&lt;$B$7-2.66*$B$8,"Shorter gap than expected — investigate","")))</f>
        <v/>
      </c>
      <c r="J25" s="35">
        <f>IF(B25="","",($B$7+2.66*$B$8)^3.6)</f>
        <v/>
      </c>
      <c r="K25" s="35">
        <f>IF(B25="","",MAX(0,$B$7-2.66*$B$8)^3.6)</f>
        <v/>
      </c>
      <c r="L25" s="35">
        <f>IF(B25="","",$B$7^3.6)</f>
        <v/>
      </c>
      <c r="M25" s="36">
        <f>IF(F25="","",$B$11)</f>
        <v/>
      </c>
      <c r="N25" s="36">
        <f>IF(F25="","",MEDIAN($F$14:$F$37))</f>
        <v/>
      </c>
      <c r="AD25" s="19">
        <f>IF($B25="",NA(),IF(OR($C25&gt;$B$7+2.66*$B$8,$C25&lt;$B$7-2.66*$B$8),$B25,NA()))</f>
        <v/>
      </c>
      <c r="AE25" s="19">
        <f>IF(COUNT($C18:$C25)&lt;8,NA(),IF(OR(MIN($C18:$C25)&gt;$B$7,MAX($C18:$C25)&lt;$B$7),$B25,NA()))</f>
        <v/>
      </c>
      <c r="AF25" s="19">
        <f>IF($F25="",NA(),IF($F25&gt;$M25,$F25,NA()))</f>
        <v/>
      </c>
      <c r="AG25" s="19">
        <f>IF(COUNT($F18:$F25)&lt;8,NA(),IF(MIN($F18:$F25)&gt;$N25,$F25,NA()))</f>
        <v/>
      </c>
    </row>
    <row r="26">
      <c r="A26" t="inlineStr">
        <is>
          <t>Incident 13</t>
        </is>
      </c>
      <c r="B26" s="28" t="n">
        <v>33</v>
      </c>
      <c r="C26" s="26">
        <f>IF(B26="","",B26^(1/3.6))</f>
        <v/>
      </c>
      <c r="D26" s="26">
        <f>IF(COUNT(C25:C26)=2,ABS(C26-C25),"")</f>
        <v/>
      </c>
      <c r="E26" s="26">
        <f>IF(B26="","",$B$7)</f>
        <v/>
      </c>
      <c r="F26" s="28" t="n">
        <v>31700</v>
      </c>
      <c r="G26" s="34">
        <f>IF(F26="","",$B$10)</f>
        <v/>
      </c>
      <c r="H26" s="18">
        <f>IF(B26="","",IF(C26&gt;$B$7+2.66*$B$8,"Longer gap than expected — improvement",IF(C26&lt;$B$7-2.66*$B$8,"Shorter gap than expected — investigate","")))</f>
        <v/>
      </c>
      <c r="J26" s="35">
        <f>IF(B26="","",($B$7+2.66*$B$8)^3.6)</f>
        <v/>
      </c>
      <c r="K26" s="35">
        <f>IF(B26="","",MAX(0,$B$7-2.66*$B$8)^3.6)</f>
        <v/>
      </c>
      <c r="L26" s="35">
        <f>IF(B26="","",$B$7^3.6)</f>
        <v/>
      </c>
      <c r="M26" s="36">
        <f>IF(F26="","",$B$11)</f>
        <v/>
      </c>
      <c r="N26" s="36">
        <f>IF(F26="","",MEDIAN($F$14:$F$37))</f>
        <v/>
      </c>
      <c r="AD26" s="19">
        <f>IF($B26="",NA(),IF(OR($C26&gt;$B$7+2.66*$B$8,$C26&lt;$B$7-2.66*$B$8),$B26,NA()))</f>
        <v/>
      </c>
      <c r="AE26" s="19">
        <f>IF(COUNT($C19:$C26)&lt;8,NA(),IF(OR(MIN($C19:$C26)&gt;$B$7,MAX($C19:$C26)&lt;$B$7),$B26,NA()))</f>
        <v/>
      </c>
      <c r="AF26" s="19">
        <f>IF($F26="",NA(),IF($F26&gt;$M26,$F26,NA()))</f>
        <v/>
      </c>
      <c r="AG26" s="19">
        <f>IF(COUNT($F19:$F26)&lt;8,NA(),IF(MIN($F19:$F26)&gt;$N26,$F26,NA()))</f>
        <v/>
      </c>
    </row>
    <row r="27">
      <c r="A27" t="inlineStr">
        <is>
          <t>Incident 14</t>
        </is>
      </c>
      <c r="B27" s="28" t="n">
        <v>26</v>
      </c>
      <c r="C27" s="26">
        <f>IF(B27="","",B27^(1/3.6))</f>
        <v/>
      </c>
      <c r="D27" s="26">
        <f>IF(COUNT(C26:C27)=2,ABS(C27-C26),"")</f>
        <v/>
      </c>
      <c r="E27" s="26">
        <f>IF(B27="","",$B$7)</f>
        <v/>
      </c>
      <c r="F27" s="28" t="n">
        <v>25400</v>
      </c>
      <c r="G27" s="34">
        <f>IF(F27="","",$B$10)</f>
        <v/>
      </c>
      <c r="H27" s="18">
        <f>IF(B27="","",IF(C27&gt;$B$7+2.66*$B$8,"Longer gap than expected — improvement",IF(C27&lt;$B$7-2.66*$B$8,"Shorter gap than expected — investigate","")))</f>
        <v/>
      </c>
      <c r="J27" s="35">
        <f>IF(B27="","",($B$7+2.66*$B$8)^3.6)</f>
        <v/>
      </c>
      <c r="K27" s="35">
        <f>IF(B27="","",MAX(0,$B$7-2.66*$B$8)^3.6)</f>
        <v/>
      </c>
      <c r="L27" s="35">
        <f>IF(B27="","",$B$7^3.6)</f>
        <v/>
      </c>
      <c r="M27" s="36">
        <f>IF(F27="","",$B$11)</f>
        <v/>
      </c>
      <c r="N27" s="36">
        <f>IF(F27="","",MEDIAN($F$14:$F$37))</f>
        <v/>
      </c>
      <c r="AD27" s="19">
        <f>IF($B27="",NA(),IF(OR($C27&gt;$B$7+2.66*$B$8,$C27&lt;$B$7-2.66*$B$8),$B27,NA()))</f>
        <v/>
      </c>
      <c r="AE27" s="19">
        <f>IF(COUNT($C20:$C27)&lt;8,NA(),IF(OR(MIN($C20:$C27)&gt;$B$7,MAX($C20:$C27)&lt;$B$7),$B27,NA()))</f>
        <v/>
      </c>
      <c r="AF27" s="19">
        <f>IF($F27="",NA(),IF($F27&gt;$M27,$F27,NA()))</f>
        <v/>
      </c>
      <c r="AG27" s="19">
        <f>IF(COUNT($F20:$F27)&lt;8,NA(),IF(MIN($F20:$F27)&gt;$N27,$F27,NA()))</f>
        <v/>
      </c>
    </row>
    <row r="28">
      <c r="A28" t="inlineStr">
        <is>
          <t>Incident 15</t>
        </is>
      </c>
      <c r="B28" s="28" t="n">
        <v>52</v>
      </c>
      <c r="C28" s="26">
        <f>IF(B28="","",B28^(1/3.6))</f>
        <v/>
      </c>
      <c r="D28" s="26">
        <f>IF(COUNT(C27:C28)=2,ABS(C28-C27),"")</f>
        <v/>
      </c>
      <c r="E28" s="26">
        <f>IF(B28="","",$B$7)</f>
        <v/>
      </c>
      <c r="F28" s="28" t="n">
        <v>50600</v>
      </c>
      <c r="G28" s="34">
        <f>IF(F28="","",$B$10)</f>
        <v/>
      </c>
      <c r="H28" s="18">
        <f>IF(B28="","",IF(C28&gt;$B$7+2.66*$B$8,"Longer gap than expected — improvement",IF(C28&lt;$B$7-2.66*$B$8,"Shorter gap than expected — investigate","")))</f>
        <v/>
      </c>
      <c r="J28" s="35">
        <f>IF(B28="","",($B$7+2.66*$B$8)^3.6)</f>
        <v/>
      </c>
      <c r="K28" s="35">
        <f>IF(B28="","",MAX(0,$B$7-2.66*$B$8)^3.6)</f>
        <v/>
      </c>
      <c r="L28" s="35">
        <f>IF(B28="","",$B$7^3.6)</f>
        <v/>
      </c>
      <c r="M28" s="36">
        <f>IF(F28="","",$B$11)</f>
        <v/>
      </c>
      <c r="N28" s="36">
        <f>IF(F28="","",MEDIAN($F$14:$F$37))</f>
        <v/>
      </c>
      <c r="AD28" s="19">
        <f>IF($B28="",NA(),IF(OR($C28&gt;$B$7+2.66*$B$8,$C28&lt;$B$7-2.66*$B$8),$B28,NA()))</f>
        <v/>
      </c>
      <c r="AE28" s="19">
        <f>IF(COUNT($C21:$C28)&lt;8,NA(),IF(OR(MIN($C21:$C28)&gt;$B$7,MAX($C21:$C28)&lt;$B$7),$B28,NA()))</f>
        <v/>
      </c>
      <c r="AF28" s="19">
        <f>IF($F28="",NA(),IF($F28&gt;$M28,$F28,NA()))</f>
        <v/>
      </c>
      <c r="AG28" s="19">
        <f>IF(COUNT($F21:$F28)&lt;8,NA(),IF(MIN($F21:$F28)&gt;$N28,$F28,NA()))</f>
        <v/>
      </c>
    </row>
    <row r="29">
      <c r="A29" t="inlineStr">
        <is>
          <t>Incident 16</t>
        </is>
      </c>
      <c r="B29" s="28" t="n">
        <v>21</v>
      </c>
      <c r="C29" s="26">
        <f>IF(B29="","",B29^(1/3.6))</f>
        <v/>
      </c>
      <c r="D29" s="26">
        <f>IF(COUNT(C28:C29)=2,ABS(C29-C28),"")</f>
        <v/>
      </c>
      <c r="E29" s="26">
        <f>IF(B29="","",$B$7)</f>
        <v/>
      </c>
      <c r="F29" s="28" t="n">
        <v>20200</v>
      </c>
      <c r="G29" s="34">
        <f>IF(F29="","",$B$10)</f>
        <v/>
      </c>
      <c r="H29" s="18">
        <f>IF(B29="","",IF(C29&gt;$B$7+2.66*$B$8,"Longer gap than expected — improvement",IF(C29&lt;$B$7-2.66*$B$8,"Shorter gap than expected — investigate","")))</f>
        <v/>
      </c>
      <c r="J29" s="35">
        <f>IF(B29="","",($B$7+2.66*$B$8)^3.6)</f>
        <v/>
      </c>
      <c r="K29" s="35">
        <f>IF(B29="","",MAX(0,$B$7-2.66*$B$8)^3.6)</f>
        <v/>
      </c>
      <c r="L29" s="35">
        <f>IF(B29="","",$B$7^3.6)</f>
        <v/>
      </c>
      <c r="M29" s="36">
        <f>IF(F29="","",$B$11)</f>
        <v/>
      </c>
      <c r="N29" s="36">
        <f>IF(F29="","",MEDIAN($F$14:$F$37))</f>
        <v/>
      </c>
      <c r="AD29" s="19">
        <f>IF($B29="",NA(),IF(OR($C29&gt;$B$7+2.66*$B$8,$C29&lt;$B$7-2.66*$B$8),$B29,NA()))</f>
        <v/>
      </c>
      <c r="AE29" s="19">
        <f>IF(COUNT($C22:$C29)&lt;8,NA(),IF(OR(MIN($C22:$C29)&gt;$B$7,MAX($C22:$C29)&lt;$B$7),$B29,NA()))</f>
        <v/>
      </c>
      <c r="AF29" s="19">
        <f>IF($F29="",NA(),IF($F29&gt;$M29,$F29,NA()))</f>
        <v/>
      </c>
      <c r="AG29" s="19">
        <f>IF(COUNT($F22:$F29)&lt;8,NA(),IF(MIN($F22:$F29)&gt;$N29,$F29,NA()))</f>
        <v/>
      </c>
    </row>
    <row r="30">
      <c r="A30" t="inlineStr">
        <is>
          <t>Incident 17</t>
        </is>
      </c>
      <c r="B30" s="28" t="n">
        <v>38</v>
      </c>
      <c r="C30" s="26">
        <f>IF(B30="","",B30^(1/3.6))</f>
        <v/>
      </c>
      <c r="D30" s="26">
        <f>IF(COUNT(C29:C30)=2,ABS(C30-C29),"")</f>
        <v/>
      </c>
      <c r="E30" s="26">
        <f>IF(B30="","",$B$7)</f>
        <v/>
      </c>
      <c r="F30" s="28" t="n">
        <v>36900</v>
      </c>
      <c r="G30" s="34">
        <f>IF(F30="","",$B$10)</f>
        <v/>
      </c>
      <c r="H30" s="18">
        <f>IF(B30="","",IF(C30&gt;$B$7+2.66*$B$8,"Longer gap than expected — improvement",IF(C30&lt;$B$7-2.66*$B$8,"Shorter gap than expected — investigate","")))</f>
        <v/>
      </c>
      <c r="J30" s="35">
        <f>IF(B30="","",($B$7+2.66*$B$8)^3.6)</f>
        <v/>
      </c>
      <c r="K30" s="35">
        <f>IF(B30="","",MAX(0,$B$7-2.66*$B$8)^3.6)</f>
        <v/>
      </c>
      <c r="L30" s="35">
        <f>IF(B30="","",$B$7^3.6)</f>
        <v/>
      </c>
      <c r="M30" s="36">
        <f>IF(F30="","",$B$11)</f>
        <v/>
      </c>
      <c r="N30" s="36">
        <f>IF(F30="","",MEDIAN($F$14:$F$37))</f>
        <v/>
      </c>
      <c r="AD30" s="19">
        <f>IF($B30="",NA(),IF(OR($C30&gt;$B$7+2.66*$B$8,$C30&lt;$B$7-2.66*$B$8),$B30,NA()))</f>
        <v/>
      </c>
      <c r="AE30" s="19">
        <f>IF(COUNT($C23:$C30)&lt;8,NA(),IF(OR(MIN($C23:$C30)&gt;$B$7,MAX($C23:$C30)&lt;$B$7),$B30,NA()))</f>
        <v/>
      </c>
      <c r="AF30" s="19">
        <f>IF($F30="",NA(),IF($F30&gt;$M30,$F30,NA()))</f>
        <v/>
      </c>
      <c r="AG30" s="19">
        <f>IF(COUNT($F23:$F30)&lt;8,NA(),IF(MIN($F23:$F30)&gt;$N30,$F30,NA()))</f>
        <v/>
      </c>
    </row>
    <row r="31">
      <c r="A31" t="inlineStr">
        <is>
          <t>Incident 18</t>
        </is>
      </c>
      <c r="B31" s="28" t="n">
        <v>29</v>
      </c>
      <c r="C31" s="26">
        <f>IF(B31="","",B31^(1/3.6))</f>
        <v/>
      </c>
      <c r="D31" s="26">
        <f>IF(COUNT(C30:C31)=2,ABS(C31-C30),"")</f>
        <v/>
      </c>
      <c r="E31" s="26">
        <f>IF(B31="","",$B$7)</f>
        <v/>
      </c>
      <c r="F31" s="28" t="n">
        <v>27800</v>
      </c>
      <c r="G31" s="34">
        <f>IF(F31="","",$B$10)</f>
        <v/>
      </c>
      <c r="H31" s="18">
        <f>IF(B31="","",IF(C31&gt;$B$7+2.66*$B$8,"Longer gap than expected — improvement",IF(C31&lt;$B$7-2.66*$B$8,"Shorter gap than expected — investigate","")))</f>
        <v/>
      </c>
      <c r="J31" s="35">
        <f>IF(B31="","",($B$7+2.66*$B$8)^3.6)</f>
        <v/>
      </c>
      <c r="K31" s="35">
        <f>IF(B31="","",MAX(0,$B$7-2.66*$B$8)^3.6)</f>
        <v/>
      </c>
      <c r="L31" s="35">
        <f>IF(B31="","",$B$7^3.6)</f>
        <v/>
      </c>
      <c r="M31" s="36">
        <f>IF(F31="","",$B$11)</f>
        <v/>
      </c>
      <c r="N31" s="36">
        <f>IF(F31="","",MEDIAN($F$14:$F$37))</f>
        <v/>
      </c>
      <c r="AD31" s="19">
        <f>IF($B31="",NA(),IF(OR($C31&gt;$B$7+2.66*$B$8,$C31&lt;$B$7-2.66*$B$8),$B31,NA()))</f>
        <v/>
      </c>
      <c r="AE31" s="19">
        <f>IF(COUNT($C24:$C31)&lt;8,NA(),IF(OR(MIN($C24:$C31)&gt;$B$7,MAX($C24:$C31)&lt;$B$7),$B31,NA()))</f>
        <v/>
      </c>
      <c r="AF31" s="19">
        <f>IF($F31="",NA(),IF($F31&gt;$M31,$F31,NA()))</f>
        <v/>
      </c>
      <c r="AG31" s="19">
        <f>IF(COUNT($F24:$F31)&lt;8,NA(),IF(MIN($F24:$F31)&gt;$N31,$F31,NA()))</f>
        <v/>
      </c>
    </row>
    <row r="32">
      <c r="A32" t="inlineStr">
        <is>
          <t>Incident 19</t>
        </is>
      </c>
      <c r="B32" s="28" t="n">
        <v>44</v>
      </c>
      <c r="C32" s="26">
        <f>IF(B32="","",B32^(1/3.6))</f>
        <v/>
      </c>
      <c r="D32" s="26">
        <f>IF(COUNT(C31:C32)=2,ABS(C32-C31),"")</f>
        <v/>
      </c>
      <c r="E32" s="26">
        <f>IF(B32="","",$B$7)</f>
        <v/>
      </c>
      <c r="F32" s="28" t="n">
        <v>43100</v>
      </c>
      <c r="G32" s="34">
        <f>IF(F32="","",$B$10)</f>
        <v/>
      </c>
      <c r="H32" s="18">
        <f>IF(B32="","",IF(C32&gt;$B$7+2.66*$B$8,"Longer gap than expected — improvement",IF(C32&lt;$B$7-2.66*$B$8,"Shorter gap than expected — investigate","")))</f>
        <v/>
      </c>
      <c r="J32" s="35">
        <f>IF(B32="","",($B$7+2.66*$B$8)^3.6)</f>
        <v/>
      </c>
      <c r="K32" s="35">
        <f>IF(B32="","",MAX(0,$B$7-2.66*$B$8)^3.6)</f>
        <v/>
      </c>
      <c r="L32" s="35">
        <f>IF(B32="","",$B$7^3.6)</f>
        <v/>
      </c>
      <c r="M32" s="36">
        <f>IF(F32="","",$B$11)</f>
        <v/>
      </c>
      <c r="N32" s="36">
        <f>IF(F32="","",MEDIAN($F$14:$F$37))</f>
        <v/>
      </c>
      <c r="AD32" s="19">
        <f>IF($B32="",NA(),IF(OR($C32&gt;$B$7+2.66*$B$8,$C32&lt;$B$7-2.66*$B$8),$B32,NA()))</f>
        <v/>
      </c>
      <c r="AE32" s="19">
        <f>IF(COUNT($C25:$C32)&lt;8,NA(),IF(OR(MIN($C25:$C32)&gt;$B$7,MAX($C25:$C32)&lt;$B$7),$B32,NA()))</f>
        <v/>
      </c>
      <c r="AF32" s="19">
        <f>IF($F32="",NA(),IF($F32&gt;$M32,$F32,NA()))</f>
        <v/>
      </c>
      <c r="AG32" s="19">
        <f>IF(COUNT($F25:$F32)&lt;8,NA(),IF(MIN($F25:$F32)&gt;$N32,$F32,NA()))</f>
        <v/>
      </c>
    </row>
    <row r="33">
      <c r="A33" t="inlineStr">
        <is>
          <t>Incident 20</t>
        </is>
      </c>
      <c r="B33" s="28" t="n">
        <v>36</v>
      </c>
      <c r="C33" s="26">
        <f>IF(B33="","",B33^(1/3.6))</f>
        <v/>
      </c>
      <c r="D33" s="26">
        <f>IF(COUNT(C32:C33)=2,ABS(C33-C32),"")</f>
        <v/>
      </c>
      <c r="E33" s="26">
        <f>IF(B33="","",$B$7)</f>
        <v/>
      </c>
      <c r="F33" s="28" t="n">
        <v>34600</v>
      </c>
      <c r="G33" s="34">
        <f>IF(F33="","",$B$10)</f>
        <v/>
      </c>
      <c r="H33" s="18">
        <f>IF(B33="","",IF(C33&gt;$B$7+2.66*$B$8,"Longer gap than expected — improvement",IF(C33&lt;$B$7-2.66*$B$8,"Shorter gap than expected — investigate","")))</f>
        <v/>
      </c>
      <c r="J33" s="35">
        <f>IF(B33="","",($B$7+2.66*$B$8)^3.6)</f>
        <v/>
      </c>
      <c r="K33" s="35">
        <f>IF(B33="","",MAX(0,$B$7-2.66*$B$8)^3.6)</f>
        <v/>
      </c>
      <c r="L33" s="35">
        <f>IF(B33="","",$B$7^3.6)</f>
        <v/>
      </c>
      <c r="M33" s="36">
        <f>IF(F33="","",$B$11)</f>
        <v/>
      </c>
      <c r="N33" s="36">
        <f>IF(F33="","",MEDIAN($F$14:$F$37))</f>
        <v/>
      </c>
      <c r="AD33" s="19">
        <f>IF($B33="",NA(),IF(OR($C33&gt;$B$7+2.66*$B$8,$C33&lt;$B$7-2.66*$B$8),$B33,NA()))</f>
        <v/>
      </c>
      <c r="AE33" s="19">
        <f>IF(COUNT($C26:$C33)&lt;8,NA(),IF(OR(MIN($C26:$C33)&gt;$B$7,MAX($C26:$C33)&lt;$B$7),$B33,NA()))</f>
        <v/>
      </c>
      <c r="AF33" s="19">
        <f>IF($F33="",NA(),IF($F33&gt;$M33,$F33,NA()))</f>
        <v/>
      </c>
      <c r="AG33" s="19">
        <f>IF(COUNT($F26:$F33)&lt;8,NA(),IF(MIN($F26:$F33)&gt;$N33,$F33,NA()))</f>
        <v/>
      </c>
    </row>
    <row r="34">
      <c r="A34" t="inlineStr">
        <is>
          <t>Incident 21</t>
        </is>
      </c>
      <c r="B34" s="28" t="n">
        <v>58</v>
      </c>
      <c r="C34" s="26">
        <f>IF(B34="","",B34^(1/3.6))</f>
        <v/>
      </c>
      <c r="D34" s="26">
        <f>IF(COUNT(C33:C34)=2,ABS(C34-C33),"")</f>
        <v/>
      </c>
      <c r="E34" s="26">
        <f>IF(B34="","",$B$7)</f>
        <v/>
      </c>
      <c r="F34" s="28" t="n">
        <v>56900</v>
      </c>
      <c r="G34" s="34">
        <f>IF(F34="","",$B$10)</f>
        <v/>
      </c>
      <c r="H34" s="18">
        <f>IF(B34="","",IF(C34&gt;$B$7+2.66*$B$8,"Longer gap than expected — improvement",IF(C34&lt;$B$7-2.66*$B$8,"Shorter gap than expected — investigate","")))</f>
        <v/>
      </c>
      <c r="J34" s="35">
        <f>IF(B34="","",($B$7+2.66*$B$8)^3.6)</f>
        <v/>
      </c>
      <c r="K34" s="35">
        <f>IF(B34="","",MAX(0,$B$7-2.66*$B$8)^3.6)</f>
        <v/>
      </c>
      <c r="L34" s="35">
        <f>IF(B34="","",$B$7^3.6)</f>
        <v/>
      </c>
      <c r="M34" s="36">
        <f>IF(F34="","",$B$11)</f>
        <v/>
      </c>
      <c r="N34" s="36">
        <f>IF(F34="","",MEDIAN($F$14:$F$37))</f>
        <v/>
      </c>
      <c r="AD34" s="19">
        <f>IF($B34="",NA(),IF(OR($C34&gt;$B$7+2.66*$B$8,$C34&lt;$B$7-2.66*$B$8),$B34,NA()))</f>
        <v/>
      </c>
      <c r="AE34" s="19">
        <f>IF(COUNT($C27:$C34)&lt;8,NA(),IF(OR(MIN($C27:$C34)&gt;$B$7,MAX($C27:$C34)&lt;$B$7),$B34,NA()))</f>
        <v/>
      </c>
      <c r="AF34" s="19">
        <f>IF($F34="",NA(),IF($F34&gt;$M34,$F34,NA()))</f>
        <v/>
      </c>
      <c r="AG34" s="19">
        <f>IF(COUNT($F27:$F34)&lt;8,NA(),IF(MIN($F27:$F34)&gt;$N34,$F34,NA()))</f>
        <v/>
      </c>
    </row>
    <row r="35">
      <c r="A35" t="inlineStr">
        <is>
          <t>Incident 22</t>
        </is>
      </c>
      <c r="B35" s="28" t="n">
        <v>31</v>
      </c>
      <c r="C35" s="26">
        <f>IF(B35="","",B35^(1/3.6))</f>
        <v/>
      </c>
      <c r="D35" s="26">
        <f>IF(COUNT(C34:C35)=2,ABS(C35-C34),"")</f>
        <v/>
      </c>
      <c r="E35" s="26">
        <f>IF(B35="","",$B$7)</f>
        <v/>
      </c>
      <c r="F35" s="28" t="n">
        <v>29900</v>
      </c>
      <c r="G35" s="34">
        <f>IF(F35="","",$B$10)</f>
        <v/>
      </c>
      <c r="H35" s="18">
        <f>IF(B35="","",IF(C35&gt;$B$7+2.66*$B$8,"Longer gap than expected — improvement",IF(C35&lt;$B$7-2.66*$B$8,"Shorter gap than expected — investigate","")))</f>
        <v/>
      </c>
      <c r="J35" s="35">
        <f>IF(B35="","",($B$7+2.66*$B$8)^3.6)</f>
        <v/>
      </c>
      <c r="K35" s="35">
        <f>IF(B35="","",MAX(0,$B$7-2.66*$B$8)^3.6)</f>
        <v/>
      </c>
      <c r="L35" s="35">
        <f>IF(B35="","",$B$7^3.6)</f>
        <v/>
      </c>
      <c r="M35" s="36">
        <f>IF(F35="","",$B$11)</f>
        <v/>
      </c>
      <c r="N35" s="36">
        <f>IF(F35="","",MEDIAN($F$14:$F$37))</f>
        <v/>
      </c>
      <c r="AD35" s="19">
        <f>IF($B35="",NA(),IF(OR($C35&gt;$B$7+2.66*$B$8,$C35&lt;$B$7-2.66*$B$8),$B35,NA()))</f>
        <v/>
      </c>
      <c r="AE35" s="19">
        <f>IF(COUNT($C28:$C35)&lt;8,NA(),IF(OR(MIN($C28:$C35)&gt;$B$7,MAX($C28:$C35)&lt;$B$7),$B35,NA()))</f>
        <v/>
      </c>
      <c r="AF35" s="19">
        <f>IF($F35="",NA(),IF($F35&gt;$M35,$F35,NA()))</f>
        <v/>
      </c>
      <c r="AG35" s="19">
        <f>IF(COUNT($F28:$F35)&lt;8,NA(),IF(MIN($F28:$F35)&gt;$N35,$F35,NA()))</f>
        <v/>
      </c>
    </row>
    <row r="36">
      <c r="A36" t="inlineStr">
        <is>
          <t>Incident 23</t>
        </is>
      </c>
      <c r="B36" s="28" t="n">
        <v>47</v>
      </c>
      <c r="C36" s="26">
        <f>IF(B36="","",B36^(1/3.6))</f>
        <v/>
      </c>
      <c r="D36" s="26">
        <f>IF(COUNT(C35:C36)=2,ABS(C36-C35),"")</f>
        <v/>
      </c>
      <c r="E36" s="26">
        <f>IF(B36="","",$B$7)</f>
        <v/>
      </c>
      <c r="F36" s="28" t="n">
        <v>45200</v>
      </c>
      <c r="G36" s="34">
        <f>IF(F36="","",$B$10)</f>
        <v/>
      </c>
      <c r="H36" s="18">
        <f>IF(B36="","",IF(C36&gt;$B$7+2.66*$B$8,"Longer gap than expected — improvement",IF(C36&lt;$B$7-2.66*$B$8,"Shorter gap than expected — investigate","")))</f>
        <v/>
      </c>
      <c r="J36" s="35">
        <f>IF(B36="","",($B$7+2.66*$B$8)^3.6)</f>
        <v/>
      </c>
      <c r="K36" s="35">
        <f>IF(B36="","",MAX(0,$B$7-2.66*$B$8)^3.6)</f>
        <v/>
      </c>
      <c r="L36" s="35">
        <f>IF(B36="","",$B$7^3.6)</f>
        <v/>
      </c>
      <c r="M36" s="36">
        <f>IF(F36="","",$B$11)</f>
        <v/>
      </c>
      <c r="N36" s="36">
        <f>IF(F36="","",MEDIAN($F$14:$F$37))</f>
        <v/>
      </c>
      <c r="AD36" s="19">
        <f>IF($B36="",NA(),IF(OR($C36&gt;$B$7+2.66*$B$8,$C36&lt;$B$7-2.66*$B$8),$B36,NA()))</f>
        <v/>
      </c>
      <c r="AE36" s="19">
        <f>IF(COUNT($C29:$C36)&lt;8,NA(),IF(OR(MIN($C29:$C36)&gt;$B$7,MAX($C29:$C36)&lt;$B$7),$B36,NA()))</f>
        <v/>
      </c>
      <c r="AF36" s="19">
        <f>IF($F36="",NA(),IF($F36&gt;$M36,$F36,NA()))</f>
        <v/>
      </c>
      <c r="AG36" s="19">
        <f>IF(COUNT($F29:$F36)&lt;8,NA(),IF(MIN($F29:$F36)&gt;$N36,$F36,NA()))</f>
        <v/>
      </c>
    </row>
    <row r="37">
      <c r="A37" t="inlineStr">
        <is>
          <t>Incident 24</t>
        </is>
      </c>
      <c r="B37" s="28" t="n">
        <v>40</v>
      </c>
      <c r="C37" s="26">
        <f>IF(B37="","",B37^(1/3.6))</f>
        <v/>
      </c>
      <c r="D37" s="26">
        <f>IF(COUNT(C36:C37)=2,ABS(C37-C36),"")</f>
        <v/>
      </c>
      <c r="E37" s="26">
        <f>IF(B37="","",$B$7)</f>
        <v/>
      </c>
      <c r="F37" s="28" t="n">
        <v>38400</v>
      </c>
      <c r="G37" s="34">
        <f>IF(F37="","",$B$10)</f>
        <v/>
      </c>
      <c r="H37" s="18">
        <f>IF(B37="","",IF(C37&gt;$B$7+2.66*$B$8,"Longer gap than expected — improvement",IF(C37&lt;$B$7-2.66*$B$8,"Shorter gap than expected — investigate","")))</f>
        <v/>
      </c>
      <c r="J37" s="35">
        <f>IF(B37="","",($B$7+2.66*$B$8)^3.6)</f>
        <v/>
      </c>
      <c r="K37" s="35">
        <f>IF(B37="","",MAX(0,$B$7-2.66*$B$8)^3.6)</f>
        <v/>
      </c>
      <c r="L37" s="35">
        <f>IF(B37="","",$B$7^3.6)</f>
        <v/>
      </c>
      <c r="M37" s="36">
        <f>IF(F37="","",$B$11)</f>
        <v/>
      </c>
      <c r="N37" s="36">
        <f>IF(F37="","",MEDIAN($F$14:$F$37))</f>
        <v/>
      </c>
      <c r="AD37" s="19">
        <f>IF($B37="",NA(),IF(OR($C37&gt;$B$7+2.66*$B$8,$C37&lt;$B$7-2.66*$B$8),$B37,NA()))</f>
        <v/>
      </c>
      <c r="AE37" s="19">
        <f>IF(COUNT($C30:$C37)&lt;8,NA(),IF(OR(MIN($C30:$C37)&gt;$B$7,MAX($C30:$C37)&lt;$B$7),$B37,NA()))</f>
        <v/>
      </c>
      <c r="AF37" s="19">
        <f>IF($F37="",NA(),IF($F37&gt;$M37,$F37,NA()))</f>
        <v/>
      </c>
      <c r="AG37" s="19">
        <f>IF(COUNT($F30:$F37)&lt;8,NA(),IF(MIN($F30:$F37)&gt;$N37,$F37,NA()))</f>
        <v/>
      </c>
    </row>
  </sheetData>
  <mergeCells count="10">
    <mergeCell ref="A12:H12"/>
    <mergeCell ref="A4:H4"/>
    <mergeCell ref="C6:H6"/>
    <mergeCell ref="C10:H10"/>
    <mergeCell ref="C11:H11"/>
    <mergeCell ref="C5:H5"/>
    <mergeCell ref="A2:H2"/>
    <mergeCell ref="C9:H9"/>
    <mergeCell ref="A1:H1"/>
    <mergeCell ref="C7:H7"/>
  </mergeCells>
  <printOptions horizontalCentered="1"/>
  <pageMargins left="0.4" right="0.4" top="0.5" bottom="0.5"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2026-08-01T01:14:59Z</dcterms:created>
  <dcterms:modified xsi:type="dcterms:W3CDTF">2026-08-01T01:14:59Z</dcterms:modified>
</cp:coreProperties>
</file>