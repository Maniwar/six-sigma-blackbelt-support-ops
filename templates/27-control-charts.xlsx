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45" customHeight="1">
      <c r="B6"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mergeCells count="1">
    <mergeCell ref="B10"/>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449</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471</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478</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466</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8120</v>
      </c>
      <c r="C36" s="26" t="n">
        <v>5180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7950</v>
      </c>
      <c r="C37" s="26" t="n">
        <v>5060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119</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132</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ht="30" customHeight="1">
      <c r="A9" s="12" t="inlineStr">
        <is>
          <t>D4 for this n</t>
        </is>
      </c>
      <c r="B9" s="23">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446</v>
      </c>
      <c r="C14" s="26" t="n">
        <v>410</v>
      </c>
      <c r="D14" s="26" t="n">
        <v>407</v>
      </c>
      <c r="E14" s="26" t="n">
        <v>399</v>
      </c>
      <c r="F14" s="26" t="n">
        <v>400</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428</v>
      </c>
      <c r="C15" s="26" t="n">
        <v>399</v>
      </c>
      <c r="D15" s="26" t="n">
        <v>370</v>
      </c>
      <c r="E15" s="26" t="n">
        <v>401</v>
      </c>
      <c r="F15" s="26" t="n">
        <v>432</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414</v>
      </c>
      <c r="C16" s="26" t="n">
        <v>421</v>
      </c>
      <c r="D16" s="26" t="n">
        <v>423</v>
      </c>
      <c r="E16" s="26" t="n">
        <v>416</v>
      </c>
      <c r="F16" s="26" t="n">
        <v>391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442</v>
      </c>
      <c r="C17" s="26" t="n">
        <v>441</v>
      </c>
      <c r="D17" s="26" t="n">
        <v>393</v>
      </c>
      <c r="E17" s="26" t="n">
        <v>410</v>
      </c>
      <c r="F17" s="26" t="n">
        <v>429</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407</v>
      </c>
      <c r="C18" s="26" t="n">
        <v>409</v>
      </c>
      <c r="D18" s="26" t="n">
        <v>391</v>
      </c>
      <c r="E18" s="26" t="n">
        <v>419</v>
      </c>
      <c r="F18" s="26" t="n">
        <v>403</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415</v>
      </c>
      <c r="C19" s="26" t="n">
        <v>429</v>
      </c>
      <c r="D19" s="26" t="n">
        <v>421</v>
      </c>
      <c r="E19" s="26" t="n">
        <v>407</v>
      </c>
      <c r="F19" s="26" t="n">
        <v>389</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415</v>
      </c>
      <c r="C20" s="26" t="n">
        <v>418</v>
      </c>
      <c r="D20" s="26" t="n">
        <v>421</v>
      </c>
      <c r="E20" s="26" t="n">
        <v>428</v>
      </c>
      <c r="F20" s="26" t="n">
        <v>426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414</v>
      </c>
      <c r="C21" s="26" t="n">
        <v>385</v>
      </c>
      <c r="D21" s="26" t="n">
        <v>404</v>
      </c>
      <c r="E21" s="26" t="n">
        <v>389</v>
      </c>
      <c r="F21" s="26" t="n">
        <v>416</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400</v>
      </c>
      <c r="C22" s="26" t="n">
        <v>404</v>
      </c>
      <c r="D22" s="26" t="n">
        <v>406</v>
      </c>
      <c r="E22" s="26" t="n">
        <v>392</v>
      </c>
      <c r="F22" s="26" t="n">
        <v>434</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419</v>
      </c>
      <c r="C23" s="26" t="n">
        <v>399</v>
      </c>
      <c r="D23" s="26" t="n">
        <v>433</v>
      </c>
      <c r="E23" s="26" t="n">
        <v>405</v>
      </c>
      <c r="F23" s="26" t="n">
        <v>376</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394</v>
      </c>
      <c r="C24" s="26" t="n">
        <v>399</v>
      </c>
      <c r="D24" s="26" t="n">
        <v>398</v>
      </c>
      <c r="E24" s="26" t="n">
        <v>380</v>
      </c>
      <c r="F24" s="26" t="n">
        <v>414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397</v>
      </c>
      <c r="C25" s="26" t="n">
        <v>401</v>
      </c>
      <c r="D25" s="26" t="n">
        <v>424</v>
      </c>
      <c r="E25" s="26" t="n">
        <v>403</v>
      </c>
      <c r="F25" s="26" t="n">
        <v>429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392</v>
      </c>
      <c r="C26" s="26" t="n">
        <v>379</v>
      </c>
      <c r="D26" s="26" t="n">
        <v>406</v>
      </c>
      <c r="E26" s="26" t="n">
        <v>404</v>
      </c>
      <c r="F26" s="26" t="n">
        <v>396</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408</v>
      </c>
      <c r="C27" s="26" t="n">
        <v>392</v>
      </c>
      <c r="D27" s="26" t="n">
        <v>420</v>
      </c>
      <c r="E27" s="26" t="n">
        <v>390</v>
      </c>
      <c r="F27" s="26" t="n">
        <v>394</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415</v>
      </c>
      <c r="C28" s="26" t="n">
        <v>383</v>
      </c>
      <c r="D28" s="26" t="n">
        <v>411</v>
      </c>
      <c r="E28" s="26" t="n">
        <v>403</v>
      </c>
      <c r="F28" s="26" t="n">
        <v>407</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399</v>
      </c>
      <c r="C29" s="26" t="n">
        <v>415</v>
      </c>
      <c r="D29" s="26" t="n">
        <v>400</v>
      </c>
      <c r="E29" s="26" t="n">
        <v>452</v>
      </c>
      <c r="F29" s="26" t="n">
        <v>406</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425</v>
      </c>
      <c r="C30" s="26" t="n">
        <v>419</v>
      </c>
      <c r="D30" s="26" t="n">
        <v>418</v>
      </c>
      <c r="E30" s="26" t="n">
        <v>407</v>
      </c>
      <c r="F30" s="26" t="n">
        <v>411</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397</v>
      </c>
      <c r="C31" s="26" t="n">
        <v>383</v>
      </c>
      <c r="D31" s="26" t="n">
        <v>403</v>
      </c>
      <c r="E31" s="26" t="n">
        <v>413</v>
      </c>
      <c r="F31" s="26" t="n">
        <v>401</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420</v>
      </c>
      <c r="C32" s="26" t="n">
        <v>414</v>
      </c>
      <c r="D32" s="26" t="n">
        <v>391</v>
      </c>
      <c r="E32" s="26" t="n">
        <v>417</v>
      </c>
      <c r="F32" s="26" t="n">
        <v>383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424</v>
      </c>
      <c r="C33" s="26" t="n">
        <v>416</v>
      </c>
      <c r="D33" s="26" t="n">
        <v>402</v>
      </c>
      <c r="E33" s="26" t="n">
        <v>386</v>
      </c>
      <c r="F33" s="26" t="n">
        <v>436</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459</v>
      </c>
      <c r="C34" s="26" t="n">
        <v>437</v>
      </c>
      <c r="D34" s="26" t="n">
        <v>461</v>
      </c>
      <c r="E34" s="26" t="n">
        <v>443</v>
      </c>
      <c r="F34" s="26" t="n">
        <v>433</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448</v>
      </c>
      <c r="C35" s="26" t="n">
        <v>463</v>
      </c>
      <c r="D35" s="26" t="n">
        <v>458</v>
      </c>
      <c r="E35" s="26" t="n">
        <v>417</v>
      </c>
      <c r="F35" s="26" t="n">
        <v>428</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459</v>
      </c>
      <c r="C36" s="26" t="n">
        <v>448</v>
      </c>
      <c r="D36" s="26" t="n">
        <v>447</v>
      </c>
      <c r="E36" s="26" t="n">
        <v>429</v>
      </c>
      <c r="F36" s="26" t="n">
        <v>442</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433</v>
      </c>
      <c r="C37" s="26" t="n">
        <v>429</v>
      </c>
      <c r="D37" s="26" t="n">
        <v>452</v>
      </c>
      <c r="E37" s="26" t="n">
        <v>425</v>
      </c>
      <c r="F37" s="26" t="n">
        <v>459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2">
    <mergeCell ref="C5:L5"/>
    <mergeCell ref="A2:L2"/>
    <mergeCell ref="C8:L8"/>
    <mergeCell ref="C9:L9"/>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ht="45" customHeight="1">
      <c r="A9" s="12" t="inlineStr">
        <is>
          <t>Sigma estimate</t>
        </is>
      </c>
      <c r="B9" s="17">
        <f>B8/1.128</f>
        <v/>
      </c>
      <c r="C9" s="16"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ht="45" customHeight="1">
      <c r="A8" s="12" t="inlineStr">
        <is>
          <t>Transformed MR-bar</t>
        </is>
      </c>
      <c r="B8" s="29">
        <f>AVERAGE(D15:D37)</f>
        <v/>
      </c>
      <c r="C8" s="16"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168</v>
      </c>
      <c r="C37" s="27">
        <f>IF(B37="","",B37^(1/3.6))</f>
        <v/>
      </c>
      <c r="D37" s="27">
        <f>IF(COUNT(C36:C37)=2,ABS(C37-C36),"")</f>
        <v/>
      </c>
      <c r="E37" s="27">
        <f>IF(B37="","",$B$7)</f>
        <v/>
      </c>
      <c r="F37" s="26" t="n">
        <v>161000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1">
    <mergeCell ref="A12:H12"/>
    <mergeCell ref="A4:H4"/>
    <mergeCell ref="C6:H6"/>
    <mergeCell ref="C10:H10"/>
    <mergeCell ref="C11:H11"/>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