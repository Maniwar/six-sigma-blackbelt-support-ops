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22"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22"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22"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22"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22"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22"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22"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22"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22"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22"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22"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22"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22"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22"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22"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22"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22"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22"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22"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22"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22"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22"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22"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30" t="n">
        <v>8140</v>
      </c>
      <c r="C15" s="30"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30" t="n">
        <v>7960</v>
      </c>
      <c r="C16" s="30"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30" t="n">
        <v>8310</v>
      </c>
      <c r="C17" s="30"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30" t="n">
        <v>7690</v>
      </c>
      <c r="C18" s="30"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30" t="n">
        <v>8020</v>
      </c>
      <c r="C19" s="30"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30" t="n">
        <v>8450</v>
      </c>
      <c r="C20" s="30"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30" t="n">
        <v>7880</v>
      </c>
      <c r="C21" s="30"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c r="A22" t="inlineStr">
        <is>
          <t>Day 9</t>
        </is>
      </c>
      <c r="B22" s="30" t="n">
        <v>8210</v>
      </c>
      <c r="C22" s="30"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T22" s="21" t="n">
        <v>9</v>
      </c>
      <c r="AD22" s="21">
        <f>IF($D22="",NA(),IF(OR($D22&gt;$K22,$D22&lt;$L22),$D22,NA()))</f>
        <v/>
      </c>
      <c r="AE22" s="21">
        <f>IF(COUNT($D15:$D22)&lt;8,NA(),IF(OR(MIN($D15:$D22)&gt;$B$5,MAX($D15:$D22)&lt;$B$5),$D22,NA()))</f>
        <v/>
      </c>
    </row>
    <row r="23">
      <c r="A23" t="inlineStr">
        <is>
          <t>Day 10</t>
        </is>
      </c>
      <c r="B23" s="30" t="n">
        <v>7740</v>
      </c>
      <c r="C23" s="30"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30" t="n">
        <v>8090</v>
      </c>
      <c r="C24" s="30"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30" t="n">
        <v>8380</v>
      </c>
      <c r="C25" s="30"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30" t="n">
        <v>7930</v>
      </c>
      <c r="C26" s="30"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30" t="n">
        <v>8260</v>
      </c>
      <c r="C27" s="30"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30" t="n">
        <v>7810</v>
      </c>
      <c r="C28" s="30"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30" t="n">
        <v>8150</v>
      </c>
      <c r="C29" s="30"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30" t="n">
        <v>8470</v>
      </c>
      <c r="C30" s="30"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30" t="n">
        <v>7860</v>
      </c>
      <c r="C31" s="30"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30" t="n">
        <v>8030</v>
      </c>
      <c r="C32" s="30"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30" t="n">
        <v>8340</v>
      </c>
      <c r="C33" s="30"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30" t="n">
        <v>7900</v>
      </c>
      <c r="C34" s="30"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30" t="n">
        <v>8180</v>
      </c>
      <c r="C35" s="30"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30" t="n">
        <v>7770</v>
      </c>
      <c r="C36" s="30" t="n">
        <v>5450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30" t="n">
        <v>8240</v>
      </c>
      <c r="C37" s="30" t="n">
        <v>6020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1">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2">
        <f>IF(B14="","",$B$5+3*E14*$B$7)</f>
        <v/>
      </c>
      <c r="L14" s="32">
        <f>IF(B14="","",MAX(0,$B$5-3*E14*$B$7))</f>
        <v/>
      </c>
      <c r="M14" s="32">
        <f>IF(B14="","",$B$5)</f>
        <v/>
      </c>
      <c r="T14" s="21" t="n">
        <v>1</v>
      </c>
      <c r="AD14" s="21">
        <f>IF($D14="",NA(),IF(OR($D14&gt;$K14,$D14&lt;$L14),$D14,NA()))</f>
        <v/>
      </c>
      <c r="AE14" s="21">
        <f>NA()</f>
        <v/>
      </c>
    </row>
    <row r="15">
      <c r="A15" t="inlineStr">
        <is>
          <t>Week 2</t>
        </is>
      </c>
      <c r="B15" s="30" t="n">
        <v>1310</v>
      </c>
      <c r="C15" s="30" t="n">
        <v>68</v>
      </c>
      <c r="D15" s="28">
        <f>IF(B15="","",C15/B15)</f>
        <v/>
      </c>
      <c r="E15" s="28">
        <f>IF(B15="","",SQRT($B$5/B15))</f>
        <v/>
      </c>
      <c r="F15" s="17">
        <f>IF(B15="","",(D15-$B$5)/E15)</f>
        <v/>
      </c>
      <c r="G15" s="17">
        <f>IF(COUNT(F14:F15)=2,ABS(F15-F14),"")</f>
        <v/>
      </c>
      <c r="I15" s="20">
        <f>IF(D15="","",IF(OR(D15&gt;K15,D15&lt;L15),"OUT OF CONTROL",""))</f>
        <v/>
      </c>
      <c r="K15" s="32">
        <f>IF(B15="","",$B$5+3*E15*$B$7)</f>
        <v/>
      </c>
      <c r="L15" s="32">
        <f>IF(B15="","",MAX(0,$B$5-3*E15*$B$7))</f>
        <v/>
      </c>
      <c r="M15" s="32">
        <f>IF(B15="","",$B$5)</f>
        <v/>
      </c>
      <c r="T15" s="21" t="n">
        <v>2</v>
      </c>
      <c r="AD15" s="21">
        <f>IF($D15="",NA(),IF(OR($D15&gt;$K15,$D15&lt;$L15),$D15,NA()))</f>
        <v/>
      </c>
      <c r="AE15" s="21">
        <f>NA()</f>
        <v/>
      </c>
    </row>
    <row r="16">
      <c r="A16" t="inlineStr">
        <is>
          <t>Week 3</t>
        </is>
      </c>
      <c r="B16" s="30" t="n">
        <v>1180</v>
      </c>
      <c r="C16" s="30" t="n">
        <v>42</v>
      </c>
      <c r="D16" s="28">
        <f>IF(B16="","",C16/B16)</f>
        <v/>
      </c>
      <c r="E16" s="28">
        <f>IF(B16="","",SQRT($B$5/B16))</f>
        <v/>
      </c>
      <c r="F16" s="17">
        <f>IF(B16="","",(D16-$B$5)/E16)</f>
        <v/>
      </c>
      <c r="G16" s="17">
        <f>IF(COUNT(F15:F16)=2,ABS(F16-F15),"")</f>
        <v/>
      </c>
      <c r="I16" s="20">
        <f>IF(D16="","",IF(OR(D16&gt;K16,D16&lt;L16),"OUT OF CONTROL",""))</f>
        <v/>
      </c>
      <c r="K16" s="32">
        <f>IF(B16="","",$B$5+3*E16*$B$7)</f>
        <v/>
      </c>
      <c r="L16" s="32">
        <f>IF(B16="","",MAX(0,$B$5-3*E16*$B$7))</f>
        <v/>
      </c>
      <c r="M16" s="32">
        <f>IF(B16="","",$B$5)</f>
        <v/>
      </c>
      <c r="T16" s="21" t="n">
        <v>3</v>
      </c>
      <c r="AD16" s="21">
        <f>IF($D16="",NA(),IF(OR($D16&gt;$K16,$D16&lt;$L16),$D16,NA()))</f>
        <v/>
      </c>
      <c r="AE16" s="21">
        <f>NA()</f>
        <v/>
      </c>
    </row>
    <row r="17">
      <c r="A17" t="inlineStr">
        <is>
          <t>Week 4</t>
        </is>
      </c>
      <c r="B17" s="30" t="n">
        <v>1420</v>
      </c>
      <c r="C17" s="30" t="n">
        <v>82</v>
      </c>
      <c r="D17" s="28">
        <f>IF(B17="","",C17/B17)</f>
        <v/>
      </c>
      <c r="E17" s="28">
        <f>IF(B17="","",SQRT($B$5/B17))</f>
        <v/>
      </c>
      <c r="F17" s="17">
        <f>IF(B17="","",(D17-$B$5)/E17)</f>
        <v/>
      </c>
      <c r="G17" s="17">
        <f>IF(COUNT(F16:F17)=2,ABS(F17-F16),"")</f>
        <v/>
      </c>
      <c r="I17" s="20">
        <f>IF(D17="","",IF(OR(D17&gt;K17,D17&lt;L17),"OUT OF CONTROL",""))</f>
        <v/>
      </c>
      <c r="K17" s="32">
        <f>IF(B17="","",$B$5+3*E17*$B$7)</f>
        <v/>
      </c>
      <c r="L17" s="32">
        <f>IF(B17="","",MAX(0,$B$5-3*E17*$B$7))</f>
        <v/>
      </c>
      <c r="M17" s="32">
        <f>IF(B17="","",$B$5)</f>
        <v/>
      </c>
      <c r="T17" s="21" t="n">
        <v>4</v>
      </c>
      <c r="AD17" s="21">
        <f>IF($D17="",NA(),IF(OR($D17&gt;$K17,$D17&lt;$L17),$D17,NA()))</f>
        <v/>
      </c>
      <c r="AE17" s="21">
        <f>NA()</f>
        <v/>
      </c>
    </row>
    <row r="18">
      <c r="A18" t="inlineStr">
        <is>
          <t>Week 5</t>
        </is>
      </c>
      <c r="B18" s="30" t="n">
        <v>1275</v>
      </c>
      <c r="C18" s="30" t="n">
        <v>42</v>
      </c>
      <c r="D18" s="28">
        <f>IF(B18="","",C18/B18)</f>
        <v/>
      </c>
      <c r="E18" s="28">
        <f>IF(B18="","",SQRT($B$5/B18))</f>
        <v/>
      </c>
      <c r="F18" s="17">
        <f>IF(B18="","",(D18-$B$5)/E18)</f>
        <v/>
      </c>
      <c r="G18" s="17">
        <f>IF(COUNT(F17:F18)=2,ABS(F18-F17),"")</f>
        <v/>
      </c>
      <c r="I18" s="20">
        <f>IF(D18="","",IF(OR(D18&gt;K18,D18&lt;L18),"OUT OF CONTROL",""))</f>
        <v/>
      </c>
      <c r="K18" s="32">
        <f>IF(B18="","",$B$5+3*E18*$B$7)</f>
        <v/>
      </c>
      <c r="L18" s="32">
        <f>IF(B18="","",MAX(0,$B$5-3*E18*$B$7))</f>
        <v/>
      </c>
      <c r="M18" s="32">
        <f>IF(B18="","",$B$5)</f>
        <v/>
      </c>
      <c r="T18" s="21" t="n">
        <v>5</v>
      </c>
      <c r="AD18" s="21">
        <f>IF($D18="",NA(),IF(OR($D18&gt;$K18,$D18&lt;$L18),$D18,NA()))</f>
        <v/>
      </c>
      <c r="AE18" s="21">
        <f>NA()</f>
        <v/>
      </c>
    </row>
    <row r="19">
      <c r="A19" t="inlineStr">
        <is>
          <t>Week 6</t>
        </is>
      </c>
      <c r="B19" s="30" t="n">
        <v>1195</v>
      </c>
      <c r="C19" s="30" t="n">
        <v>59</v>
      </c>
      <c r="D19" s="28">
        <f>IF(B19="","",C19/B19)</f>
        <v/>
      </c>
      <c r="E19" s="28">
        <f>IF(B19="","",SQRT($B$5/B19))</f>
        <v/>
      </c>
      <c r="F19" s="17">
        <f>IF(B19="","",(D19-$B$5)/E19)</f>
        <v/>
      </c>
      <c r="G19" s="17">
        <f>IF(COUNT(F18:F19)=2,ABS(F19-F18),"")</f>
        <v/>
      </c>
      <c r="I19" s="20">
        <f>IF(D19="","",IF(OR(D19&gt;K19,D19&lt;L19),"OUT OF CONTROL",""))</f>
        <v/>
      </c>
      <c r="K19" s="32">
        <f>IF(B19="","",$B$5+3*E19*$B$7)</f>
        <v/>
      </c>
      <c r="L19" s="32">
        <f>IF(B19="","",MAX(0,$B$5-3*E19*$B$7))</f>
        <v/>
      </c>
      <c r="M19" s="32">
        <f>IF(B19="","",$B$5)</f>
        <v/>
      </c>
      <c r="T19" s="21" t="n">
        <v>6</v>
      </c>
      <c r="AD19" s="21">
        <f>IF($D19="",NA(),IF(OR($D19&gt;$K19,$D19&lt;$L19),$D19,NA()))</f>
        <v/>
      </c>
      <c r="AE19" s="21">
        <f>NA()</f>
        <v/>
      </c>
    </row>
    <row r="20">
      <c r="A20" t="inlineStr">
        <is>
          <t>Week 7</t>
        </is>
      </c>
      <c r="B20" s="30" t="n">
        <v>1360</v>
      </c>
      <c r="C20" s="30" t="n">
        <v>56</v>
      </c>
      <c r="D20" s="28">
        <f>IF(B20="","",C20/B20)</f>
        <v/>
      </c>
      <c r="E20" s="28">
        <f>IF(B20="","",SQRT($B$5/B20))</f>
        <v/>
      </c>
      <c r="F20" s="17">
        <f>IF(B20="","",(D20-$B$5)/E20)</f>
        <v/>
      </c>
      <c r="G20" s="17">
        <f>IF(COUNT(F19:F20)=2,ABS(F20-F19),"")</f>
        <v/>
      </c>
      <c r="I20" s="20">
        <f>IF(D20="","",IF(OR(D20&gt;K20,D20&lt;L20),"OUT OF CONTROL",""))</f>
        <v/>
      </c>
      <c r="K20" s="32">
        <f>IF(B20="","",$B$5+3*E20*$B$7)</f>
        <v/>
      </c>
      <c r="L20" s="32">
        <f>IF(B20="","",MAX(0,$B$5-3*E20*$B$7))</f>
        <v/>
      </c>
      <c r="M20" s="32">
        <f>IF(B20="","",$B$5)</f>
        <v/>
      </c>
      <c r="T20" s="21" t="n">
        <v>7</v>
      </c>
      <c r="AD20" s="21">
        <f>IF($D20="",NA(),IF(OR($D20&gt;$K20,$D20&lt;$L20),$D20,NA()))</f>
        <v/>
      </c>
      <c r="AE20" s="21">
        <f>NA()</f>
        <v/>
      </c>
    </row>
    <row r="21">
      <c r="A21" t="inlineStr">
        <is>
          <t>Week 8</t>
        </is>
      </c>
      <c r="B21" s="30" t="n">
        <v>1230</v>
      </c>
      <c r="C21" s="30" t="n">
        <v>69</v>
      </c>
      <c r="D21" s="28">
        <f>IF(B21="","",C21/B21)</f>
        <v/>
      </c>
      <c r="E21" s="28">
        <f>IF(B21="","",SQRT($B$5/B21))</f>
        <v/>
      </c>
      <c r="F21" s="17">
        <f>IF(B21="","",(D21-$B$5)/E21)</f>
        <v/>
      </c>
      <c r="G21" s="17">
        <f>IF(COUNT(F20:F21)=2,ABS(F21-F20),"")</f>
        <v/>
      </c>
      <c r="I21" s="20">
        <f>IF(D21="","",IF(OR(D21&gt;K21,D21&lt;L21),"OUT OF CONTROL",""))</f>
        <v/>
      </c>
      <c r="K21" s="32">
        <f>IF(B21="","",$B$5+3*E21*$B$7)</f>
        <v/>
      </c>
      <c r="L21" s="32">
        <f>IF(B21="","",MAX(0,$B$5-3*E21*$B$7))</f>
        <v/>
      </c>
      <c r="M21" s="32">
        <f>IF(B21="","",$B$5)</f>
        <v/>
      </c>
      <c r="T21" s="21" t="n">
        <v>8</v>
      </c>
      <c r="AD21" s="21">
        <f>IF($D21="",NA(),IF(OR($D21&gt;$K21,$D21&lt;$L21),$D21,NA()))</f>
        <v/>
      </c>
      <c r="AE21" s="21">
        <f>IF(COUNT($D14:$D21)&lt;8,NA(),IF(OR(MIN($D14:$D21)&gt;$B$5,MAX($D14:$D21)&lt;$B$5),$D21,NA()))</f>
        <v/>
      </c>
    </row>
    <row r="22">
      <c r="A22" t="inlineStr">
        <is>
          <t>Week 9</t>
        </is>
      </c>
      <c r="B22" s="30" t="n">
        <v>1405</v>
      </c>
      <c r="C22" s="30" t="n">
        <v>42</v>
      </c>
      <c r="D22" s="28">
        <f>IF(B22="","",C22/B22)</f>
        <v/>
      </c>
      <c r="E22" s="28">
        <f>IF(B22="","",SQRT($B$5/B22))</f>
        <v/>
      </c>
      <c r="F22" s="17">
        <f>IF(B22="","",(D22-$B$5)/E22)</f>
        <v/>
      </c>
      <c r="G22" s="17">
        <f>IF(COUNT(F21:F22)=2,ABS(F22-F21),"")</f>
        <v/>
      </c>
      <c r="I22" s="20">
        <f>IF(D22="","",IF(OR(D22&gt;K22,D22&lt;L22),"OUT OF CONTROL",""))</f>
        <v/>
      </c>
      <c r="K22" s="32">
        <f>IF(B22="","",$B$5+3*E22*$B$7)</f>
        <v/>
      </c>
      <c r="L22" s="32">
        <f>IF(B22="","",MAX(0,$B$5-3*E22*$B$7))</f>
        <v/>
      </c>
      <c r="M22" s="32">
        <f>IF(B22="","",$B$5)</f>
        <v/>
      </c>
      <c r="T22" s="21" t="n">
        <v>9</v>
      </c>
      <c r="AD22" s="21">
        <f>IF($D22="",NA(),IF(OR($D22&gt;$K22,$D22&lt;$L22),$D22,NA()))</f>
        <v/>
      </c>
      <c r="AE22" s="21">
        <f>IF(COUNT($D15:$D22)&lt;8,NA(),IF(OR(MIN($D15:$D22)&gt;$B$5,MAX($D15:$D22)&lt;$B$5),$D22,NA()))</f>
        <v/>
      </c>
    </row>
    <row r="23">
      <c r="A23" t="inlineStr">
        <is>
          <t>Week 10</t>
        </is>
      </c>
      <c r="B23" s="30" t="n">
        <v>1150</v>
      </c>
      <c r="C23" s="30" t="n">
        <v>54</v>
      </c>
      <c r="D23" s="28">
        <f>IF(B23="","",C23/B23)</f>
        <v/>
      </c>
      <c r="E23" s="28">
        <f>IF(B23="","",SQRT($B$5/B23))</f>
        <v/>
      </c>
      <c r="F23" s="17">
        <f>IF(B23="","",(D23-$B$5)/E23)</f>
        <v/>
      </c>
      <c r="G23" s="17">
        <f>IF(COUNT(F22:F23)=2,ABS(F23-F22),"")</f>
        <v/>
      </c>
      <c r="I23" s="20">
        <f>IF(D23="","",IF(OR(D23&gt;K23,D23&lt;L23),"OUT OF CONTROL",""))</f>
        <v/>
      </c>
      <c r="K23" s="32">
        <f>IF(B23="","",$B$5+3*E23*$B$7)</f>
        <v/>
      </c>
      <c r="L23" s="32">
        <f>IF(B23="","",MAX(0,$B$5-3*E23*$B$7))</f>
        <v/>
      </c>
      <c r="M23" s="32">
        <f>IF(B23="","",$B$5)</f>
        <v/>
      </c>
      <c r="T23" s="21" t="n">
        <v>10</v>
      </c>
      <c r="AD23" s="21">
        <f>IF($D23="",NA(),IF(OR($D23&gt;$K23,$D23&lt;$L23),$D23,NA()))</f>
        <v/>
      </c>
      <c r="AE23" s="21">
        <f>IF(COUNT($D16:$D23)&lt;8,NA(),IF(OR(MIN($D16:$D23)&gt;$B$5,MAX($D16:$D23)&lt;$B$5),$D23,NA()))</f>
        <v/>
      </c>
    </row>
    <row r="24">
      <c r="A24" t="inlineStr">
        <is>
          <t>Week 11</t>
        </is>
      </c>
      <c r="B24" s="30" t="n">
        <v>1290</v>
      </c>
      <c r="C24" s="30" t="n">
        <v>49</v>
      </c>
      <c r="D24" s="28">
        <f>IF(B24="","",C24/B24)</f>
        <v/>
      </c>
      <c r="E24" s="28">
        <f>IF(B24="","",SQRT($B$5/B24))</f>
        <v/>
      </c>
      <c r="F24" s="17">
        <f>IF(B24="","",(D24-$B$5)/E24)</f>
        <v/>
      </c>
      <c r="G24" s="17">
        <f>IF(COUNT(F23:F24)=2,ABS(F24-F23),"")</f>
        <v/>
      </c>
      <c r="I24" s="20">
        <f>IF(D24="","",IF(OR(D24&gt;K24,D24&lt;L24),"OUT OF CONTROL",""))</f>
        <v/>
      </c>
      <c r="K24" s="32">
        <f>IF(B24="","",$B$5+3*E24*$B$7)</f>
        <v/>
      </c>
      <c r="L24" s="32">
        <f>IF(B24="","",MAX(0,$B$5-3*E24*$B$7))</f>
        <v/>
      </c>
      <c r="M24" s="32">
        <f>IF(B24="","",$B$5)</f>
        <v/>
      </c>
      <c r="T24" s="21" t="n">
        <v>11</v>
      </c>
      <c r="AD24" s="21">
        <f>IF($D24="",NA(),IF(OR($D24&gt;$K24,$D24&lt;$L24),$D24,NA()))</f>
        <v/>
      </c>
      <c r="AE24" s="21">
        <f>IF(COUNT($D17:$D24)&lt;8,NA(),IF(OR(MIN($D17:$D24)&gt;$B$5,MAX($D17:$D24)&lt;$B$5),$D24,NA()))</f>
        <v/>
      </c>
    </row>
    <row r="25">
      <c r="A25" t="inlineStr">
        <is>
          <t>Week 12</t>
        </is>
      </c>
      <c r="B25" s="30" t="n">
        <v>1375</v>
      </c>
      <c r="C25" s="30" t="n">
        <v>74</v>
      </c>
      <c r="D25" s="28">
        <f>IF(B25="","",C25/B25)</f>
        <v/>
      </c>
      <c r="E25" s="28">
        <f>IF(B25="","",SQRT($B$5/B25))</f>
        <v/>
      </c>
      <c r="F25" s="17">
        <f>IF(B25="","",(D25-$B$5)/E25)</f>
        <v/>
      </c>
      <c r="G25" s="17">
        <f>IF(COUNT(F24:F25)=2,ABS(F25-F24),"")</f>
        <v/>
      </c>
      <c r="I25" s="20">
        <f>IF(D25="","",IF(OR(D25&gt;K25,D25&lt;L25),"OUT OF CONTROL",""))</f>
        <v/>
      </c>
      <c r="K25" s="32">
        <f>IF(B25="","",$B$5+3*E25*$B$7)</f>
        <v/>
      </c>
      <c r="L25" s="32">
        <f>IF(B25="","",MAX(0,$B$5-3*E25*$B$7))</f>
        <v/>
      </c>
      <c r="M25" s="32">
        <f>IF(B25="","",$B$5)</f>
        <v/>
      </c>
      <c r="T25" s="21" t="n">
        <v>12</v>
      </c>
      <c r="AD25" s="21">
        <f>IF($D25="",NA(),IF(OR($D25&gt;$K25,$D25&lt;$L25),$D25,NA()))</f>
        <v/>
      </c>
      <c r="AE25" s="21">
        <f>IF(COUNT($D18:$D25)&lt;8,NA(),IF(OR(MIN($D18:$D25)&gt;$B$5,MAX($D18:$D25)&lt;$B$5),$D25,NA()))</f>
        <v/>
      </c>
    </row>
    <row r="26">
      <c r="A26" t="inlineStr">
        <is>
          <t>Week 13</t>
        </is>
      </c>
      <c r="B26" s="30" t="n">
        <v>1215</v>
      </c>
      <c r="C26" s="30" t="n">
        <v>39</v>
      </c>
      <c r="D26" s="28">
        <f>IF(B26="","",C26/B26)</f>
        <v/>
      </c>
      <c r="E26" s="28">
        <f>IF(B26="","",SQRT($B$5/B26))</f>
        <v/>
      </c>
      <c r="F26" s="17">
        <f>IF(B26="","",(D26-$B$5)/E26)</f>
        <v/>
      </c>
      <c r="G26" s="17">
        <f>IF(COUNT(F25:F26)=2,ABS(F26-F25),"")</f>
        <v/>
      </c>
      <c r="I26" s="20">
        <f>IF(D26="","",IF(OR(D26&gt;K26,D26&lt;L26),"OUT OF CONTROL",""))</f>
        <v/>
      </c>
      <c r="K26" s="32">
        <f>IF(B26="","",$B$5+3*E26*$B$7)</f>
        <v/>
      </c>
      <c r="L26" s="32">
        <f>IF(B26="","",MAX(0,$B$5-3*E26*$B$7))</f>
        <v/>
      </c>
      <c r="M26" s="32">
        <f>IF(B26="","",$B$5)</f>
        <v/>
      </c>
      <c r="T26" s="21" t="n">
        <v>13</v>
      </c>
      <c r="AD26" s="21">
        <f>IF($D26="",NA(),IF(OR($D26&gt;$K26,$D26&lt;$L26),$D26,NA()))</f>
        <v/>
      </c>
      <c r="AE26" s="21">
        <f>IF(COUNT($D19:$D26)&lt;8,NA(),IF(OR(MIN($D19:$D26)&gt;$B$5,MAX($D19:$D26)&lt;$B$5),$D26,NA()))</f>
        <v/>
      </c>
    </row>
    <row r="27">
      <c r="A27" t="inlineStr">
        <is>
          <t>Week 14</t>
        </is>
      </c>
      <c r="B27" s="30" t="n">
        <v>1330</v>
      </c>
      <c r="C27" s="30" t="n">
        <v>66</v>
      </c>
      <c r="D27" s="28">
        <f>IF(B27="","",C27/B27)</f>
        <v/>
      </c>
      <c r="E27" s="28">
        <f>IF(B27="","",SQRT($B$5/B27))</f>
        <v/>
      </c>
      <c r="F27" s="17">
        <f>IF(B27="","",(D27-$B$5)/E27)</f>
        <v/>
      </c>
      <c r="G27" s="17">
        <f>IF(COUNT(F26:F27)=2,ABS(F27-F26),"")</f>
        <v/>
      </c>
      <c r="I27" s="20">
        <f>IF(D27="","",IF(OR(D27&gt;K27,D27&lt;L27),"OUT OF CONTROL",""))</f>
        <v/>
      </c>
      <c r="K27" s="32">
        <f>IF(B27="","",$B$5+3*E27*$B$7)</f>
        <v/>
      </c>
      <c r="L27" s="32">
        <f>IF(B27="","",MAX(0,$B$5-3*E27*$B$7))</f>
        <v/>
      </c>
      <c r="M27" s="32">
        <f>IF(B27="","",$B$5)</f>
        <v/>
      </c>
      <c r="T27" s="21" t="n">
        <v>14</v>
      </c>
      <c r="AD27" s="21">
        <f>IF($D27="",NA(),IF(OR($D27&gt;$K27,$D27&lt;$L27),$D27,NA()))</f>
        <v/>
      </c>
      <c r="AE27" s="21">
        <f>IF(COUNT($D20:$D27)&lt;8,NA(),IF(OR(MIN($D20:$D27)&gt;$B$5,MAX($D20:$D27)&lt;$B$5),$D27,NA()))</f>
        <v/>
      </c>
    </row>
    <row r="28">
      <c r="A28" t="inlineStr">
        <is>
          <t>Week 15</t>
        </is>
      </c>
      <c r="B28" s="30" t="n">
        <v>1185</v>
      </c>
      <c r="C28" s="30" t="n">
        <v>41</v>
      </c>
      <c r="D28" s="28">
        <f>IF(B28="","",C28/B28)</f>
        <v/>
      </c>
      <c r="E28" s="28">
        <f>IF(B28="","",SQRT($B$5/B28))</f>
        <v/>
      </c>
      <c r="F28" s="17">
        <f>IF(B28="","",(D28-$B$5)/E28)</f>
        <v/>
      </c>
      <c r="G28" s="17">
        <f>IF(COUNT(F27:F28)=2,ABS(F28-F27),"")</f>
        <v/>
      </c>
      <c r="I28" s="20">
        <f>IF(D28="","",IF(OR(D28&gt;K28,D28&lt;L28),"OUT OF CONTROL",""))</f>
        <v/>
      </c>
      <c r="K28" s="32">
        <f>IF(B28="","",$B$5+3*E28*$B$7)</f>
        <v/>
      </c>
      <c r="L28" s="32">
        <f>IF(B28="","",MAX(0,$B$5-3*E28*$B$7))</f>
        <v/>
      </c>
      <c r="M28" s="32">
        <f>IF(B28="","",$B$5)</f>
        <v/>
      </c>
      <c r="T28" s="21" t="n">
        <v>15</v>
      </c>
      <c r="AD28" s="21">
        <f>IF($D28="",NA(),IF(OR($D28&gt;$K28,$D28&lt;$L28),$D28,NA()))</f>
        <v/>
      </c>
      <c r="AE28" s="21">
        <f>IF(COUNT($D21:$D28)&lt;8,NA(),IF(OR(MIN($D21:$D28)&gt;$B$5,MAX($D21:$D28)&lt;$B$5),$D28,NA()))</f>
        <v/>
      </c>
    </row>
    <row r="29">
      <c r="A29" t="inlineStr">
        <is>
          <t>Week 16</t>
        </is>
      </c>
      <c r="B29" s="30" t="n">
        <v>1265</v>
      </c>
      <c r="C29" s="30" t="n">
        <v>72</v>
      </c>
      <c r="D29" s="28">
        <f>IF(B29="","",C29/B29)</f>
        <v/>
      </c>
      <c r="E29" s="28">
        <f>IF(B29="","",SQRT($B$5/B29))</f>
        <v/>
      </c>
      <c r="F29" s="17">
        <f>IF(B29="","",(D29-$B$5)/E29)</f>
        <v/>
      </c>
      <c r="G29" s="17">
        <f>IF(COUNT(F28:F29)=2,ABS(F29-F28),"")</f>
        <v/>
      </c>
      <c r="I29" s="20">
        <f>IF(D29="","",IF(OR(D29&gt;K29,D29&lt;L29),"OUT OF CONTROL",""))</f>
        <v/>
      </c>
      <c r="K29" s="32">
        <f>IF(B29="","",$B$5+3*E29*$B$7)</f>
        <v/>
      </c>
      <c r="L29" s="32">
        <f>IF(B29="","",MAX(0,$B$5-3*E29*$B$7))</f>
        <v/>
      </c>
      <c r="M29" s="32">
        <f>IF(B29="","",$B$5)</f>
        <v/>
      </c>
      <c r="T29" s="21" t="n">
        <v>16</v>
      </c>
      <c r="AD29" s="21">
        <f>IF($D29="",NA(),IF(OR($D29&gt;$K29,$D29&lt;$L29),$D29,NA()))</f>
        <v/>
      </c>
      <c r="AE29" s="21">
        <f>IF(COUNT($D22:$D29)&lt;8,NA(),IF(OR(MIN($D22:$D29)&gt;$B$5,MAX($D22:$D29)&lt;$B$5),$D29,NA()))</f>
        <v/>
      </c>
    </row>
    <row r="30">
      <c r="A30" t="inlineStr">
        <is>
          <t>Week 17</t>
        </is>
      </c>
      <c r="B30" s="30" t="n">
        <v>1440</v>
      </c>
      <c r="C30" s="30" t="n">
        <v>58</v>
      </c>
      <c r="D30" s="28">
        <f>IF(B30="","",C30/B30)</f>
        <v/>
      </c>
      <c r="E30" s="28">
        <f>IF(B30="","",SQRT($B$5/B30))</f>
        <v/>
      </c>
      <c r="F30" s="17">
        <f>IF(B30="","",(D30-$B$5)/E30)</f>
        <v/>
      </c>
      <c r="G30" s="17">
        <f>IF(COUNT(F29:F30)=2,ABS(F30-F29),"")</f>
        <v/>
      </c>
      <c r="I30" s="20">
        <f>IF(D30="","",IF(OR(D30&gt;K30,D30&lt;L30),"OUT OF CONTROL",""))</f>
        <v/>
      </c>
      <c r="K30" s="32">
        <f>IF(B30="","",$B$5+3*E30*$B$7)</f>
        <v/>
      </c>
      <c r="L30" s="32">
        <f>IF(B30="","",MAX(0,$B$5-3*E30*$B$7))</f>
        <v/>
      </c>
      <c r="M30" s="32">
        <f>IF(B30="","",$B$5)</f>
        <v/>
      </c>
      <c r="T30" s="21" t="n">
        <v>17</v>
      </c>
      <c r="AD30" s="21">
        <f>IF($D30="",NA(),IF(OR($D30&gt;$K30,$D30&lt;$L30),$D30,NA()))</f>
        <v/>
      </c>
      <c r="AE30" s="21">
        <f>IF(COUNT($D23:$D30)&lt;8,NA(),IF(OR(MIN($D23:$D30)&gt;$B$5,MAX($D23:$D30)&lt;$B$5),$D30,NA()))</f>
        <v/>
      </c>
    </row>
    <row r="31">
      <c r="A31" t="inlineStr">
        <is>
          <t>Week 18</t>
        </is>
      </c>
      <c r="B31" s="30" t="n">
        <v>1205</v>
      </c>
      <c r="C31" s="30" t="n">
        <v>54</v>
      </c>
      <c r="D31" s="28">
        <f>IF(B31="","",C31/B31)</f>
        <v/>
      </c>
      <c r="E31" s="28">
        <f>IF(B31="","",SQRT($B$5/B31))</f>
        <v/>
      </c>
      <c r="F31" s="17">
        <f>IF(B31="","",(D31-$B$5)/E31)</f>
        <v/>
      </c>
      <c r="G31" s="17">
        <f>IF(COUNT(F30:F31)=2,ABS(F31-F30),"")</f>
        <v/>
      </c>
      <c r="I31" s="20">
        <f>IF(D31="","",IF(OR(D31&gt;K31,D31&lt;L31),"OUT OF CONTROL",""))</f>
        <v/>
      </c>
      <c r="K31" s="32">
        <f>IF(B31="","",$B$5+3*E31*$B$7)</f>
        <v/>
      </c>
      <c r="L31" s="32">
        <f>IF(B31="","",MAX(0,$B$5-3*E31*$B$7))</f>
        <v/>
      </c>
      <c r="M31" s="32">
        <f>IF(B31="","",$B$5)</f>
        <v/>
      </c>
      <c r="T31" s="21" t="n">
        <v>18</v>
      </c>
      <c r="AD31" s="21">
        <f>IF($D31="",NA(),IF(OR($D31&gt;$K31,$D31&lt;$L31),$D31,NA()))</f>
        <v/>
      </c>
      <c r="AE31" s="21">
        <f>IF(COUNT($D24:$D31)&lt;8,NA(),IF(OR(MIN($D24:$D31)&gt;$B$5,MAX($D24:$D31)&lt;$B$5),$D31,NA()))</f>
        <v/>
      </c>
    </row>
    <row r="32">
      <c r="A32" t="inlineStr">
        <is>
          <t>Week 19</t>
        </is>
      </c>
      <c r="B32" s="30" t="n">
        <v>1300</v>
      </c>
      <c r="C32" s="30" t="n">
        <v>40</v>
      </c>
      <c r="D32" s="28">
        <f>IF(B32="","",C32/B32)</f>
        <v/>
      </c>
      <c r="E32" s="28">
        <f>IF(B32="","",SQRT($B$5/B32))</f>
        <v/>
      </c>
      <c r="F32" s="17">
        <f>IF(B32="","",(D32-$B$5)/E32)</f>
        <v/>
      </c>
      <c r="G32" s="17">
        <f>IF(COUNT(F31:F32)=2,ABS(F32-F31),"")</f>
        <v/>
      </c>
      <c r="I32" s="20">
        <f>IF(D32="","",IF(OR(D32&gt;K32,D32&lt;L32),"OUT OF CONTROL",""))</f>
        <v/>
      </c>
      <c r="K32" s="32">
        <f>IF(B32="","",$B$5+3*E32*$B$7)</f>
        <v/>
      </c>
      <c r="L32" s="32">
        <f>IF(B32="","",MAX(0,$B$5-3*E32*$B$7))</f>
        <v/>
      </c>
      <c r="M32" s="32">
        <f>IF(B32="","",$B$5)</f>
        <v/>
      </c>
      <c r="T32" s="21" t="n">
        <v>19</v>
      </c>
      <c r="AD32" s="21">
        <f>IF($D32="",NA(),IF(OR($D32&gt;$K32,$D32&lt;$L32),$D32,NA()))</f>
        <v/>
      </c>
      <c r="AE32" s="21">
        <f>IF(COUNT($D25:$D32)&lt;8,NA(),IF(OR(MIN($D25:$D32)&gt;$B$5,MAX($D25:$D32)&lt;$B$5),$D32,NA()))</f>
        <v/>
      </c>
    </row>
    <row r="33">
      <c r="A33" t="inlineStr">
        <is>
          <t>Week 20</t>
        </is>
      </c>
      <c r="B33" s="30" t="n">
        <v>1355</v>
      </c>
      <c r="C33" s="30" t="n">
        <v>72</v>
      </c>
      <c r="D33" s="28">
        <f>IF(B33="","",C33/B33)</f>
        <v/>
      </c>
      <c r="E33" s="28">
        <f>IF(B33="","",SQRT($B$5/B33))</f>
        <v/>
      </c>
      <c r="F33" s="17">
        <f>IF(B33="","",(D33-$B$5)/E33)</f>
        <v/>
      </c>
      <c r="G33" s="17">
        <f>IF(COUNT(F32:F33)=2,ABS(F33-F32),"")</f>
        <v/>
      </c>
      <c r="I33" s="20">
        <f>IF(D33="","",IF(OR(D33&gt;K33,D33&lt;L33),"OUT OF CONTROL",""))</f>
        <v/>
      </c>
      <c r="K33" s="32">
        <f>IF(B33="","",$B$5+3*E33*$B$7)</f>
        <v/>
      </c>
      <c r="L33" s="32">
        <f>IF(B33="","",MAX(0,$B$5-3*E33*$B$7))</f>
        <v/>
      </c>
      <c r="M33" s="32">
        <f>IF(B33="","",$B$5)</f>
        <v/>
      </c>
      <c r="T33" s="21" t="n">
        <v>20</v>
      </c>
      <c r="AD33" s="21">
        <f>IF($D33="",NA(),IF(OR($D33&gt;$K33,$D33&lt;$L33),$D33,NA()))</f>
        <v/>
      </c>
      <c r="AE33" s="21">
        <f>IF(COUNT($D26:$D33)&lt;8,NA(),IF(OR(MIN($D26:$D33)&gt;$B$5,MAX($D26:$D33)&lt;$B$5),$D33,NA()))</f>
        <v/>
      </c>
    </row>
    <row r="34">
      <c r="A34" t="inlineStr">
        <is>
          <t>Week 21</t>
        </is>
      </c>
      <c r="B34" s="30" t="n">
        <v>1170</v>
      </c>
      <c r="C34" s="30" t="n">
        <v>43</v>
      </c>
      <c r="D34" s="28">
        <f>IF(B34="","",C34/B34)</f>
        <v/>
      </c>
      <c r="E34" s="28">
        <f>IF(B34="","",SQRT($B$5/B34))</f>
        <v/>
      </c>
      <c r="F34" s="17">
        <f>IF(B34="","",(D34-$B$5)/E34)</f>
        <v/>
      </c>
      <c r="G34" s="17">
        <f>IF(COUNT(F33:F34)=2,ABS(F34-F33),"")</f>
        <v/>
      </c>
      <c r="I34" s="20">
        <f>IF(D34="","",IF(OR(D34&gt;K34,D34&lt;L34),"OUT OF CONTROL",""))</f>
        <v/>
      </c>
      <c r="K34" s="32">
        <f>IF(B34="","",$B$5+3*E34*$B$7)</f>
        <v/>
      </c>
      <c r="L34" s="32">
        <f>IF(B34="","",MAX(0,$B$5-3*E34*$B$7))</f>
        <v/>
      </c>
      <c r="M34" s="32">
        <f>IF(B34="","",$B$5)</f>
        <v/>
      </c>
      <c r="T34" s="21" t="n">
        <v>21</v>
      </c>
      <c r="AD34" s="21">
        <f>IF($D34="",NA(),IF(OR($D34&gt;$K34,$D34&lt;$L34),$D34,NA()))</f>
        <v/>
      </c>
      <c r="AE34" s="21">
        <f>IF(COUNT($D27:$D34)&lt;8,NA(),IF(OR(MIN($D27:$D34)&gt;$B$5,MAX($D27:$D34)&lt;$B$5),$D34,NA()))</f>
        <v/>
      </c>
    </row>
    <row r="35">
      <c r="A35" t="inlineStr">
        <is>
          <t>Week 22</t>
        </is>
      </c>
      <c r="B35" s="30" t="n">
        <v>1285</v>
      </c>
      <c r="C35" s="30" t="n">
        <v>62</v>
      </c>
      <c r="D35" s="28">
        <f>IF(B35="","",C35/B35)</f>
        <v/>
      </c>
      <c r="E35" s="28">
        <f>IF(B35="","",SQRT($B$5/B35))</f>
        <v/>
      </c>
      <c r="F35" s="17">
        <f>IF(B35="","",(D35-$B$5)/E35)</f>
        <v/>
      </c>
      <c r="G35" s="17">
        <f>IF(COUNT(F34:F35)=2,ABS(F35-F34),"")</f>
        <v/>
      </c>
      <c r="I35" s="20">
        <f>IF(D35="","",IF(OR(D35&gt;K35,D35&lt;L35),"OUT OF CONTROL",""))</f>
        <v/>
      </c>
      <c r="K35" s="32">
        <f>IF(B35="","",$B$5+3*E35*$B$7)</f>
        <v/>
      </c>
      <c r="L35" s="32">
        <f>IF(B35="","",MAX(0,$B$5-3*E35*$B$7))</f>
        <v/>
      </c>
      <c r="M35" s="32">
        <f>IF(B35="","",$B$5)</f>
        <v/>
      </c>
      <c r="T35" s="21" t="n">
        <v>22</v>
      </c>
      <c r="AD35" s="21">
        <f>IF($D35="",NA(),IF(OR($D35&gt;$K35,$D35&lt;$L35),$D35,NA()))</f>
        <v/>
      </c>
      <c r="AE35" s="21">
        <f>IF(COUNT($D28:$D35)&lt;8,NA(),IF(OR(MIN($D28:$D35)&gt;$B$5,MAX($D28:$D35)&lt;$B$5),$D35,NA()))</f>
        <v/>
      </c>
    </row>
    <row r="36">
      <c r="A36" t="inlineStr">
        <is>
          <t>Week 23</t>
        </is>
      </c>
      <c r="B36" s="30" t="n">
        <v>1225</v>
      </c>
      <c r="C36" s="30" t="n">
        <v>42</v>
      </c>
      <c r="D36" s="28">
        <f>IF(B36="","",C36/B36)</f>
        <v/>
      </c>
      <c r="E36" s="28">
        <f>IF(B36="","",SQRT($B$5/B36))</f>
        <v/>
      </c>
      <c r="F36" s="17">
        <f>IF(B36="","",(D36-$B$5)/E36)</f>
        <v/>
      </c>
      <c r="G36" s="17">
        <f>IF(COUNT(F35:F36)=2,ABS(F36-F35),"")</f>
        <v/>
      </c>
      <c r="I36" s="20">
        <f>IF(D36="","",IF(OR(D36&gt;K36,D36&lt;L36),"OUT OF CONTROL",""))</f>
        <v/>
      </c>
      <c r="K36" s="32">
        <f>IF(B36="","",$B$5+3*E36*$B$7)</f>
        <v/>
      </c>
      <c r="L36" s="32">
        <f>IF(B36="","",MAX(0,$B$5-3*E36*$B$7))</f>
        <v/>
      </c>
      <c r="M36" s="32">
        <f>IF(B36="","",$B$5)</f>
        <v/>
      </c>
      <c r="T36" s="21" t="n">
        <v>23</v>
      </c>
      <c r="AD36" s="21">
        <f>IF($D36="",NA(),IF(OR($D36&gt;$K36,$D36&lt;$L36),$D36,NA()))</f>
        <v/>
      </c>
      <c r="AE36" s="21">
        <f>IF(COUNT($D29:$D36)&lt;8,NA(),IF(OR(MIN($D29:$D36)&gt;$B$5,MAX($D29:$D36)&lt;$B$5),$D36,NA()))</f>
        <v/>
      </c>
    </row>
    <row r="37">
      <c r="A37" t="inlineStr">
        <is>
          <t>Week 24</t>
        </is>
      </c>
      <c r="B37" s="30" t="n">
        <v>1390</v>
      </c>
      <c r="C37" s="30" t="n">
        <v>76</v>
      </c>
      <c r="D37" s="28">
        <f>IF(B37="","",C37/B37)</f>
        <v/>
      </c>
      <c r="E37" s="28">
        <f>IF(B37="","",SQRT($B$5/B37))</f>
        <v/>
      </c>
      <c r="F37" s="17">
        <f>IF(B37="","",(D37-$B$5)/E37)</f>
        <v/>
      </c>
      <c r="G37" s="17">
        <f>IF(COUNT(F36:F37)=2,ABS(F37-F36),"")</f>
        <v/>
      </c>
      <c r="I37" s="20">
        <f>IF(D37="","",IF(OR(D37&gt;K37,D37&lt;L37),"OUT OF CONTROL",""))</f>
        <v/>
      </c>
      <c r="K37" s="32">
        <f>IF(B37="","",$B$5+3*E37*$B$7)</f>
        <v/>
      </c>
      <c r="L37" s="32">
        <f>IF(B37="","",MAX(0,$B$5-3*E37*$B$7))</f>
        <v/>
      </c>
      <c r="M37" s="32">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c r="A9" s="12" t="inlineStr">
        <is>
          <t>D4 for this n</t>
        </is>
      </c>
      <c r="B9" s="24">
        <f>IFERROR(LOOKUP(B5,{2;3;4;5;6;7;8;9;10},{3.267;2.574;2.282;2.114;2.004;1.924;1.864;1.816;1.777}),"n out of range")</f>
        <v/>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400</v>
      </c>
      <c r="C14" s="27" t="n">
        <v>419</v>
      </c>
      <c r="D14" s="27" t="n">
        <v>381</v>
      </c>
      <c r="E14" s="27" t="n">
        <v>400</v>
      </c>
      <c r="F14" s="27" t="n">
        <v>419</v>
      </c>
      <c r="G14" s="17">
        <f>IF(COUNT(B14:F14)=0,"",AVERAGE(B14:F14))</f>
        <v/>
      </c>
      <c r="H14" s="17">
        <f>IF(COUNT(B14:F14)=0,"",MAX(B14:F14)-MIN(B14:F14))</f>
        <v/>
      </c>
      <c r="I14" s="17">
        <f>IF(G14="","",$B$6)</f>
        <v/>
      </c>
      <c r="J14" s="17">
        <f>IF(G14="","",$B$6+$B$8*$B$7)</f>
        <v/>
      </c>
      <c r="K14" s="17">
        <f>IF(G14="","",$B$6-$B$8*$B$7)</f>
        <v/>
      </c>
      <c r="L14" s="20">
        <f>IF(G14="","",IF(OR(G14&gt;J14,G14&lt;K14),"OUT OF CONTROL",""))</f>
        <v/>
      </c>
      <c r="N14" s="33">
        <f>IF(H14="","",$B$7)</f>
        <v/>
      </c>
      <c r="O14" s="33">
        <f>IF(H14="","",$B$9*$B$7)</f>
        <v/>
      </c>
      <c r="P14" s="33">
        <f>IF(H14="","",$B$10*$B$7)</f>
        <v/>
      </c>
      <c r="T14" s="21" t="n">
        <v>1</v>
      </c>
      <c r="AD14" s="21">
        <f>IF($G14="",NA(),IF(OR($G14&gt;$J14,$G14&lt;$K14),$G14,NA()))</f>
        <v/>
      </c>
      <c r="AE14" s="21">
        <f>NA()</f>
        <v/>
      </c>
      <c r="AF14" s="21">
        <f>IF($H14="",NA(),IF($H14&gt;$O14,$H14,NA()))</f>
        <v/>
      </c>
    </row>
    <row r="15">
      <c r="A15" t="inlineStr">
        <is>
          <t>Day 2</t>
        </is>
      </c>
      <c r="B15" s="30" t="n">
        <v>430</v>
      </c>
      <c r="C15" s="30" t="n">
        <v>395</v>
      </c>
      <c r="D15" s="30" t="n">
        <v>400</v>
      </c>
      <c r="E15" s="30" t="n">
        <v>430</v>
      </c>
      <c r="F15" s="30" t="n">
        <v>395</v>
      </c>
      <c r="G15" s="17">
        <f>IF(COUNT(B15:F15)=0,"",AVERAGE(B15:F15))</f>
        <v/>
      </c>
      <c r="H15" s="17">
        <f>IF(COUNT(B15:F15)=0,"",MAX(B15:F15)-MIN(B15:F15))</f>
        <v/>
      </c>
      <c r="I15" s="17">
        <f>IF(G15="","",$B$6)</f>
        <v/>
      </c>
      <c r="J15" s="17">
        <f>IF(G15="","",$B$6+$B$8*$B$7)</f>
        <v/>
      </c>
      <c r="K15" s="17">
        <f>IF(G15="","",$B$6-$B$8*$B$7)</f>
        <v/>
      </c>
      <c r="L15" s="20">
        <f>IF(G15="","",IF(OR(G15&gt;J15,G15&lt;K15),"OUT OF CONTROL",""))</f>
        <v/>
      </c>
      <c r="N15" s="33">
        <f>IF(H15="","",$B$7)</f>
        <v/>
      </c>
      <c r="O15" s="33">
        <f>IF(H15="","",$B$9*$B$7)</f>
        <v/>
      </c>
      <c r="P15" s="33">
        <f>IF(H15="","",$B$10*$B$7)</f>
        <v/>
      </c>
      <c r="T15" s="21" t="n">
        <v>2</v>
      </c>
      <c r="AD15" s="21">
        <f>IF($G15="",NA(),IF(OR($G15&gt;$J15,$G15&lt;$K15),$G15,NA()))</f>
        <v/>
      </c>
      <c r="AE15" s="21">
        <f>NA()</f>
        <v/>
      </c>
      <c r="AF15" s="21">
        <f>IF($H15="",NA(),IF($H15&gt;$O15,$H15,NA()))</f>
        <v/>
      </c>
    </row>
    <row r="16">
      <c r="A16" t="inlineStr">
        <is>
          <t>Day 3</t>
        </is>
      </c>
      <c r="B16" s="30" t="n">
        <v>411</v>
      </c>
      <c r="C16" s="30" t="n">
        <v>401</v>
      </c>
      <c r="D16" s="30" t="n">
        <v>438</v>
      </c>
      <c r="E16" s="30" t="n">
        <v>410</v>
      </c>
      <c r="F16" s="30" t="n">
        <v>401</v>
      </c>
      <c r="G16" s="17">
        <f>IF(COUNT(B16:F16)=0,"",AVERAGE(B16:F16))</f>
        <v/>
      </c>
      <c r="H16" s="17">
        <f>IF(COUNT(B16:F16)=0,"",MAX(B16:F16)-MIN(B16:F16))</f>
        <v/>
      </c>
      <c r="I16" s="17">
        <f>IF(G16="","",$B$6)</f>
        <v/>
      </c>
      <c r="J16" s="17">
        <f>IF(G16="","",$B$6+$B$8*$B$7)</f>
        <v/>
      </c>
      <c r="K16" s="17">
        <f>IF(G16="","",$B$6-$B$8*$B$7)</f>
        <v/>
      </c>
      <c r="L16" s="20">
        <f>IF(G16="","",IF(OR(G16&gt;J16,G16&lt;K16),"OUT OF CONTROL",""))</f>
        <v/>
      </c>
      <c r="N16" s="33">
        <f>IF(H16="","",$B$7)</f>
        <v/>
      </c>
      <c r="O16" s="33">
        <f>IF(H16="","",$B$9*$B$7)</f>
        <v/>
      </c>
      <c r="P16" s="33">
        <f>IF(H16="","",$B$10*$B$7)</f>
        <v/>
      </c>
      <c r="T16" s="21" t="n">
        <v>3</v>
      </c>
      <c r="AD16" s="21">
        <f>IF($G16="",NA(),IF(OR($G16&gt;$J16,$G16&lt;$K16),$G16,NA()))</f>
        <v/>
      </c>
      <c r="AE16" s="21">
        <f>NA()</f>
        <v/>
      </c>
      <c r="AF16" s="21">
        <f>IF($H16="",NA(),IF($H16&gt;$O16,$H16,NA()))</f>
        <v/>
      </c>
    </row>
    <row r="17">
      <c r="A17" t="inlineStr">
        <is>
          <t>Day 4</t>
        </is>
      </c>
      <c r="B17" s="30" t="n">
        <v>402</v>
      </c>
      <c r="C17" s="30" t="n">
        <v>440</v>
      </c>
      <c r="D17" s="30" t="n">
        <v>425</v>
      </c>
      <c r="E17" s="30" t="n">
        <v>402</v>
      </c>
      <c r="F17" s="30" t="n">
        <v>440</v>
      </c>
      <c r="G17" s="17">
        <f>IF(COUNT(B17:F17)=0,"",AVERAGE(B17:F17))</f>
        <v/>
      </c>
      <c r="H17" s="17">
        <f>IF(COUNT(B17:F17)=0,"",MAX(B17:F17)-MIN(B17:F17))</f>
        <v/>
      </c>
      <c r="I17" s="17">
        <f>IF(G17="","",$B$6)</f>
        <v/>
      </c>
      <c r="J17" s="17">
        <f>IF(G17="","",$B$6+$B$8*$B$7)</f>
        <v/>
      </c>
      <c r="K17" s="17">
        <f>IF(G17="","",$B$6-$B$8*$B$7)</f>
        <v/>
      </c>
      <c r="L17" s="20">
        <f>IF(G17="","",IF(OR(G17&gt;J17,G17&lt;K17),"OUT OF CONTROL",""))</f>
        <v/>
      </c>
      <c r="N17" s="33">
        <f>IF(H17="","",$B$7)</f>
        <v/>
      </c>
      <c r="O17" s="33">
        <f>IF(H17="","",$B$9*$B$7)</f>
        <v/>
      </c>
      <c r="P17" s="33">
        <f>IF(H17="","",$B$10*$B$7)</f>
        <v/>
      </c>
      <c r="T17" s="21" t="n">
        <v>4</v>
      </c>
      <c r="AD17" s="21">
        <f>IF($G17="",NA(),IF(OR($G17&gt;$J17,$G17&lt;$K17),$G17,NA()))</f>
        <v/>
      </c>
      <c r="AE17" s="21">
        <f>NA()</f>
        <v/>
      </c>
      <c r="AF17" s="21">
        <f>IF($H17="",NA(),IF($H17&gt;$O17,$H17,NA()))</f>
        <v/>
      </c>
    </row>
    <row r="18">
      <c r="A18" t="inlineStr">
        <is>
          <t>Day 5</t>
        </is>
      </c>
      <c r="B18" s="30" t="n">
        <v>437</v>
      </c>
      <c r="C18" s="30" t="n">
        <v>437</v>
      </c>
      <c r="D18" s="30" t="n">
        <v>404</v>
      </c>
      <c r="E18" s="30" t="n">
        <v>437</v>
      </c>
      <c r="F18" s="30" t="n">
        <v>437</v>
      </c>
      <c r="G18" s="17">
        <f>IF(COUNT(B18:F18)=0,"",AVERAGE(B18:F18))</f>
        <v/>
      </c>
      <c r="H18" s="17">
        <f>IF(COUNT(B18:F18)=0,"",MAX(B18:F18)-MIN(B18:F18))</f>
        <v/>
      </c>
      <c r="I18" s="17">
        <f>IF(G18="","",$B$6)</f>
        <v/>
      </c>
      <c r="J18" s="17">
        <f>IF(G18="","",$B$6+$B$8*$B$7)</f>
        <v/>
      </c>
      <c r="K18" s="17">
        <f>IF(G18="","",$B$6-$B$8*$B$7)</f>
        <v/>
      </c>
      <c r="L18" s="20">
        <f>IF(G18="","",IF(OR(G18&gt;J18,G18&lt;K18),"OUT OF CONTROL",""))</f>
        <v/>
      </c>
      <c r="N18" s="33">
        <f>IF(H18="","",$B$7)</f>
        <v/>
      </c>
      <c r="O18" s="33">
        <f>IF(H18="","",$B$9*$B$7)</f>
        <v/>
      </c>
      <c r="P18" s="33">
        <f>IF(H18="","",$B$10*$B$7)</f>
        <v/>
      </c>
      <c r="T18" s="21" t="n">
        <v>5</v>
      </c>
      <c r="AD18" s="21">
        <f>IF($G18="",NA(),IF(OR($G18&gt;$J18,$G18&lt;$K18),$G18,NA()))</f>
        <v/>
      </c>
      <c r="AE18" s="21">
        <f>NA()</f>
        <v/>
      </c>
      <c r="AF18" s="21">
        <f>IF($H18="",NA(),IF($H18&gt;$O18,$H18,NA()))</f>
        <v/>
      </c>
    </row>
    <row r="19">
      <c r="A19" t="inlineStr">
        <is>
          <t>Day 6</t>
        </is>
      </c>
      <c r="B19" s="30" t="n">
        <v>430</v>
      </c>
      <c r="C19" s="30" t="n">
        <v>392</v>
      </c>
      <c r="D19" s="30" t="n">
        <v>415</v>
      </c>
      <c r="E19" s="30" t="n">
        <v>430</v>
      </c>
      <c r="F19" s="30" t="n">
        <v>392</v>
      </c>
      <c r="G19" s="17">
        <f>IF(COUNT(B19:F19)=0,"",AVERAGE(B19:F19))</f>
        <v/>
      </c>
      <c r="H19" s="17">
        <f>IF(COUNT(B19:F19)=0,"",MAX(B19:F19)-MIN(B19:F19))</f>
        <v/>
      </c>
      <c r="I19" s="17">
        <f>IF(G19="","",$B$6)</f>
        <v/>
      </c>
      <c r="J19" s="17">
        <f>IF(G19="","",$B$6+$B$8*$B$7)</f>
        <v/>
      </c>
      <c r="K19" s="17">
        <f>IF(G19="","",$B$6-$B$8*$B$7)</f>
        <v/>
      </c>
      <c r="L19" s="20">
        <f>IF(G19="","",IF(OR(G19&gt;J19,G19&lt;K19),"OUT OF CONTROL",""))</f>
        <v/>
      </c>
      <c r="N19" s="33">
        <f>IF(H19="","",$B$7)</f>
        <v/>
      </c>
      <c r="O19" s="33">
        <f>IF(H19="","",$B$9*$B$7)</f>
        <v/>
      </c>
      <c r="P19" s="33">
        <f>IF(H19="","",$B$10*$B$7)</f>
        <v/>
      </c>
      <c r="T19" s="21" t="n">
        <v>6</v>
      </c>
      <c r="AD19" s="21">
        <f>IF($G19="",NA(),IF(OR($G19&gt;$J19,$G19&lt;$K19),$G19,NA()))</f>
        <v/>
      </c>
      <c r="AE19" s="21">
        <f>NA()</f>
        <v/>
      </c>
      <c r="AF19" s="21">
        <f>IF($H19="",NA(),IF($H19&gt;$O19,$H19,NA()))</f>
        <v/>
      </c>
    </row>
    <row r="20">
      <c r="A20" t="inlineStr">
        <is>
          <t>Day 7</t>
        </is>
      </c>
      <c r="B20" s="30" t="n">
        <v>396</v>
      </c>
      <c r="C20" s="30" t="n">
        <v>406</v>
      </c>
      <c r="D20" s="30" t="n">
        <v>433</v>
      </c>
      <c r="E20" s="30" t="n">
        <v>396</v>
      </c>
      <c r="F20" s="30" t="n">
        <v>406</v>
      </c>
      <c r="G20" s="17">
        <f>IF(COUNT(B20:F20)=0,"",AVERAGE(B20:F20))</f>
        <v/>
      </c>
      <c r="H20" s="17">
        <f>IF(COUNT(B20:F20)=0,"",MAX(B20:F20)-MIN(B20:F20))</f>
        <v/>
      </c>
      <c r="I20" s="17">
        <f>IF(G20="","",$B$6)</f>
        <v/>
      </c>
      <c r="J20" s="17">
        <f>IF(G20="","",$B$6+$B$8*$B$7)</f>
        <v/>
      </c>
      <c r="K20" s="17">
        <f>IF(G20="","",$B$6-$B$8*$B$7)</f>
        <v/>
      </c>
      <c r="L20" s="20">
        <f>IF(G20="","",IF(OR(G20&gt;J20,G20&lt;K20),"OUT OF CONTROL",""))</f>
        <v/>
      </c>
      <c r="N20" s="33">
        <f>IF(H20="","",$B$7)</f>
        <v/>
      </c>
      <c r="O20" s="33">
        <f>IF(H20="","",$B$9*$B$7)</f>
        <v/>
      </c>
      <c r="P20" s="33">
        <f>IF(H20="","",$B$10*$B$7)</f>
        <v/>
      </c>
      <c r="T20" s="21" t="n">
        <v>7</v>
      </c>
      <c r="AD20" s="21">
        <f>IF($G20="",NA(),IF(OR($G20&gt;$J20,$G20&lt;$K20),$G20,NA()))</f>
        <v/>
      </c>
      <c r="AE20" s="21">
        <f>NA()</f>
        <v/>
      </c>
      <c r="AF20" s="21">
        <f>IF($H20="",NA(),IF($H20&gt;$O20,$H20,NA()))</f>
        <v/>
      </c>
    </row>
    <row r="21">
      <c r="A21" t="inlineStr">
        <is>
          <t>Day 8</t>
        </is>
      </c>
      <c r="B21" s="30" t="n">
        <v>396</v>
      </c>
      <c r="C21" s="30" t="n">
        <v>431</v>
      </c>
      <c r="D21" s="30" t="n">
        <v>401</v>
      </c>
      <c r="E21" s="30" t="n">
        <v>396</v>
      </c>
      <c r="F21" s="30" t="n">
        <v>431</v>
      </c>
      <c r="G21" s="17">
        <f>IF(COUNT(B21:F21)=0,"",AVERAGE(B21:F21))</f>
        <v/>
      </c>
      <c r="H21" s="17">
        <f>IF(COUNT(B21:F21)=0,"",MAX(B21:F21)-MIN(B21:F21))</f>
        <v/>
      </c>
      <c r="I21" s="17">
        <f>IF(G21="","",$B$6)</f>
        <v/>
      </c>
      <c r="J21" s="17">
        <f>IF(G21="","",$B$6+$B$8*$B$7)</f>
        <v/>
      </c>
      <c r="K21" s="17">
        <f>IF(G21="","",$B$6-$B$8*$B$7)</f>
        <v/>
      </c>
      <c r="L21" s="20">
        <f>IF(G21="","",IF(OR(G21&gt;J21,G21&lt;K21),"OUT OF CONTROL",""))</f>
        <v/>
      </c>
      <c r="N21" s="33">
        <f>IF(H21="","",$B$7)</f>
        <v/>
      </c>
      <c r="O21" s="33">
        <f>IF(H21="","",$B$9*$B$7)</f>
        <v/>
      </c>
      <c r="P21" s="33">
        <f>IF(H21="","",$B$10*$B$7)</f>
        <v/>
      </c>
      <c r="T21" s="21" t="n">
        <v>8</v>
      </c>
      <c r="AD21" s="21">
        <f>IF($G21="",NA(),IF(OR($G21&gt;$J21,$G21&lt;$K21),$G21,NA()))</f>
        <v/>
      </c>
      <c r="AE21" s="21">
        <f>IF(COUNT($G14:$G21)&lt;8,NA(),IF(OR(MIN($G14:$G21)&gt;$B$6,MAX($G14:$G21)&lt;$B$6),$G21,NA()))</f>
        <v/>
      </c>
      <c r="AF21" s="21">
        <f>IF($H21="",NA(),IF($H21&gt;$O21,$H21,NA()))</f>
        <v/>
      </c>
    </row>
    <row r="22">
      <c r="A22" t="inlineStr">
        <is>
          <t>Day 9</t>
        </is>
      </c>
      <c r="B22" s="30" t="n">
        <v>425</v>
      </c>
      <c r="C22" s="30" t="n">
        <v>407</v>
      </c>
      <c r="D22" s="30" t="n">
        <v>387</v>
      </c>
      <c r="E22" s="30" t="n">
        <v>425</v>
      </c>
      <c r="F22" s="30" t="n">
        <v>406</v>
      </c>
      <c r="G22" s="17">
        <f>IF(COUNT(B22:F22)=0,"",AVERAGE(B22:F22))</f>
        <v/>
      </c>
      <c r="H22" s="17">
        <f>IF(COUNT(B22:F22)=0,"",MAX(B22:F22)-MIN(B22:F22))</f>
        <v/>
      </c>
      <c r="I22" s="17">
        <f>IF(G22="","",$B$6)</f>
        <v/>
      </c>
      <c r="J22" s="17">
        <f>IF(G22="","",$B$6+$B$8*$B$7)</f>
        <v/>
      </c>
      <c r="K22" s="17">
        <f>IF(G22="","",$B$6-$B$8*$B$7)</f>
        <v/>
      </c>
      <c r="L22" s="20">
        <f>IF(G22="","",IF(OR(G22&gt;J22,G22&lt;K22),"OUT OF CONTROL",""))</f>
        <v/>
      </c>
      <c r="N22" s="33">
        <f>IF(H22="","",$B$7)</f>
        <v/>
      </c>
      <c r="O22" s="33">
        <f>IF(H22="","",$B$9*$B$7)</f>
        <v/>
      </c>
      <c r="P22" s="33">
        <f>IF(H22="","",$B$10*$B$7)</f>
        <v/>
      </c>
      <c r="T22" s="21" t="n">
        <v>9</v>
      </c>
      <c r="AD22" s="21">
        <f>IF($G22="",NA(),IF(OR($G22&gt;$J22,$G22&lt;$K22),$G22,NA()))</f>
        <v/>
      </c>
      <c r="AE22" s="21">
        <f>IF(COUNT($G15:$G22)&lt;8,NA(),IF(OR(MIN($G15:$G22)&gt;$B$6,MAX($G15:$G22)&lt;$B$6),$G22,NA()))</f>
        <v/>
      </c>
      <c r="AF22" s="21">
        <f>IF($H22="",NA(),IF($H22&gt;$O22,$H22,NA()))</f>
        <v/>
      </c>
    </row>
    <row r="23">
      <c r="A23" t="inlineStr">
        <is>
          <t>Day 10</t>
        </is>
      </c>
      <c r="B23" s="30" t="n">
        <v>413</v>
      </c>
      <c r="C23" s="30" t="n">
        <v>382</v>
      </c>
      <c r="D23" s="30" t="n">
        <v>417</v>
      </c>
      <c r="E23" s="30" t="n">
        <v>412</v>
      </c>
      <c r="F23" s="30" t="n">
        <v>382</v>
      </c>
      <c r="G23" s="17">
        <f>IF(COUNT(B23:F23)=0,"",AVERAGE(B23:F23))</f>
        <v/>
      </c>
      <c r="H23" s="17">
        <f>IF(COUNT(B23:F23)=0,"",MAX(B23:F23)-MIN(B23:F23))</f>
        <v/>
      </c>
      <c r="I23" s="17">
        <f>IF(G23="","",$B$6)</f>
        <v/>
      </c>
      <c r="J23" s="17">
        <f>IF(G23="","",$B$6+$B$8*$B$7)</f>
        <v/>
      </c>
      <c r="K23" s="17">
        <f>IF(G23="","",$B$6-$B$8*$B$7)</f>
        <v/>
      </c>
      <c r="L23" s="20">
        <f>IF(G23="","",IF(OR(G23&gt;J23,G23&lt;K23),"OUT OF CONTROL",""))</f>
        <v/>
      </c>
      <c r="N23" s="33">
        <f>IF(H23="","",$B$7)</f>
        <v/>
      </c>
      <c r="O23" s="33">
        <f>IF(H23="","",$B$9*$B$7)</f>
        <v/>
      </c>
      <c r="P23" s="33">
        <f>IF(H23="","",$B$10*$B$7)</f>
        <v/>
      </c>
      <c r="T23" s="21" t="n">
        <v>10</v>
      </c>
      <c r="AD23" s="21">
        <f>IF($G23="",NA(),IF(OR($G23&gt;$J23,$G23&lt;$K23),$G23,NA()))</f>
        <v/>
      </c>
      <c r="AE23" s="21">
        <f>IF(COUNT($G16:$G23)&lt;8,NA(),IF(OR(MIN($G16:$G23)&gt;$B$6,MAX($G16:$G23)&lt;$B$6),$G23,NA()))</f>
        <v/>
      </c>
      <c r="AF23" s="21">
        <f>IF($H23="",NA(),IF($H23&gt;$O23,$H23,NA()))</f>
        <v/>
      </c>
    </row>
    <row r="24">
      <c r="A24" t="inlineStr">
        <is>
          <t>Day 11</t>
        </is>
      </c>
      <c r="B24" s="30" t="n">
        <v>367</v>
      </c>
      <c r="C24" s="30" t="n">
        <v>393</v>
      </c>
      <c r="D24" s="30" t="n">
        <v>404</v>
      </c>
      <c r="E24" s="30" t="n">
        <v>367</v>
      </c>
      <c r="F24" s="30" t="n">
        <v>394</v>
      </c>
      <c r="G24" s="17">
        <f>IF(COUNT(B24:F24)=0,"",AVERAGE(B24:F24))</f>
        <v/>
      </c>
      <c r="H24" s="17">
        <f>IF(COUNT(B24:F24)=0,"",MAX(B24:F24)-MIN(B24:F24))</f>
        <v/>
      </c>
      <c r="I24" s="17">
        <f>IF(G24="","",$B$6)</f>
        <v/>
      </c>
      <c r="J24" s="17">
        <f>IF(G24="","",$B$6+$B$8*$B$7)</f>
        <v/>
      </c>
      <c r="K24" s="17">
        <f>IF(G24="","",$B$6-$B$8*$B$7)</f>
        <v/>
      </c>
      <c r="L24" s="20">
        <f>IF(G24="","",IF(OR(G24&gt;J24,G24&lt;K24),"OUT OF CONTROL",""))</f>
        <v/>
      </c>
      <c r="N24" s="33">
        <f>IF(H24="","",$B$7)</f>
        <v/>
      </c>
      <c r="O24" s="33">
        <f>IF(H24="","",$B$9*$B$7)</f>
        <v/>
      </c>
      <c r="P24" s="33">
        <f>IF(H24="","",$B$10*$B$7)</f>
        <v/>
      </c>
      <c r="T24" s="21" t="n">
        <v>11</v>
      </c>
      <c r="AD24" s="21">
        <f>IF($G24="",NA(),IF(OR($G24&gt;$J24,$G24&lt;$K24),$G24,NA()))</f>
        <v/>
      </c>
      <c r="AE24" s="21">
        <f>IF(COUNT($G17:$G24)&lt;8,NA(),IF(OR(MIN($G17:$G24)&gt;$B$6,MAX($G17:$G24)&lt;$B$6),$G24,NA()))</f>
        <v/>
      </c>
      <c r="AF24" s="21">
        <f>IF($H24="",NA(),IF($H24&gt;$O24,$H24,NA()))</f>
        <v/>
      </c>
    </row>
    <row r="25">
      <c r="A25" t="inlineStr">
        <is>
          <t>Day 12</t>
        </is>
      </c>
      <c r="B25" s="30" t="n">
        <v>386</v>
      </c>
      <c r="C25" s="30" t="n">
        <v>410</v>
      </c>
      <c r="D25" s="30" t="n">
        <v>372</v>
      </c>
      <c r="E25" s="30" t="n">
        <v>386</v>
      </c>
      <c r="F25" s="30" t="n">
        <v>409</v>
      </c>
      <c r="G25" s="17">
        <f>IF(COUNT(B25:F25)=0,"",AVERAGE(B25:F25))</f>
        <v/>
      </c>
      <c r="H25" s="17">
        <f>IF(COUNT(B25:F25)=0,"",MAX(B25:F25)-MIN(B25:F25))</f>
        <v/>
      </c>
      <c r="I25" s="17">
        <f>IF(G25="","",$B$6)</f>
        <v/>
      </c>
      <c r="J25" s="17">
        <f>IF(G25="","",$B$6+$B$8*$B$7)</f>
        <v/>
      </c>
      <c r="K25" s="17">
        <f>IF(G25="","",$B$6-$B$8*$B$7)</f>
        <v/>
      </c>
      <c r="L25" s="20">
        <f>IF(G25="","",IF(OR(G25&gt;J25,G25&lt;K25),"OUT OF CONTROL",""))</f>
        <v/>
      </c>
      <c r="N25" s="33">
        <f>IF(H25="","",$B$7)</f>
        <v/>
      </c>
      <c r="O25" s="33">
        <f>IF(H25="","",$B$9*$B$7)</f>
        <v/>
      </c>
      <c r="P25" s="33">
        <f>IF(H25="","",$B$10*$B$7)</f>
        <v/>
      </c>
      <c r="T25" s="21" t="n">
        <v>12</v>
      </c>
      <c r="AD25" s="21">
        <f>IF($G25="",NA(),IF(OR($G25&gt;$J25,$G25&lt;$K25),$G25,NA()))</f>
        <v/>
      </c>
      <c r="AE25" s="21">
        <f>IF(COUNT($G18:$G25)&lt;8,NA(),IF(OR(MIN($G18:$G25)&gt;$B$6,MAX($G18:$G25)&lt;$B$6),$G25,NA()))</f>
        <v/>
      </c>
      <c r="AF25" s="21">
        <f>IF($H25="",NA(),IF($H25&gt;$O25,$H25,NA()))</f>
        <v/>
      </c>
    </row>
    <row r="26">
      <c r="A26" t="inlineStr">
        <is>
          <t>Day 13</t>
        </is>
      </c>
      <c r="B26" s="30" t="n">
        <v>415</v>
      </c>
      <c r="C26" s="30" t="n">
        <v>382</v>
      </c>
      <c r="D26" s="30" t="n">
        <v>381</v>
      </c>
      <c r="E26" s="30" t="n">
        <v>415</v>
      </c>
      <c r="F26" s="30" t="n">
        <v>382</v>
      </c>
      <c r="G26" s="17">
        <f>IF(COUNT(B26:F26)=0,"",AVERAGE(B26:F26))</f>
        <v/>
      </c>
      <c r="H26" s="17">
        <f>IF(COUNT(B26:F26)=0,"",MAX(B26:F26)-MIN(B26:F26))</f>
        <v/>
      </c>
      <c r="I26" s="17">
        <f>IF(G26="","",$B$6)</f>
        <v/>
      </c>
      <c r="J26" s="17">
        <f>IF(G26="","",$B$6+$B$8*$B$7)</f>
        <v/>
      </c>
      <c r="K26" s="17">
        <f>IF(G26="","",$B$6-$B$8*$B$7)</f>
        <v/>
      </c>
      <c r="L26" s="20">
        <f>IF(G26="","",IF(OR(G26&gt;J26,G26&lt;K26),"OUT OF CONTROL",""))</f>
        <v/>
      </c>
      <c r="N26" s="33">
        <f>IF(H26="","",$B$7)</f>
        <v/>
      </c>
      <c r="O26" s="33">
        <f>IF(H26="","",$B$9*$B$7)</f>
        <v/>
      </c>
      <c r="P26" s="33">
        <f>IF(H26="","",$B$10*$B$7)</f>
        <v/>
      </c>
      <c r="T26" s="21" t="n">
        <v>13</v>
      </c>
      <c r="AD26" s="21">
        <f>IF($G26="",NA(),IF(OR($G26&gt;$J26,$G26&lt;$K26),$G26,NA()))</f>
        <v/>
      </c>
      <c r="AE26" s="21">
        <f>IF(COUNT($G19:$G26)&lt;8,NA(),IF(OR(MIN($G19:$G26)&gt;$B$6,MAX($G19:$G26)&lt;$B$6),$G26,NA()))</f>
        <v/>
      </c>
      <c r="AF26" s="21">
        <f>IF($H26="",NA(),IF($H26&gt;$O26,$H26,NA()))</f>
        <v/>
      </c>
    </row>
    <row r="27">
      <c r="A27" t="inlineStr">
        <is>
          <t>Day 14</t>
        </is>
      </c>
      <c r="B27" s="30" t="n">
        <v>396</v>
      </c>
      <c r="C27" s="30" t="n">
        <v>381</v>
      </c>
      <c r="D27" s="30" t="n">
        <v>419</v>
      </c>
      <c r="E27" s="30" t="n">
        <v>396</v>
      </c>
      <c r="F27" s="30" t="n">
        <v>381</v>
      </c>
      <c r="G27" s="17">
        <f>IF(COUNT(B27:F27)=0,"",AVERAGE(B27:F27))</f>
        <v/>
      </c>
      <c r="H27" s="17">
        <f>IF(COUNT(B27:F27)=0,"",MAX(B27:F27)-MIN(B27:F27))</f>
        <v/>
      </c>
      <c r="I27" s="17">
        <f>IF(G27="","",$B$6)</f>
        <v/>
      </c>
      <c r="J27" s="17">
        <f>IF(G27="","",$B$6+$B$8*$B$7)</f>
        <v/>
      </c>
      <c r="K27" s="17">
        <f>IF(G27="","",$B$6-$B$8*$B$7)</f>
        <v/>
      </c>
      <c r="L27" s="20">
        <f>IF(G27="","",IF(OR(G27&gt;J27,G27&lt;K27),"OUT OF CONTROL",""))</f>
        <v/>
      </c>
      <c r="N27" s="33">
        <f>IF(H27="","",$B$7)</f>
        <v/>
      </c>
      <c r="O27" s="33">
        <f>IF(H27="","",$B$9*$B$7)</f>
        <v/>
      </c>
      <c r="P27" s="33">
        <f>IF(H27="","",$B$10*$B$7)</f>
        <v/>
      </c>
      <c r="T27" s="21" t="n">
        <v>14</v>
      </c>
      <c r="AD27" s="21">
        <f>IF($G27="",NA(),IF(OR($G27&gt;$J27,$G27&lt;$K27),$G27,NA()))</f>
        <v/>
      </c>
      <c r="AE27" s="21">
        <f>IF(COUNT($G20:$G27)&lt;8,NA(),IF(OR(MIN($G20:$G27)&gt;$B$6,MAX($G20:$G27)&lt;$B$6),$G27,NA()))</f>
        <v/>
      </c>
      <c r="AF27" s="21">
        <f>IF($H27="",NA(),IF($H27&gt;$O27,$H27,NA()))</f>
        <v/>
      </c>
    </row>
    <row r="28">
      <c r="A28" t="inlineStr">
        <is>
          <t>Day 15</t>
        </is>
      </c>
      <c r="B28" s="30" t="n">
        <v>385</v>
      </c>
      <c r="C28" s="30" t="n">
        <v>421</v>
      </c>
      <c r="D28" s="30" t="n">
        <v>412</v>
      </c>
      <c r="E28" s="30" t="n">
        <v>385</v>
      </c>
      <c r="F28" s="30" t="n">
        <v>421</v>
      </c>
      <c r="G28" s="17">
        <f>IF(COUNT(B28:F28)=0,"",AVERAGE(B28:F28))</f>
        <v/>
      </c>
      <c r="H28" s="17">
        <f>IF(COUNT(B28:F28)=0,"",MAX(B28:F28)-MIN(B28:F28))</f>
        <v/>
      </c>
      <c r="I28" s="17">
        <f>IF(G28="","",$B$6)</f>
        <v/>
      </c>
      <c r="J28" s="17">
        <f>IF(G28="","",$B$6+$B$8*$B$7)</f>
        <v/>
      </c>
      <c r="K28" s="17">
        <f>IF(G28="","",$B$6-$B$8*$B$7)</f>
        <v/>
      </c>
      <c r="L28" s="20">
        <f>IF(G28="","",IF(OR(G28&gt;J28,G28&lt;K28),"OUT OF CONTROL",""))</f>
        <v/>
      </c>
      <c r="N28" s="33">
        <f>IF(H28="","",$B$7)</f>
        <v/>
      </c>
      <c r="O28" s="33">
        <f>IF(H28="","",$B$9*$B$7)</f>
        <v/>
      </c>
      <c r="P28" s="33">
        <f>IF(H28="","",$B$10*$B$7)</f>
        <v/>
      </c>
      <c r="T28" s="21" t="n">
        <v>15</v>
      </c>
      <c r="AD28" s="21">
        <f>IF($G28="",NA(),IF(OR($G28&gt;$J28,$G28&lt;$K28),$G28,NA()))</f>
        <v/>
      </c>
      <c r="AE28" s="21">
        <f>IF(COUNT($G21:$G28)&lt;8,NA(),IF(OR(MIN($G21:$G28)&gt;$B$6,MAX($G21:$G28)&lt;$B$6),$G28,NA()))</f>
        <v/>
      </c>
      <c r="AF28" s="21">
        <f>IF($H28="",NA(),IF($H28&gt;$O28,$H28,NA()))</f>
        <v/>
      </c>
    </row>
    <row r="29">
      <c r="A29" t="inlineStr">
        <is>
          <t>Day 16</t>
        </is>
      </c>
      <c r="B29" s="30" t="n">
        <v>407</v>
      </c>
      <c r="C29" s="30" t="n">
        <v>413</v>
      </c>
      <c r="D29" s="30" t="n">
        <v>378</v>
      </c>
      <c r="E29" s="30" t="n">
        <v>408</v>
      </c>
      <c r="F29" s="30" t="n">
        <v>413</v>
      </c>
      <c r="G29" s="17">
        <f>IF(COUNT(B29:F29)=0,"",AVERAGE(B29:F29))</f>
        <v/>
      </c>
      <c r="H29" s="17">
        <f>IF(COUNT(B29:F29)=0,"",MAX(B29:F29)-MIN(B29:F29))</f>
        <v/>
      </c>
      <c r="I29" s="17">
        <f>IF(G29="","",$B$6)</f>
        <v/>
      </c>
      <c r="J29" s="17">
        <f>IF(G29="","",$B$6+$B$8*$B$7)</f>
        <v/>
      </c>
      <c r="K29" s="17">
        <f>IF(G29="","",$B$6-$B$8*$B$7)</f>
        <v/>
      </c>
      <c r="L29" s="20">
        <f>IF(G29="","",IF(OR(G29&gt;J29,G29&lt;K29),"OUT OF CONTROL",""))</f>
        <v/>
      </c>
      <c r="N29" s="33">
        <f>IF(H29="","",$B$7)</f>
        <v/>
      </c>
      <c r="O29" s="33">
        <f>IF(H29="","",$B$9*$B$7)</f>
        <v/>
      </c>
      <c r="P29" s="33">
        <f>IF(H29="","",$B$10*$B$7)</f>
        <v/>
      </c>
      <c r="T29" s="21" t="n">
        <v>16</v>
      </c>
      <c r="AD29" s="21">
        <f>IF($G29="",NA(),IF(OR($G29&gt;$J29,$G29&lt;$K29),$G29,NA()))</f>
        <v/>
      </c>
      <c r="AE29" s="21">
        <f>IF(COUNT($G22:$G29)&lt;8,NA(),IF(OR(MIN($G22:$G29)&gt;$B$6,MAX($G22:$G29)&lt;$B$6),$G29,NA()))</f>
        <v/>
      </c>
      <c r="AF29" s="21">
        <f>IF($H29="",NA(),IF($H29&gt;$O29,$H29,NA()))</f>
        <v/>
      </c>
    </row>
    <row r="30">
      <c r="A30" t="inlineStr">
        <is>
          <t>Day 17</t>
        </is>
      </c>
      <c r="B30" s="30" t="n">
        <v>428</v>
      </c>
      <c r="C30" s="30" t="n">
        <v>389</v>
      </c>
      <c r="D30" s="30" t="n">
        <v>408</v>
      </c>
      <c r="E30" s="30" t="n">
        <v>427</v>
      </c>
      <c r="F30" s="30" t="n">
        <v>389</v>
      </c>
      <c r="G30" s="17">
        <f>IF(COUNT(B30:F30)=0,"",AVERAGE(B30:F30))</f>
        <v/>
      </c>
      <c r="H30" s="17">
        <f>IF(COUNT(B30:F30)=0,"",MAX(B30:F30)-MIN(B30:F30))</f>
        <v/>
      </c>
      <c r="I30" s="17">
        <f>IF(G30="","",$B$6)</f>
        <v/>
      </c>
      <c r="J30" s="17">
        <f>IF(G30="","",$B$6+$B$8*$B$7)</f>
        <v/>
      </c>
      <c r="K30" s="17">
        <f>IF(G30="","",$B$6-$B$8*$B$7)</f>
        <v/>
      </c>
      <c r="L30" s="20">
        <f>IF(G30="","",IF(OR(G30&gt;J30,G30&lt;K30),"OUT OF CONTROL",""))</f>
        <v/>
      </c>
      <c r="N30" s="33">
        <f>IF(H30="","",$B$7)</f>
        <v/>
      </c>
      <c r="O30" s="33">
        <f>IF(H30="","",$B$9*$B$7)</f>
        <v/>
      </c>
      <c r="P30" s="33">
        <f>IF(H30="","",$B$10*$B$7)</f>
        <v/>
      </c>
      <c r="T30" s="21" t="n">
        <v>17</v>
      </c>
      <c r="AD30" s="21">
        <f>IF($G30="",NA(),IF(OR($G30&gt;$J30,$G30&lt;$K30),$G30,NA()))</f>
        <v/>
      </c>
      <c r="AE30" s="21">
        <f>IF(COUNT($G23:$G30)&lt;8,NA(),IF(OR(MIN($G23:$G30)&gt;$B$6,MAX($G23:$G30)&lt;$B$6),$G30,NA()))</f>
        <v/>
      </c>
      <c r="AF30" s="21">
        <f>IF($H30="",NA(),IF($H30&gt;$O30,$H30,NA()))</f>
        <v/>
      </c>
    </row>
    <row r="31">
      <c r="A31" t="inlineStr">
        <is>
          <t>Day 18</t>
        </is>
      </c>
      <c r="B31" s="30" t="n">
        <v>403</v>
      </c>
      <c r="C31" s="30" t="n">
        <v>407</v>
      </c>
      <c r="D31" s="30" t="n">
        <v>438</v>
      </c>
      <c r="E31" s="30" t="n">
        <v>403</v>
      </c>
      <c r="F31" s="30" t="n">
        <v>407</v>
      </c>
      <c r="G31" s="17">
        <f>IF(COUNT(B31:F31)=0,"",AVERAGE(B31:F31))</f>
        <v/>
      </c>
      <c r="H31" s="17">
        <f>IF(COUNT(B31:F31)=0,"",MAX(B31:F31)-MIN(B31:F31))</f>
        <v/>
      </c>
      <c r="I31" s="17">
        <f>IF(G31="","",$B$6)</f>
        <v/>
      </c>
      <c r="J31" s="17">
        <f>IF(G31="","",$B$6+$B$8*$B$7)</f>
        <v/>
      </c>
      <c r="K31" s="17">
        <f>IF(G31="","",$B$6-$B$8*$B$7)</f>
        <v/>
      </c>
      <c r="L31" s="20">
        <f>IF(G31="","",IF(OR(G31&gt;J31,G31&lt;K31),"OUT OF CONTROL",""))</f>
        <v/>
      </c>
      <c r="N31" s="33">
        <f>IF(H31="","",$B$7)</f>
        <v/>
      </c>
      <c r="O31" s="33">
        <f>IF(H31="","",$B$9*$B$7)</f>
        <v/>
      </c>
      <c r="P31" s="33">
        <f>IF(H31="","",$B$10*$B$7)</f>
        <v/>
      </c>
      <c r="T31" s="21" t="n">
        <v>18</v>
      </c>
      <c r="AD31" s="21">
        <f>IF($G31="",NA(),IF(OR($G31&gt;$J31,$G31&lt;$K31),$G31,NA()))</f>
        <v/>
      </c>
      <c r="AE31" s="21">
        <f>IF(COUNT($G24:$G31)&lt;8,NA(),IF(OR(MIN($G24:$G31)&gt;$B$6,MAX($G24:$G31)&lt;$B$6),$G31,NA()))</f>
        <v/>
      </c>
      <c r="AF31" s="21">
        <f>IF($H31="",NA(),IF($H31&gt;$O31,$H31,NA()))</f>
        <v/>
      </c>
    </row>
    <row r="32">
      <c r="A32" t="inlineStr">
        <is>
          <t>Day 19</t>
        </is>
      </c>
      <c r="B32" s="30" t="n">
        <v>406</v>
      </c>
      <c r="C32" s="30" t="n">
        <v>443</v>
      </c>
      <c r="D32" s="30" t="n">
        <v>417</v>
      </c>
      <c r="E32" s="30" t="n">
        <v>406</v>
      </c>
      <c r="F32" s="30" t="n">
        <v>443</v>
      </c>
      <c r="G32" s="17">
        <f>IF(COUNT(B32:F32)=0,"",AVERAGE(B32:F32))</f>
        <v/>
      </c>
      <c r="H32" s="17">
        <f>IF(COUNT(B32:F32)=0,"",MAX(B32:F32)-MIN(B32:F32))</f>
        <v/>
      </c>
      <c r="I32" s="17">
        <f>IF(G32="","",$B$6)</f>
        <v/>
      </c>
      <c r="J32" s="17">
        <f>IF(G32="","",$B$6+$B$8*$B$7)</f>
        <v/>
      </c>
      <c r="K32" s="17">
        <f>IF(G32="","",$B$6-$B$8*$B$7)</f>
        <v/>
      </c>
      <c r="L32" s="20">
        <f>IF(G32="","",IF(OR(G32&gt;J32,G32&lt;K32),"OUT OF CONTROL",""))</f>
        <v/>
      </c>
      <c r="N32" s="33">
        <f>IF(H32="","",$B$7)</f>
        <v/>
      </c>
      <c r="O32" s="33">
        <f>IF(H32="","",$B$9*$B$7)</f>
        <v/>
      </c>
      <c r="P32" s="33">
        <f>IF(H32="","",$B$10*$B$7)</f>
        <v/>
      </c>
      <c r="T32" s="21" t="n">
        <v>19</v>
      </c>
      <c r="AD32" s="21">
        <f>IF($G32="",NA(),IF(OR($G32&gt;$J32,$G32&lt;$K32),$G32,NA()))</f>
        <v/>
      </c>
      <c r="AE32" s="21">
        <f>IF(COUNT($G25:$G32)&lt;8,NA(),IF(OR(MIN($G25:$G32)&gt;$B$6,MAX($G25:$G32)&lt;$B$6),$G32,NA()))</f>
        <v/>
      </c>
      <c r="AF32" s="21">
        <f>IF($H32="",NA(),IF($H32&gt;$O32,$H32,NA()))</f>
        <v/>
      </c>
    </row>
    <row r="33">
      <c r="A33" t="inlineStr">
        <is>
          <t>Day 20</t>
        </is>
      </c>
      <c r="B33" s="30" t="n">
        <v>443</v>
      </c>
      <c r="C33" s="30" t="n">
        <v>429</v>
      </c>
      <c r="D33" s="30" t="n">
        <v>405</v>
      </c>
      <c r="E33" s="30" t="n">
        <v>443</v>
      </c>
      <c r="F33" s="30" t="n">
        <v>429</v>
      </c>
      <c r="G33" s="17">
        <f>IF(COUNT(B33:F33)=0,"",AVERAGE(B33:F33))</f>
        <v/>
      </c>
      <c r="H33" s="17">
        <f>IF(COUNT(B33:F33)=0,"",MAX(B33:F33)-MIN(B33:F33))</f>
        <v/>
      </c>
      <c r="I33" s="17">
        <f>IF(G33="","",$B$6)</f>
        <v/>
      </c>
      <c r="J33" s="17">
        <f>IF(G33="","",$B$6+$B$8*$B$7)</f>
        <v/>
      </c>
      <c r="K33" s="17">
        <f>IF(G33="","",$B$6-$B$8*$B$7)</f>
        <v/>
      </c>
      <c r="L33" s="20">
        <f>IF(G33="","",IF(OR(G33&gt;J33,G33&lt;K33),"OUT OF CONTROL",""))</f>
        <v/>
      </c>
      <c r="N33" s="33">
        <f>IF(H33="","",$B$7)</f>
        <v/>
      </c>
      <c r="O33" s="33">
        <f>IF(H33="","",$B$9*$B$7)</f>
        <v/>
      </c>
      <c r="P33" s="33">
        <f>IF(H33="","",$B$10*$B$7)</f>
        <v/>
      </c>
      <c r="T33" s="21" t="n">
        <v>20</v>
      </c>
      <c r="AD33" s="21">
        <f>IF($G33="",NA(),IF(OR($G33&gt;$J33,$G33&lt;$K33),$G33,NA()))</f>
        <v/>
      </c>
      <c r="AE33" s="21">
        <f>IF(COUNT($G26:$G33)&lt;8,NA(),IF(OR(MIN($G26:$G33)&gt;$B$6,MAX($G26:$G33)&lt;$B$6),$G33,NA()))</f>
        <v/>
      </c>
      <c r="AF33" s="21">
        <f>IF($H33="",NA(),IF($H33&gt;$O33,$H33,NA()))</f>
        <v/>
      </c>
    </row>
    <row r="34">
      <c r="A34" t="inlineStr">
        <is>
          <t>Day 21</t>
        </is>
      </c>
      <c r="B34" s="30" t="n">
        <v>424</v>
      </c>
      <c r="C34" s="30" t="n">
        <v>390</v>
      </c>
      <c r="D34" s="30" t="n">
        <v>423</v>
      </c>
      <c r="E34" s="30" t="n">
        <v>424</v>
      </c>
      <c r="F34" s="30" t="n">
        <v>390</v>
      </c>
      <c r="G34" s="17">
        <f>IF(COUNT(B34:F34)=0,"",AVERAGE(B34:F34))</f>
        <v/>
      </c>
      <c r="H34" s="17">
        <f>IF(COUNT(B34:F34)=0,"",MAX(B34:F34)-MIN(B34:F34))</f>
        <v/>
      </c>
      <c r="I34" s="17">
        <f>IF(G34="","",$B$6)</f>
        <v/>
      </c>
      <c r="J34" s="17">
        <f>IF(G34="","",$B$6+$B$8*$B$7)</f>
        <v/>
      </c>
      <c r="K34" s="17">
        <f>IF(G34="","",$B$6-$B$8*$B$7)</f>
        <v/>
      </c>
      <c r="L34" s="20">
        <f>IF(G34="","",IF(OR(G34&gt;J34,G34&lt;K34),"OUT OF CONTROL",""))</f>
        <v/>
      </c>
      <c r="N34" s="33">
        <f>IF(H34="","",$B$7)</f>
        <v/>
      </c>
      <c r="O34" s="33">
        <f>IF(H34="","",$B$9*$B$7)</f>
        <v/>
      </c>
      <c r="P34" s="33">
        <f>IF(H34="","",$B$10*$B$7)</f>
        <v/>
      </c>
      <c r="T34" s="21" t="n">
        <v>21</v>
      </c>
      <c r="AD34" s="21">
        <f>IF($G34="",NA(),IF(OR($G34&gt;$J34,$G34&lt;$K34),$G34,NA()))</f>
        <v/>
      </c>
      <c r="AE34" s="21">
        <f>IF(COUNT($G27:$G34)&lt;8,NA(),IF(OR(MIN($G27:$G34)&gt;$B$6,MAX($G27:$G34)&lt;$B$6),$G34,NA()))</f>
        <v/>
      </c>
      <c r="AF34" s="21">
        <f>IF($H34="",NA(),IF($H34&gt;$O34,$H34,NA()))</f>
        <v/>
      </c>
    </row>
    <row r="35">
      <c r="A35" t="inlineStr">
        <is>
          <t>Day 22</t>
        </is>
      </c>
      <c r="B35" s="30" t="n">
        <v>392</v>
      </c>
      <c r="C35" s="30" t="n">
        <v>414</v>
      </c>
      <c r="D35" s="30" t="n">
        <v>430</v>
      </c>
      <c r="E35" s="30" t="n">
        <v>392</v>
      </c>
      <c r="F35" s="30" t="n">
        <v>414</v>
      </c>
      <c r="G35" s="17">
        <f>IF(COUNT(B35:F35)=0,"",AVERAGE(B35:F35))</f>
        <v/>
      </c>
      <c r="H35" s="17">
        <f>IF(COUNT(B35:F35)=0,"",MAX(B35:F35)-MIN(B35:F35))</f>
        <v/>
      </c>
      <c r="I35" s="17">
        <f>IF(G35="","",$B$6)</f>
        <v/>
      </c>
      <c r="J35" s="17">
        <f>IF(G35="","",$B$6+$B$8*$B$7)</f>
        <v/>
      </c>
      <c r="K35" s="17">
        <f>IF(G35="","",$B$6-$B$8*$B$7)</f>
        <v/>
      </c>
      <c r="L35" s="20">
        <f>IF(G35="","",IF(OR(G35&gt;J35,G35&lt;K35),"OUT OF CONTROL",""))</f>
        <v/>
      </c>
      <c r="N35" s="33">
        <f>IF(H35="","",$B$7)</f>
        <v/>
      </c>
      <c r="O35" s="33">
        <f>IF(H35="","",$B$9*$B$7)</f>
        <v/>
      </c>
      <c r="P35" s="33">
        <f>IF(H35="","",$B$10*$B$7)</f>
        <v/>
      </c>
      <c r="T35" s="21" t="n">
        <v>22</v>
      </c>
      <c r="AD35" s="21">
        <f>IF($G35="",NA(),IF(OR($G35&gt;$J35,$G35&lt;$K35),$G35,NA()))</f>
        <v/>
      </c>
      <c r="AE35" s="21">
        <f>IF(COUNT($G28:$G35)&lt;8,NA(),IF(OR(MIN($G28:$G35)&gt;$B$6,MAX($G28:$G35)&lt;$B$6),$G35,NA()))</f>
        <v/>
      </c>
      <c r="AF35" s="21">
        <f>IF($H35="",NA(),IF($H35&gt;$O35,$H35,NA()))</f>
        <v/>
      </c>
    </row>
    <row r="36">
      <c r="A36" t="inlineStr">
        <is>
          <t>Day 23</t>
        </is>
      </c>
      <c r="B36" s="30" t="n">
        <v>403</v>
      </c>
      <c r="C36" s="30" t="n">
        <v>431</v>
      </c>
      <c r="D36" s="30" t="n">
        <v>394</v>
      </c>
      <c r="E36" s="30" t="n">
        <v>403</v>
      </c>
      <c r="F36" s="30" t="n">
        <v>431</v>
      </c>
      <c r="G36" s="17">
        <f>IF(COUNT(B36:F36)=0,"",AVERAGE(B36:F36))</f>
        <v/>
      </c>
      <c r="H36" s="17">
        <f>IF(COUNT(B36:F36)=0,"",MAX(B36:F36)-MIN(B36:F36))</f>
        <v/>
      </c>
      <c r="I36" s="17">
        <f>IF(G36="","",$B$6)</f>
        <v/>
      </c>
      <c r="J36" s="17">
        <f>IF(G36="","",$B$6+$B$8*$B$7)</f>
        <v/>
      </c>
      <c r="K36" s="17">
        <f>IF(G36="","",$B$6-$B$8*$B$7)</f>
        <v/>
      </c>
      <c r="L36" s="20">
        <f>IF(G36="","",IF(OR(G36&gt;J36,G36&lt;K36),"OUT OF CONTROL",""))</f>
        <v/>
      </c>
      <c r="N36" s="33">
        <f>IF(H36="","",$B$7)</f>
        <v/>
      </c>
      <c r="O36" s="33">
        <f>IF(H36="","",$B$9*$B$7)</f>
        <v/>
      </c>
      <c r="P36" s="33">
        <f>IF(H36="","",$B$10*$B$7)</f>
        <v/>
      </c>
      <c r="T36" s="21" t="n">
        <v>23</v>
      </c>
      <c r="AD36" s="21">
        <f>IF($G36="",NA(),IF(OR($G36&gt;$J36,$G36&lt;$K36),$G36,NA()))</f>
        <v/>
      </c>
      <c r="AE36" s="21">
        <f>IF(COUNT($G29:$G36)&lt;8,NA(),IF(OR(MIN($G29:$G36)&gt;$B$6,MAX($G29:$G36)&lt;$B$6),$G36,NA()))</f>
        <v/>
      </c>
      <c r="AF36" s="21">
        <f>IF($H36="",NA(),IF($H36&gt;$O36,$H36,NA()))</f>
        <v/>
      </c>
    </row>
    <row r="37">
      <c r="A37" t="inlineStr">
        <is>
          <t>Day 24</t>
        </is>
      </c>
      <c r="B37" s="30" t="n">
        <v>428</v>
      </c>
      <c r="C37" s="30" t="n">
        <v>399</v>
      </c>
      <c r="D37" s="30" t="n">
        <v>393</v>
      </c>
      <c r="E37" s="30" t="n">
        <v>429</v>
      </c>
      <c r="F37" s="30" t="n">
        <v>399</v>
      </c>
      <c r="G37" s="17">
        <f>IF(COUNT(B37:F37)=0,"",AVERAGE(B37:F37))</f>
        <v/>
      </c>
      <c r="H37" s="17">
        <f>IF(COUNT(B37:F37)=0,"",MAX(B37:F37)-MIN(B37:F37))</f>
        <v/>
      </c>
      <c r="I37" s="17">
        <f>IF(G37="","",$B$6)</f>
        <v/>
      </c>
      <c r="J37" s="17">
        <f>IF(G37="","",$B$6+$B$8*$B$7)</f>
        <v/>
      </c>
      <c r="K37" s="17">
        <f>IF(G37="","",$B$6-$B$8*$B$7)</f>
        <v/>
      </c>
      <c r="L37" s="20">
        <f>IF(G37="","",IF(OR(G37&gt;J37,G37&lt;K37),"OUT OF CONTROL",""))</f>
        <v/>
      </c>
      <c r="N37" s="33">
        <f>IF(H37="","",$B$7)</f>
        <v/>
      </c>
      <c r="O37" s="33">
        <f>IF(H37="","",$B$9*$B$7)</f>
        <v/>
      </c>
      <c r="P37" s="33">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4" t="n">
        <v>0.2</v>
      </c>
      <c r="C5" s="16" t="inlineStr">
        <is>
          <t>0.05 is very smooth and slow; 0.4 behaves nearly like an ordinary chart. 0.2 is the usual choice.</t>
        </is>
      </c>
    </row>
    <row r="6" ht="15" customHeight="1">
      <c r="A6" s="12" t="inlineStr">
        <is>
          <t>L (limit width in sigmas)</t>
        </is>
      </c>
      <c r="B6" s="35"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22"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22"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22"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22"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22"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22"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22"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22"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22"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22"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22"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22"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22"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22"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22"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22"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22"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22"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22"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22"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22"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22"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22"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4" t="n">
        <v>0.5</v>
      </c>
      <c r="C5" s="16" t="inlineStr">
        <is>
          <t>Half the shift you care about. 0.5 is tuned to catch a 1-sigma shift.</t>
        </is>
      </c>
    </row>
    <row r="6" ht="15" customHeight="1">
      <c r="A6" s="12" t="inlineStr">
        <is>
          <t>h (decision interval)</t>
        </is>
      </c>
      <c r="B6" s="35"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22"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22"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22"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22"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22"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22"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22"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22"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22"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22"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22"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22"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22"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22"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22"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22"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22"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22"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22"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22"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22"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22"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22"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1">
        <f>AVERAGE(C14:C37)</f>
        <v/>
      </c>
      <c r="C7" s="16" t="inlineStr">
        <is>
          <t>Gaps between rare events are exponential, not normal. The 1/3.6 power (Nelson) makes them near-normal so ordinary limits apply.</t>
        </is>
      </c>
    </row>
    <row r="8">
      <c r="A8" s="12" t="inlineStr">
        <is>
          <t>Transformed MR-bar</t>
        </is>
      </c>
      <c r="B8" s="31">
        <f>AVERAGE(D15:D37)</f>
        <v/>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6">
        <f>IF(F14="","",$B$10)</f>
        <v/>
      </c>
      <c r="H14" s="20">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1">
        <f>IF($B14="",NA(),IF(OR($C14&gt;$B$7+2.66*$B$8,$C14&lt;$B$7-2.66*$B$8),$B14,NA()))</f>
        <v/>
      </c>
      <c r="AE14" s="21">
        <f>NA()</f>
        <v/>
      </c>
      <c r="AF14" s="21">
        <f>IF($F14="",NA(),IF($F14&gt;$M14,$F14,NA()))</f>
        <v/>
      </c>
      <c r="AG14" s="21">
        <f>NA()</f>
        <v/>
      </c>
    </row>
    <row r="15">
      <c r="A15" t="inlineStr">
        <is>
          <t>Incident 2</t>
        </is>
      </c>
      <c r="B15" s="30" t="n">
        <v>9</v>
      </c>
      <c r="C15" s="28">
        <f>IF(B15="","",B15^(1/3.6))</f>
        <v/>
      </c>
      <c r="D15" s="28">
        <f>IF(COUNT(C14:C15)=2,ABS(C15-C14),"")</f>
        <v/>
      </c>
      <c r="E15" s="28">
        <f>IF(B15="","",$B$7)</f>
        <v/>
      </c>
      <c r="F15" s="30" t="n">
        <v>8400</v>
      </c>
      <c r="G15" s="36">
        <f>IF(F15="","",$B$10)</f>
        <v/>
      </c>
      <c r="H15" s="20">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1">
        <f>IF($B15="",NA(),IF(OR($C15&gt;$B$7+2.66*$B$8,$C15&lt;$B$7-2.66*$B$8),$B15,NA()))</f>
        <v/>
      </c>
      <c r="AE15" s="21">
        <f>NA()</f>
        <v/>
      </c>
      <c r="AF15" s="21">
        <f>IF($F15="",NA(),IF($F15&gt;$M15,$F15,NA()))</f>
        <v/>
      </c>
      <c r="AG15" s="21">
        <f>NA()</f>
        <v/>
      </c>
    </row>
    <row r="16">
      <c r="A16" t="inlineStr">
        <is>
          <t>Incident 3</t>
        </is>
      </c>
      <c r="B16" s="30" t="n">
        <v>22</v>
      </c>
      <c r="C16" s="28">
        <f>IF(B16="","",B16^(1/3.6))</f>
        <v/>
      </c>
      <c r="D16" s="28">
        <f>IF(COUNT(C15:C16)=2,ABS(C16-C15),"")</f>
        <v/>
      </c>
      <c r="E16" s="28">
        <f>IF(B16="","",$B$7)</f>
        <v/>
      </c>
      <c r="F16" s="30" t="n">
        <v>21600</v>
      </c>
      <c r="G16" s="36">
        <f>IF(F16="","",$B$10)</f>
        <v/>
      </c>
      <c r="H16" s="20">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1">
        <f>IF($B16="",NA(),IF(OR($C16&gt;$B$7+2.66*$B$8,$C16&lt;$B$7-2.66*$B$8),$B16,NA()))</f>
        <v/>
      </c>
      <c r="AE16" s="21">
        <f>NA()</f>
        <v/>
      </c>
      <c r="AF16" s="21">
        <f>IF($F16="",NA(),IF($F16&gt;$M16,$F16,NA()))</f>
        <v/>
      </c>
      <c r="AG16" s="21">
        <f>NA()</f>
        <v/>
      </c>
    </row>
    <row r="17">
      <c r="A17" t="inlineStr">
        <is>
          <t>Incident 4</t>
        </is>
      </c>
      <c r="B17" s="30" t="n">
        <v>31</v>
      </c>
      <c r="C17" s="28">
        <f>IF(B17="","",B17^(1/3.6))</f>
        <v/>
      </c>
      <c r="D17" s="28">
        <f>IF(COUNT(C16:C17)=2,ABS(C17-C16),"")</f>
        <v/>
      </c>
      <c r="E17" s="28">
        <f>IF(B17="","",$B$7)</f>
        <v/>
      </c>
      <c r="F17" s="30" t="n">
        <v>29800</v>
      </c>
      <c r="G17" s="36">
        <f>IF(F17="","",$B$10)</f>
        <v/>
      </c>
      <c r="H17" s="20">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1">
        <f>IF($B17="",NA(),IF(OR($C17&gt;$B$7+2.66*$B$8,$C17&lt;$B$7-2.66*$B$8),$B17,NA()))</f>
        <v/>
      </c>
      <c r="AE17" s="21">
        <f>NA()</f>
        <v/>
      </c>
      <c r="AF17" s="21">
        <f>IF($F17="",NA(),IF($F17&gt;$M17,$F17,NA()))</f>
        <v/>
      </c>
      <c r="AG17" s="21">
        <f>NA()</f>
        <v/>
      </c>
    </row>
    <row r="18">
      <c r="A18" t="inlineStr">
        <is>
          <t>Incident 5</t>
        </is>
      </c>
      <c r="B18" s="30" t="n">
        <v>18</v>
      </c>
      <c r="C18" s="28">
        <f>IF(B18="","",B18^(1/3.6))</f>
        <v/>
      </c>
      <c r="D18" s="28">
        <f>IF(COUNT(C17:C18)=2,ABS(C18-C17),"")</f>
        <v/>
      </c>
      <c r="E18" s="28">
        <f>IF(B18="","",$B$7)</f>
        <v/>
      </c>
      <c r="F18" s="30" t="n">
        <v>17400</v>
      </c>
      <c r="G18" s="36">
        <f>IF(F18="","",$B$10)</f>
        <v/>
      </c>
      <c r="H18" s="20">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1">
        <f>IF($B18="",NA(),IF(OR($C18&gt;$B$7+2.66*$B$8,$C18&lt;$B$7-2.66*$B$8),$B18,NA()))</f>
        <v/>
      </c>
      <c r="AE18" s="21">
        <f>NA()</f>
        <v/>
      </c>
      <c r="AF18" s="21">
        <f>IF($F18="",NA(),IF($F18&gt;$M18,$F18,NA()))</f>
        <v/>
      </c>
      <c r="AG18" s="21">
        <f>NA()</f>
        <v/>
      </c>
    </row>
    <row r="19">
      <c r="A19" t="inlineStr">
        <is>
          <t>Incident 6</t>
        </is>
      </c>
      <c r="B19" s="30" t="n">
        <v>27</v>
      </c>
      <c r="C19" s="28">
        <f>IF(B19="","",B19^(1/3.6))</f>
        <v/>
      </c>
      <c r="D19" s="28">
        <f>IF(COUNT(C18:C19)=2,ABS(C19-C18),"")</f>
        <v/>
      </c>
      <c r="E19" s="28">
        <f>IF(B19="","",$B$7)</f>
        <v/>
      </c>
      <c r="F19" s="30" t="n">
        <v>26100</v>
      </c>
      <c r="G19" s="36">
        <f>IF(F19="","",$B$10)</f>
        <v/>
      </c>
      <c r="H19" s="20">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1">
        <f>IF($B19="",NA(),IF(OR($C19&gt;$B$7+2.66*$B$8,$C19&lt;$B$7-2.66*$B$8),$B19,NA()))</f>
        <v/>
      </c>
      <c r="AE19" s="21">
        <f>NA()</f>
        <v/>
      </c>
      <c r="AF19" s="21">
        <f>IF($F19="",NA(),IF($F19&gt;$M19,$F19,NA()))</f>
        <v/>
      </c>
      <c r="AG19" s="21">
        <f>NA()</f>
        <v/>
      </c>
    </row>
    <row r="20">
      <c r="A20" t="inlineStr">
        <is>
          <t>Incident 7</t>
        </is>
      </c>
      <c r="B20" s="30" t="n">
        <v>41</v>
      </c>
      <c r="C20" s="28">
        <f>IF(B20="","",B20^(1/3.6))</f>
        <v/>
      </c>
      <c r="D20" s="28">
        <f>IF(COUNT(C19:C20)=2,ABS(C20-C19),"")</f>
        <v/>
      </c>
      <c r="E20" s="28">
        <f>IF(B20="","",$B$7)</f>
        <v/>
      </c>
      <c r="F20" s="30" t="n">
        <v>39900</v>
      </c>
      <c r="G20" s="36">
        <f>IF(F20="","",$B$10)</f>
        <v/>
      </c>
      <c r="H20" s="20">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1">
        <f>IF($B20="",NA(),IF(OR($C20&gt;$B$7+2.66*$B$8,$C20&lt;$B$7-2.66*$B$8),$B20,NA()))</f>
        <v/>
      </c>
      <c r="AE20" s="21">
        <f>NA()</f>
        <v/>
      </c>
      <c r="AF20" s="21">
        <f>IF($F20="",NA(),IF($F20&gt;$M20,$F20,NA()))</f>
        <v/>
      </c>
      <c r="AG20" s="21">
        <f>NA()</f>
        <v/>
      </c>
    </row>
    <row r="21">
      <c r="A21" t="inlineStr">
        <is>
          <t>Incident 8</t>
        </is>
      </c>
      <c r="B21" s="30" t="n">
        <v>12</v>
      </c>
      <c r="C21" s="28">
        <f>IF(B21="","",B21^(1/3.6))</f>
        <v/>
      </c>
      <c r="D21" s="28">
        <f>IF(COUNT(C20:C21)=2,ABS(C21-C20),"")</f>
        <v/>
      </c>
      <c r="E21" s="28">
        <f>IF(B21="","",$B$7)</f>
        <v/>
      </c>
      <c r="F21" s="30" t="n">
        <v>11200</v>
      </c>
      <c r="G21" s="36">
        <f>IF(F21="","",$B$10)</f>
        <v/>
      </c>
      <c r="H21" s="20">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30" t="n">
        <v>35</v>
      </c>
      <c r="C22" s="28">
        <f>IF(B22="","",B22^(1/3.6))</f>
        <v/>
      </c>
      <c r="D22" s="28">
        <f>IF(COUNT(C21:C22)=2,ABS(C22-C21),"")</f>
        <v/>
      </c>
      <c r="E22" s="28">
        <f>IF(B22="","",$B$7)</f>
        <v/>
      </c>
      <c r="F22" s="30" t="n">
        <v>33500</v>
      </c>
      <c r="G22" s="36">
        <f>IF(F22="","",$B$10)</f>
        <v/>
      </c>
      <c r="H22" s="20">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30" t="n">
        <v>24</v>
      </c>
      <c r="C23" s="28">
        <f>IF(B23="","",B23^(1/3.6))</f>
        <v/>
      </c>
      <c r="D23" s="28">
        <f>IF(COUNT(C22:C23)=2,ABS(C23-C22),"")</f>
        <v/>
      </c>
      <c r="E23" s="28">
        <f>IF(B23="","",$B$7)</f>
        <v/>
      </c>
      <c r="F23" s="30" t="n">
        <v>23100</v>
      </c>
      <c r="G23" s="36">
        <f>IF(F23="","",$B$10)</f>
        <v/>
      </c>
      <c r="H23" s="20">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30" t="n">
        <v>48</v>
      </c>
      <c r="C24" s="28">
        <f>IF(B24="","",B24^(1/3.6))</f>
        <v/>
      </c>
      <c r="D24" s="28">
        <f>IF(COUNT(C23:C24)=2,ABS(C24-C23),"")</f>
        <v/>
      </c>
      <c r="E24" s="28">
        <f>IF(B24="","",$B$7)</f>
        <v/>
      </c>
      <c r="F24" s="30" t="n">
        <v>46800</v>
      </c>
      <c r="G24" s="36">
        <f>IF(F24="","",$B$10)</f>
        <v/>
      </c>
      <c r="H24" s="20">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30" t="n">
        <v>19</v>
      </c>
      <c r="C25" s="28">
        <f>IF(B25="","",B25^(1/3.6))</f>
        <v/>
      </c>
      <c r="D25" s="28">
        <f>IF(COUNT(C24:C25)=2,ABS(C25-C24),"")</f>
        <v/>
      </c>
      <c r="E25" s="28">
        <f>IF(B25="","",$B$7)</f>
        <v/>
      </c>
      <c r="F25" s="30" t="n">
        <v>18300</v>
      </c>
      <c r="G25" s="36">
        <f>IF(F25="","",$B$10)</f>
        <v/>
      </c>
      <c r="H25" s="20">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30" t="n">
        <v>33</v>
      </c>
      <c r="C26" s="28">
        <f>IF(B26="","",B26^(1/3.6))</f>
        <v/>
      </c>
      <c r="D26" s="28">
        <f>IF(COUNT(C25:C26)=2,ABS(C26-C25),"")</f>
        <v/>
      </c>
      <c r="E26" s="28">
        <f>IF(B26="","",$B$7)</f>
        <v/>
      </c>
      <c r="F26" s="30" t="n">
        <v>31700</v>
      </c>
      <c r="G26" s="36">
        <f>IF(F26="","",$B$10)</f>
        <v/>
      </c>
      <c r="H26" s="20">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30" t="n">
        <v>26</v>
      </c>
      <c r="C27" s="28">
        <f>IF(B27="","",B27^(1/3.6))</f>
        <v/>
      </c>
      <c r="D27" s="28">
        <f>IF(COUNT(C26:C27)=2,ABS(C27-C26),"")</f>
        <v/>
      </c>
      <c r="E27" s="28">
        <f>IF(B27="","",$B$7)</f>
        <v/>
      </c>
      <c r="F27" s="30" t="n">
        <v>25400</v>
      </c>
      <c r="G27" s="36">
        <f>IF(F27="","",$B$10)</f>
        <v/>
      </c>
      <c r="H27" s="20">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30" t="n">
        <v>52</v>
      </c>
      <c r="C28" s="28">
        <f>IF(B28="","",B28^(1/3.6))</f>
        <v/>
      </c>
      <c r="D28" s="28">
        <f>IF(COUNT(C27:C28)=2,ABS(C28-C27),"")</f>
        <v/>
      </c>
      <c r="E28" s="28">
        <f>IF(B28="","",$B$7)</f>
        <v/>
      </c>
      <c r="F28" s="30" t="n">
        <v>50600</v>
      </c>
      <c r="G28" s="36">
        <f>IF(F28="","",$B$10)</f>
        <v/>
      </c>
      <c r="H28" s="20">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30" t="n">
        <v>21</v>
      </c>
      <c r="C29" s="28">
        <f>IF(B29="","",B29^(1/3.6))</f>
        <v/>
      </c>
      <c r="D29" s="28">
        <f>IF(COUNT(C28:C29)=2,ABS(C29-C28),"")</f>
        <v/>
      </c>
      <c r="E29" s="28">
        <f>IF(B29="","",$B$7)</f>
        <v/>
      </c>
      <c r="F29" s="30" t="n">
        <v>20200</v>
      </c>
      <c r="G29" s="36">
        <f>IF(F29="","",$B$10)</f>
        <v/>
      </c>
      <c r="H29" s="20">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30" t="n">
        <v>38</v>
      </c>
      <c r="C30" s="28">
        <f>IF(B30="","",B30^(1/3.6))</f>
        <v/>
      </c>
      <c r="D30" s="28">
        <f>IF(COUNT(C29:C30)=2,ABS(C30-C29),"")</f>
        <v/>
      </c>
      <c r="E30" s="28">
        <f>IF(B30="","",$B$7)</f>
        <v/>
      </c>
      <c r="F30" s="30" t="n">
        <v>36900</v>
      </c>
      <c r="G30" s="36">
        <f>IF(F30="","",$B$10)</f>
        <v/>
      </c>
      <c r="H30" s="20">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30" t="n">
        <v>29</v>
      </c>
      <c r="C31" s="28">
        <f>IF(B31="","",B31^(1/3.6))</f>
        <v/>
      </c>
      <c r="D31" s="28">
        <f>IF(COUNT(C30:C31)=2,ABS(C31-C30),"")</f>
        <v/>
      </c>
      <c r="E31" s="28">
        <f>IF(B31="","",$B$7)</f>
        <v/>
      </c>
      <c r="F31" s="30" t="n">
        <v>27800</v>
      </c>
      <c r="G31" s="36">
        <f>IF(F31="","",$B$10)</f>
        <v/>
      </c>
      <c r="H31" s="20">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30" t="n">
        <v>44</v>
      </c>
      <c r="C32" s="28">
        <f>IF(B32="","",B32^(1/3.6))</f>
        <v/>
      </c>
      <c r="D32" s="28">
        <f>IF(COUNT(C31:C32)=2,ABS(C32-C31),"")</f>
        <v/>
      </c>
      <c r="E32" s="28">
        <f>IF(B32="","",$B$7)</f>
        <v/>
      </c>
      <c r="F32" s="30" t="n">
        <v>43100</v>
      </c>
      <c r="G32" s="36">
        <f>IF(F32="","",$B$10)</f>
        <v/>
      </c>
      <c r="H32" s="20">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30" t="n">
        <v>36</v>
      </c>
      <c r="C33" s="28">
        <f>IF(B33="","",B33^(1/3.6))</f>
        <v/>
      </c>
      <c r="D33" s="28">
        <f>IF(COUNT(C32:C33)=2,ABS(C33-C32),"")</f>
        <v/>
      </c>
      <c r="E33" s="28">
        <f>IF(B33="","",$B$7)</f>
        <v/>
      </c>
      <c r="F33" s="30" t="n">
        <v>34600</v>
      </c>
      <c r="G33" s="36">
        <f>IF(F33="","",$B$10)</f>
        <v/>
      </c>
      <c r="H33" s="20">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30" t="n">
        <v>58</v>
      </c>
      <c r="C34" s="28">
        <f>IF(B34="","",B34^(1/3.6))</f>
        <v/>
      </c>
      <c r="D34" s="28">
        <f>IF(COUNT(C33:C34)=2,ABS(C34-C33),"")</f>
        <v/>
      </c>
      <c r="E34" s="28">
        <f>IF(B34="","",$B$7)</f>
        <v/>
      </c>
      <c r="F34" s="30" t="n">
        <v>56900</v>
      </c>
      <c r="G34" s="36">
        <f>IF(F34="","",$B$10)</f>
        <v/>
      </c>
      <c r="H34" s="20">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30" t="n">
        <v>31</v>
      </c>
      <c r="C35" s="28">
        <f>IF(B35="","",B35^(1/3.6))</f>
        <v/>
      </c>
      <c r="D35" s="28">
        <f>IF(COUNT(C34:C35)=2,ABS(C35-C34),"")</f>
        <v/>
      </c>
      <c r="E35" s="28">
        <f>IF(B35="","",$B$7)</f>
        <v/>
      </c>
      <c r="F35" s="30" t="n">
        <v>29900</v>
      </c>
      <c r="G35" s="36">
        <f>IF(F35="","",$B$10)</f>
        <v/>
      </c>
      <c r="H35" s="20">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30" t="n">
        <v>47</v>
      </c>
      <c r="C36" s="28">
        <f>IF(B36="","",B36^(1/3.6))</f>
        <v/>
      </c>
      <c r="D36" s="28">
        <f>IF(COUNT(C35:C36)=2,ABS(C36-C35),"")</f>
        <v/>
      </c>
      <c r="E36" s="28">
        <f>IF(B36="","",$B$7)</f>
        <v/>
      </c>
      <c r="F36" s="30" t="n">
        <v>45200</v>
      </c>
      <c r="G36" s="36">
        <f>IF(F36="","",$B$10)</f>
        <v/>
      </c>
      <c r="H36" s="20">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30" t="n">
        <v>40</v>
      </c>
      <c r="C37" s="28">
        <f>IF(B37="","",B37^(1/3.6))</f>
        <v/>
      </c>
      <c r="D37" s="28">
        <f>IF(COUNT(C36:C37)=2,ABS(C37-C36),"")</f>
        <v/>
      </c>
      <c r="E37" s="28">
        <f>IF(B37="","",$B$7)</f>
        <v/>
      </c>
      <c r="F37" s="30" t="n">
        <v>38400</v>
      </c>
      <c r="G37" s="36">
        <f>IF(F37="","",$B$10)</f>
        <v/>
      </c>
      <c r="H37" s="20">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2026-08-01T05:28:18Z</dcterms:created>
  <dcterms:modified xsi:type="dcterms:W3CDTF">2026-08-01T05:28:18Z</dcterms:modified>
</cp:coreProperties>
</file>