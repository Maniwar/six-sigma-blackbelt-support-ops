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this" sheetId="1" state="visible" r:id="rId1"/>
    <sheet name="Hop log" sheetId="2" state="visible" r:id="rId2"/>
  </sheets>
  <definedNames/>
  <calcPr calcId="124519" fullCalcOnLoad="1"/>
</workbook>
</file>

<file path=xl/styles.xml><?xml version="1.0" encoding="utf-8"?>
<styleSheet xmlns="http://schemas.openxmlformats.org/spreadsheetml/2006/main">
  <numFmts count="4">
    <numFmt numFmtId="164" formatCode="&quot;$&quot;#,##0.00"/>
    <numFmt numFmtId="165" formatCode="0.0%"/>
    <numFmt numFmtId="166" formatCode="0.0"/>
    <numFmt numFmtId="167" formatCode="&quot;$&quot;#,##0"/>
  </numFmts>
  <fonts count="9">
    <font>
      <name val="Calibri"/>
      <family val="2"/>
      <color theme="1"/>
      <sz val="11"/>
      <scheme val="minor"/>
    </font>
    <font>
      <b val="1"/>
      <color rgb="FFFFFFFF"/>
      <sz val="15"/>
    </font>
    <font>
      <i val="1"/>
      <color rgb="FF6B7280"/>
      <sz val="9"/>
    </font>
    <font>
      <b val="1"/>
      <sz val="11"/>
    </font>
    <font>
      <b val="1"/>
      <color rgb="FFFFFFFF"/>
      <sz val="10"/>
    </font>
    <font>
      <color rgb="FF1D4ED8"/>
      <sz val="11"/>
    </font>
    <font>
      <sz val="11"/>
    </font>
    <font>
      <i val="1"/>
      <color rgb="FF4B5563"/>
      <sz val="9"/>
    </font>
    <font>
      <b val="1"/>
      <sz val="10"/>
    </font>
  </fonts>
  <fills count="8">
    <fill>
      <patternFill/>
    </fill>
    <fill>
      <patternFill patternType="gray125"/>
    </fill>
    <fill>
      <patternFill patternType="solid">
        <fgColor rgb="FF151B24"/>
      </patternFill>
    </fill>
    <fill>
      <patternFill patternType="solid">
        <fgColor rgb="FFEEF1F6"/>
      </patternFill>
    </fill>
    <fill>
      <patternFill patternType="solid">
        <fgColor rgb="FFFFF9E3"/>
      </patternFill>
    </fill>
    <fill>
      <patternFill patternType="solid">
        <fgColor rgb="FF333C49"/>
      </patternFill>
    </fill>
    <fill>
      <patternFill patternType="solid">
        <fgColor rgb="FFECFAEF"/>
      </patternFill>
    </fill>
    <fill>
      <patternFill patternType="solid">
        <fgColor rgb="FFF2F7FF"/>
      </patternFill>
    </fill>
  </fills>
  <borders count="2">
    <border>
      <left/>
      <right/>
      <top/>
      <bottom/>
      <diagonal/>
    </border>
    <border>
      <bottom style="thin">
        <color rgb="FFD8DEE7"/>
      </bottom>
    </border>
  </borders>
  <cellStyleXfs count="1">
    <xf numFmtId="0" fontId="0" fillId="0" borderId="0"/>
  </cellStyleXfs>
  <cellXfs count="25">
    <xf numFmtId="0" fontId="0" fillId="0" borderId="0" pivotButton="0" quotePrefix="0" xfId="0"/>
    <xf numFmtId="0" fontId="3" fillId="0" borderId="0" applyAlignment="1" pivotButton="0" quotePrefix="0" xfId="0">
      <alignment vertical="top" wrapText="1"/>
    </xf>
    <xf numFmtId="0" fontId="6" fillId="0" borderId="0" applyAlignment="1" pivotButton="0" quotePrefix="0" xfId="0">
      <alignment vertical="top" wrapText="1"/>
    </xf>
    <xf numFmtId="0" fontId="8" fillId="0" borderId="0" applyAlignment="1" pivotButton="0" quotePrefix="0" xfId="0">
      <alignment vertical="top" wrapText="1"/>
    </xf>
    <xf numFmtId="0" fontId="7" fillId="0" borderId="0" applyAlignment="1" pivotButton="0" quotePrefix="0" xfId="0">
      <alignment vertical="top" wrapText="1"/>
    </xf>
    <xf numFmtId="0" fontId="1" fillId="2" borderId="0" pivotButton="0" quotePrefix="0" xfId="0"/>
    <xf numFmtId="0" fontId="0" fillId="2" borderId="0" pivotButton="0" quotePrefix="0" xfId="0"/>
    <xf numFmtId="0" fontId="2" fillId="0" borderId="0" pivotButton="0" quotePrefix="0" xfId="0"/>
    <xf numFmtId="0" fontId="3" fillId="3" borderId="0" pivotButton="0" quotePrefix="0" xfId="0"/>
    <xf numFmtId="0" fontId="0" fillId="3" borderId="0" pivotButton="0" quotePrefix="0" xfId="0"/>
    <xf numFmtId="0" fontId="3" fillId="0" borderId="0" pivotButton="0" quotePrefix="0" xfId="0"/>
    <xf numFmtId="0" fontId="0" fillId="4" borderId="1" pivotButton="0" quotePrefix="0" xfId="0"/>
    <xf numFmtId="0" fontId="2" fillId="0" borderId="0" applyAlignment="1" pivotButton="0" quotePrefix="0" xfId="0">
      <alignment vertical="center" wrapText="1"/>
    </xf>
    <xf numFmtId="3" fontId="0" fillId="4" borderId="1" pivotButton="0" quotePrefix="0" xfId="0"/>
    <xf numFmtId="164" fontId="0" fillId="4" borderId="1" pivotButton="0" quotePrefix="0" xfId="0"/>
    <xf numFmtId="0" fontId="4" fillId="5" borderId="0" applyAlignment="1" pivotButton="0" quotePrefix="0" xfId="0">
      <alignment vertical="center" wrapText="1"/>
    </xf>
    <xf numFmtId="0" fontId="0" fillId="6" borderId="1" pivotButton="0" quotePrefix="0" xfId="0"/>
    <xf numFmtId="3" fontId="0" fillId="6" borderId="1" pivotButton="0" quotePrefix="0" xfId="0"/>
    <xf numFmtId="0" fontId="3" fillId="3" borderId="0" applyAlignment="1" pivotButton="0" quotePrefix="0" xfId="0">
      <alignment vertical="center" wrapText="1"/>
    </xf>
    <xf numFmtId="3" fontId="5" fillId="7" borderId="1" pivotButton="0" quotePrefix="0" xfId="0"/>
    <xf numFmtId="165" fontId="5" fillId="7" borderId="1" pivotButton="0" quotePrefix="0" xfId="0"/>
    <xf numFmtId="1" fontId="5" fillId="7" borderId="1" pivotButton="0" quotePrefix="0" xfId="0"/>
    <xf numFmtId="166" fontId="5" fillId="7" borderId="1" pivotButton="0" quotePrefix="0" xfId="0"/>
    <xf numFmtId="167" fontId="5" fillId="7" borderId="1" pivotButton="0" quotePrefix="0" xfId="0"/>
    <xf numFmtId="0" fontId="5"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roundedCorners val="0"/>
  <style val="10"/>
  <chart>
    <title>
      <tx>
        <rich>
          <a:bodyPr/>
          <a:p>
            <a:pPr>
              <a:defRPr/>
            </a:pPr>
            <a:r>
              <a:t>Where the hop time goes — total seconds by system pair</a:t>
            </a:r>
          </a:p>
        </rich>
      </tx>
    </title>
    <plotArea>
      <barChart>
        <barDir val="bar"/>
        <grouping val="clustered"/>
        <ser>
          <idx val="0"/>
          <order val="0"/>
          <tx>
            <v>Total seconds observed</v>
          </tx>
          <spPr>
            <a:solidFill>
              <a:srgbClr val="1F4E79"/>
            </a:solidFill>
            <a:ln>
              <a:solidFill>
                <a:srgbClr val="1F4E79"/>
              </a:solidFill>
              <a:prstDash val="solid"/>
            </a:ln>
          </spPr>
          <invertIfNegative val="0"/>
          <cat>
            <numRef>
              <f>'Hop log'!$C$62:$C$67</f>
            </numRef>
          </cat>
          <val>
            <numRef>
              <f>'Hop log'!$E$62:$E$67</f>
            </numRef>
          </val>
        </ser>
        <gapWidth val="60"/>
        <axId val="10"/>
        <axId val="100"/>
      </barChart>
      <lineChart>
        <grouping val="standard"/>
        <ser>
          <idx val="1"/>
          <order val="1"/>
          <tx>
            <v>Mean — a pair above this line is worth an integration</v>
          </tx>
          <spPr>
            <a:ln w="18000">
              <a:solidFill>
                <a:srgbClr val="C0392B"/>
              </a:solidFill>
              <a:prstDash val="dash"/>
            </a:ln>
          </spPr>
          <marker>
            <symbol val="none"/>
            <spPr>
              <a:ln>
                <a:prstDash val="solid"/>
              </a:ln>
            </spPr>
          </marker>
          <val>
            <numRef>
              <f>'Hop log'!$I$62:$I$67</f>
            </numRef>
          </val>
          <smooth val="0"/>
        </ser>
        <axId val="10"/>
        <axId val="100"/>
      </lineChart>
      <catAx>
        <axId val="10"/>
        <scaling>
          <orientation val="minMax"/>
        </scaling>
        <delete val="0"/>
        <axPos val="l"/>
        <majorTickMark val="none"/>
        <minorTickMark val="none"/>
        <tickLblPos val="low"/>
        <crossAx val="100"/>
        <lblOffset val="100"/>
        <tickLblSkip val="1"/>
        <tickMarkSkip val="1"/>
      </catAx>
      <valAx>
        <axId val="100"/>
        <scaling>
          <orientation val="minMax"/>
        </scaling>
        <delete val="0"/>
        <axPos val="l"/>
        <majorTickMark val="none"/>
        <minorTickMark val="none"/>
        <tickLblPos val="nextTo"/>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roundedCorners val="0"/>
  <style val="10"/>
  <chart>
    <title>
      <tx>
        <rich>
          <a:bodyPr/>
          <a:p>
            <a:pPr>
              <a:defRPr/>
            </a:pPr>
            <a:r>
              <a:t>Hop time is not evenly spread — a few contacts carry it</a:t>
            </a:r>
          </a:p>
        </rich>
      </tx>
    </title>
    <plotArea>
      <barChart>
        <barDir val="col"/>
        <grouping val="clustered"/>
        <ser>
          <idx val="0"/>
          <order val="0"/>
          <tx>
            <v>Seconds in system hops</v>
          </tx>
          <spPr>
            <a:solidFill>
              <a:srgbClr val="1F4E79"/>
            </a:solidFill>
            <a:ln>
              <a:solidFill>
                <a:srgbClr val="1F4E79"/>
              </a:solidFill>
              <a:prstDash val="solid"/>
            </a:ln>
          </spPr>
          <invertIfNegative val="0"/>
          <cat>
            <numRef>
              <f>'Hop log'!$B$41:$B$46</f>
            </numRef>
          </cat>
          <val>
            <numRef>
              <f>'Hop log'!$C$41:$C$46</f>
            </numRef>
          </val>
        </ser>
        <gapWidth val="60"/>
        <axId val="10"/>
        <axId val="100"/>
      </barChart>
      <lineChart>
        <grouping val="standard"/>
        <ser>
          <idx val="1"/>
          <order val="1"/>
          <tx>
            <v>Mean — the contacts above it are the ones to watch</v>
          </tx>
          <spPr>
            <a:ln w="18000">
              <a:solidFill>
                <a:srgbClr val="C0392B"/>
              </a:solidFill>
              <a:prstDash val="dash"/>
            </a:ln>
          </spPr>
          <marker>
            <symbol val="none"/>
            <spPr>
              <a:ln>
                <a:prstDash val="solid"/>
              </a:ln>
            </spPr>
          </marker>
          <val>
            <numRef>
              <f>'Hop log'!$I$41:$I$46</f>
            </numRef>
          </val>
          <smooth val="0"/>
        </ser>
        <axId val="10"/>
        <axId val="100"/>
      </lineChart>
      <catAx>
        <axId val="10"/>
        <scaling>
          <orientation val="minMax"/>
        </scaling>
        <delete val="0"/>
        <axPos val="l"/>
        <majorTickMark val="none"/>
        <minorTickMark val="none"/>
        <tickLblPos val="low"/>
        <crossAx val="100"/>
        <lblOffset val="100"/>
        <tickLblSkip val="1"/>
        <tickMarkSkip val="1"/>
      </catAx>
      <valAx>
        <axId val="100"/>
        <scaling>
          <orientation val="minMax"/>
          <min val="0"/>
        </scaling>
        <delete val="0"/>
        <axPos val="l"/>
        <majorGridlines/>
        <majorTickMark val="none"/>
        <minorTickMark val="none"/>
        <tickLblPos val="nextTo"/>
        <crossAx val="10"/>
      </valAx>
    </plotArea>
    <legend>
      <legendPos val="b"/>
    </legend>
    <plotVisOnly val="1"/>
    <dispBlanksAs val="gap"/>
  </chart>
</chartSpace>
</file>

<file path=xl/comments/comment1.xml><?xml version="1.0" encoding="utf-8"?>
<comments xmlns="http://schemas.openxmlformats.org/spreadsheetml/2006/main">
  <authors>
    <author>Template</author>
  </authors>
  <commentList>
    <comment ref="B5" authorId="0" shapeId="0">
      <text>
        <t>One contact type. Hop counts are not comparable across contact types, and averaging them together produces a number that describes nothing anybody does.</t>
      </text>
    </comment>
    <comment ref="B6" authorId="0" shapeId="0">
      <text>
        <t>Write the rule down before you start counting, because the borderline cases decide the answer. Tabs inside the same application: your call — but make the same call every time, and record which way you called it.</t>
      </text>
    </comment>
    <comment ref="B7" authorId="0" shapeId="0">
      <text>
        <t>From the platform, over the same period you observed. It is the denominator for everything below, so take it from a report rather than from the six contacts you happened to watch.</t>
      </text>
    </comment>
    <comment ref="B8" authorId="0" shapeId="0">
      <text>
        <t>The population the hops apply to. Adjustments here, not the whole billing queue — annualising against a population you did not observe is how a swivel-chair saving becomes a number Finance rejects.</t>
      </text>
    </comment>
    <comment ref="B9" authorId="0" shapeId="0">
      <text>
        <t>Salary, employer costs, benefits and paid non-productive time, divided by paid hours. Your Finance partner has this figure; do not build one.</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2</row>
      <rowOff>0</rowOff>
    </from>
    <ext cx="6840000" cy="27000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20</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H40"/>
  <sheetViews>
    <sheetView showGridLines="0" workbookViewId="0">
      <selection activeCell="A1" sqref="A1"/>
    </sheetView>
  </sheetViews>
  <sheetFormatPr baseColWidth="8" defaultRowHeight="15"/>
  <cols>
    <col width="2" customWidth="1" min="1" max="1"/>
    <col width="108" customWidth="1" min="2" max="2"/>
    <col width="13" customWidth="1" min="3" max="3"/>
    <col width="13" customWidth="1" min="4" max="4"/>
    <col width="13" customWidth="1" min="5" max="5"/>
    <col width="13" customWidth="1" min="6" max="6"/>
    <col width="13" customWidth="1" min="7" max="7"/>
    <col width="13" customWidth="1" min="8" max="8"/>
  </cols>
  <sheetData>
    <row r="1"/>
    <row r="2">
      <c r="B2" s="1" t="inlineStr">
        <is>
          <t>Yellow cells</t>
        </is>
      </c>
    </row>
    <row r="3" ht="15" customHeight="1">
      <c r="B3" s="2" t="inlineStr">
        <is>
          <t>You fill these in.</t>
        </is>
      </c>
    </row>
    <row r="4">
      <c r="B4" s="1" t="inlineStr">
        <is>
          <t>Blue cells</t>
        </is>
      </c>
    </row>
    <row r="5" ht="15" customHeight="1">
      <c r="B5" s="2" t="inlineStr">
        <is>
          <t>Calculated for you. Do not type over them — they contain formulas.</t>
        </is>
      </c>
    </row>
    <row r="6">
      <c r="B6" s="1" t="inlineStr">
        <is>
          <t>Green cells</t>
        </is>
      </c>
    </row>
    <row r="7" ht="30" customHeight="1">
      <c r="B7" s="2" t="inlineStr">
        <is>
          <t>A worked example, so you can see the expected format and the charts say something the moment you open the file. Replace it with your own data when you start.</t>
        </is>
      </c>
    </row>
    <row r="8">
      <c r="B8" s="1" t="inlineStr">
        <is>
          <t>What this workbook is for</t>
        </is>
      </c>
    </row>
    <row r="9" ht="60" customHeight="1">
      <c r="B9" s="2" t="inlineStr">
        <is>
          <t>The tool library tells you to map swivel-chair waste with a system-hop diagram and then gave you nowhere to record one. This is that place. It turns 'the agents are always jumping between screens', which nobody can act on, into a number of seconds per contact, a cost per year, and a named pair of systems with an owner.</t>
        </is>
      </c>
    </row>
    <row r="10">
      <c r="B10" s="1" t="inlineStr">
        <is>
          <t>How to collect it</t>
        </is>
      </c>
    </row>
    <row r="11" ht="75" customHeight="1">
      <c r="B11" s="2" t="inlineStr">
        <is>
          <t>Sit beside the agent with a stopwatch and this sheet, and watch whole contacts end to end — never a sampled minute. Log every move as it happens; reconstructing it afterwards produces the loop people believe they run rather than the one they ran. Watch at least ten contacts and more than one agent: the multi-vari study in 31-multi-vari.xlsx exists because agent-to-agent variation is usually the largest family there is, and hopping is no different.</t>
        </is>
      </c>
    </row>
    <row r="12">
      <c r="B12" s="1" t="inlineStr">
        <is>
          <t>Tell the agent what you are doing</t>
        </is>
      </c>
    </row>
    <row r="13" ht="45" customHeight="1">
      <c r="B13" s="2" t="inlineStr">
        <is>
          <t>Say plainly that you are timing the systems and not the person, and show them the finished sheet. An observation that feels like an audit produces a performance, and you will have carefully timed the performance.</t>
        </is>
      </c>
    </row>
    <row r="14">
      <c r="B14" s="1" t="inlineStr">
        <is>
          <t>What the worked example found</t>
        </is>
      </c>
    </row>
    <row r="15" ht="60" customHeight="1">
      <c r="B15" s="2" t="inlineStr">
        <is>
          <t>Six billing adjustments, 24 hops, about 123 seconds a contact — near enough thirty per cent of a 412-second handle time — and 22 of the 24 hops re-typed something the previous system already held. The heaviest pair is the billing platform to the payment gateway, which is a confirmation the agent should never have had to go and fetch.</t>
        </is>
      </c>
    </row>
    <row r="16">
      <c r="B16" s="1" t="inlineStr">
        <is>
          <t>The trap</t>
        </is>
      </c>
    </row>
    <row r="17" ht="75" customHeight="1">
      <c r="B17" s="2" t="inlineStr">
        <is>
          <t>Hop time is not free time, and it is not a saving. Removing every hop would not hand you the hours back: some of that time is the agent thinking, and thinking follows them to the next screen. Take the figure, halve it, say out loud that you halved it, and let a pilot tell you the real number. A swivel-chair business case that claims the full amount is the classic way to lose a Finance partner for the rest of the programme.</t>
        </is>
      </c>
    </row>
    <row r="18">
      <c r="B18" s="1" t="inlineStr">
        <is>
          <t>Where the numbers go next</t>
        </is>
      </c>
    </row>
    <row r="19" ht="75" customHeight="1">
      <c r="B19" s="2" t="inlineStr">
        <is>
          <t>The hop time per contact is a wait in 10-value-stream-map.xlsx and drags process cycle efficiency down with it. Every re-keyed field is a failure mode for 12-fmea.xlsx, with a detection score that is usually terrible because nothing checks a hand-typed account number. The named pair of systems becomes a candidate in 15-solution-selection-matrix.xlsx, where an integration will score badly on effort and well on durability — which is exactly the argument worth having.</t>
        </is>
      </c>
    </row>
    <row r="20"/>
    <row r="21"/>
    <row r="22" ht="14" customHeight="1">
      <c r="A22" s="3" t="inlineStr">
        <is>
          <t>WHAT THE COLUMNS MEAN — the short version sits above each table; this is the same thing with the worked example</t>
        </is>
      </c>
    </row>
    <row r="23" ht="22" customHeight="1">
      <c r="A23" s="4" t="inlineStr">
        <is>
          <t>Share of handle time = the swivel measured against the whole contact, which is the number to take to anyone who owns the handle-time target. Where 'share of hop time' ranks the pairs against each other, this one says what the hopping costs overall — the same seconds against the 412-second baseline rather than against the other hops</t>
        </is>
      </c>
    </row>
    <row r="24" ht="22" customHeight="1">
      <c r="A24" s="4" t="inlineStr">
        <is>
          <t>Share of hop time = that system pair's seconds as a percentage of all the time spent moving between systems — a share of the SWIVEL, not of the contact. Case tool to Billing platform takes 198 of the 737 logged seconds, 26.9% (E62, G62), so a third of the swivelling happens on one pair. It is the column that says which integration to build first</t>
        </is>
      </c>
    </row>
    <row r="25"/>
    <row r="26"/>
    <row r="27"/>
    <row r="28"/>
    <row r="29"/>
    <row r="30"/>
    <row r="31"/>
    <row r="32"/>
    <row r="33"/>
    <row r="34"/>
    <row r="35"/>
    <row r="36"/>
    <row r="37"/>
    <row r="38"/>
    <row r="39"/>
    <row r="40"/>
  </sheetData>
  <mergeCells count="6">
    <mergeCell ref="B17"/>
    <mergeCell ref="A24:H24"/>
    <mergeCell ref="B11"/>
    <mergeCell ref="A23:H23"/>
    <mergeCell ref="B19"/>
    <mergeCell ref="A22:H22"/>
  </mergeCells>
  <printOptions horizontalCentered="1"/>
  <pageMargins left="0.4" right="0.4"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R74"/>
  <sheetViews>
    <sheetView showGridLines="0" workbookViewId="0">
      <pane ySplit="12" topLeftCell="A13" activePane="bottomLeft" state="frozen"/>
      <selection pane="bottomLeft" activeCell="A1" sqref="A1"/>
    </sheetView>
  </sheetViews>
  <sheetFormatPr baseColWidth="8" defaultRowHeight="15"/>
  <cols>
    <col width="30" customWidth="1" min="1" max="1"/>
    <col width="20" customWidth="1" min="2" max="2"/>
    <col width="22" customWidth="1" min="3" max="3"/>
    <col width="22" customWidth="1" min="4" max="4"/>
    <col width="34" customWidth="1" min="5" max="5"/>
    <col width="12" customWidth="1" min="6" max="6"/>
    <col width="14" customWidth="1" min="7" max="7"/>
    <col width="26" customWidth="1" min="8" max="8"/>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26" customHeight="1">
      <c r="A1" s="5" t="inlineStr">
        <is>
          <t>System-hop log — what the swivel chair costs</t>
        </is>
      </c>
      <c r="B1" s="6" t="n"/>
      <c r="C1" s="6" t="n"/>
      <c r="D1" s="6" t="n"/>
      <c r="E1" s="6" t="n"/>
      <c r="F1" s="6" t="n"/>
      <c r="G1" s="6" t="n"/>
      <c r="H1" s="6" t="n"/>
    </row>
    <row r="2">
      <c r="A2" s="7" t="inlineStr">
        <is>
          <t>One row per move between systems, timed at the desk. Handle time hides this: the contact takes seven minutes and nobody can say how much of it was the agent waiting for a second screen to load and typing the account number into it again. The green block is a worked example — replace it with your own observations.</t>
        </is>
      </c>
    </row>
    <row r="3"/>
    <row r="4">
      <c r="A4" s="8" t="inlineStr">
        <is>
          <t>THE QUESTION — what you watched, and what counts</t>
        </is>
      </c>
      <c r="B4" s="9" t="n"/>
      <c r="C4" s="9" t="n"/>
      <c r="D4" s="9" t="n"/>
      <c r="E4" s="9" t="n"/>
      <c r="F4" s="9" t="n"/>
      <c r="G4" s="9" t="n"/>
      <c r="H4" s="9" t="n"/>
    </row>
    <row r="5" ht="30" customHeight="1">
      <c r="A5" s="10" t="inlineStr">
        <is>
          <t>Process observed</t>
        </is>
      </c>
      <c r="B5" s="11" t="inlineStr">
        <is>
          <t>Billing adjustment, end to end</t>
        </is>
      </c>
      <c r="C5" s="12" t="inlineStr">
        <is>
          <t>One contact type. Hop counts are not comparable across contact types, and averaging them together produces a number that describes nothing anybody does.</t>
        </is>
      </c>
    </row>
    <row r="6" ht="45" customHeight="1">
      <c r="A6" s="10" t="inlineStr">
        <is>
          <t>What counts as a hop</t>
        </is>
      </c>
      <c r="B6" s="11" t="inlineStr">
        <is>
          <t>Any move to a different application window</t>
        </is>
      </c>
      <c r="C6" s="12" t="inlineStr">
        <is>
          <t>Write the rule down before you start counting, because the borderline cases decide the answer. Tabs inside the same application: your call — but make the same call every time, and record which way you called it.</t>
        </is>
      </c>
    </row>
    <row r="7" ht="30" customHeight="1">
      <c r="A7" s="10" t="inlineStr">
        <is>
          <t>Mean handle time for this contact type (seconds)</t>
        </is>
      </c>
      <c r="B7" s="13" t="n">
        <v>412</v>
      </c>
      <c r="C7" s="12" t="inlineStr">
        <is>
          <t>From the platform, over the same period you observed. It is the denominator for everything below, so take it from a report rather than from the six contacts you happened to watch.</t>
        </is>
      </c>
    </row>
    <row r="8" ht="45" customHeight="1">
      <c r="A8" s="10" t="inlineStr">
        <is>
          <t>Contacts of this type per year</t>
        </is>
      </c>
      <c r="B8" s="13" t="n">
        <v>11592</v>
      </c>
      <c r="C8" s="12" t="inlineStr">
        <is>
          <t>The population the hops apply to. Adjustments here, not the whole billing queue — annualising against a population you did not observe is how a swivel-chair saving becomes a number Finance rejects.</t>
        </is>
      </c>
    </row>
    <row r="9" ht="30" customHeight="1">
      <c r="A9" s="10" t="inlineStr">
        <is>
          <t>Loaded cost per agent hour</t>
        </is>
      </c>
      <c r="B9" s="14" t="n">
        <v>38</v>
      </c>
      <c r="C9" s="12" t="inlineStr">
        <is>
          <t>Salary, employer costs, benefits and paid non-productive time, divided by paid hours. Your Finance partner has this figure; do not build one.</t>
        </is>
      </c>
    </row>
    <row r="10"/>
    <row r="11">
      <c r="A11" s="8" t="inlineStr">
        <is>
          <t>THE LOG — one row per move, in the order the agent made them</t>
        </is>
      </c>
      <c r="B11" s="9" t="n"/>
      <c r="C11" s="9" t="n"/>
      <c r="D11" s="9" t="n"/>
      <c r="E11" s="9" t="n"/>
      <c r="F11" s="9" t="n"/>
      <c r="G11" s="9" t="n"/>
      <c r="H11" s="9" t="n"/>
    </row>
    <row r="12" ht="30" customHeight="1">
      <c r="A12" s="15" t="inlineStr">
        <is>
          <t>Contact ref</t>
        </is>
      </c>
      <c r="B12" s="15" t="inlineStr">
        <is>
          <t>Step</t>
        </is>
      </c>
      <c r="C12" s="15" t="inlineStr">
        <is>
          <t>From system</t>
        </is>
      </c>
      <c r="D12" s="15" t="inlineStr">
        <is>
          <t>To system</t>
        </is>
      </c>
      <c r="E12" s="15" t="inlineStr">
        <is>
          <t>Why the agent moved</t>
        </is>
      </c>
      <c r="F12" s="15" t="inlineStr">
        <is>
          <t>Seconds</t>
        </is>
      </c>
      <c r="G12" s="15" t="inlineStr">
        <is>
          <t>Data re-keyed?</t>
        </is>
      </c>
      <c r="H12" s="15" t="inlineStr">
        <is>
          <t>Which fields were re-keyed</t>
        </is>
      </c>
    </row>
    <row r="13">
      <c r="A13" s="16" t="inlineStr">
        <is>
          <t>BA-2201</t>
        </is>
      </c>
      <c r="B13" s="16" t="n">
        <v>1</v>
      </c>
      <c r="C13" s="16" t="inlineStr">
        <is>
          <t>Case tool</t>
        </is>
      </c>
      <c r="D13" s="16" t="inlineStr">
        <is>
          <t>Billing platform</t>
        </is>
      </c>
      <c r="E13" s="16" t="inlineStr">
        <is>
          <t>Find the adjustment on the account</t>
        </is>
      </c>
      <c r="F13" s="17" t="n">
        <v>34</v>
      </c>
      <c r="G13" s="16" t="inlineStr">
        <is>
          <t>Y</t>
        </is>
      </c>
      <c r="H13" s="16" t="inlineStr">
        <is>
          <t>Account number</t>
        </is>
      </c>
    </row>
    <row r="14">
      <c r="A14" s="16" t="inlineStr">
        <is>
          <t>BA-2201</t>
        </is>
      </c>
      <c r="B14" s="16" t="n">
        <v>2</v>
      </c>
      <c r="C14" s="16" t="inlineStr">
        <is>
          <t>Billing platform</t>
        </is>
      </c>
      <c r="D14" s="16" t="inlineStr">
        <is>
          <t>Payment gateway</t>
        </is>
      </c>
      <c r="E14" s="16" t="inlineStr">
        <is>
          <t>Check whether the refund has actually posted</t>
        </is>
      </c>
      <c r="F14" s="17" t="n">
        <v>41</v>
      </c>
      <c r="G14" s="16" t="inlineStr">
        <is>
          <t>Y</t>
        </is>
      </c>
      <c r="H14" s="16" t="inlineStr">
        <is>
          <t>Transaction ID</t>
        </is>
      </c>
    </row>
    <row r="15">
      <c r="A15" s="16" t="inlineStr">
        <is>
          <t>BA-2201</t>
        </is>
      </c>
      <c r="B15" s="16" t="n">
        <v>3</v>
      </c>
      <c r="C15" s="16" t="inlineStr">
        <is>
          <t>Payment gateway</t>
        </is>
      </c>
      <c r="D15" s="16" t="inlineStr">
        <is>
          <t>Billing platform</t>
        </is>
      </c>
      <c r="E15" s="16" t="inlineStr">
        <is>
          <t>Record the posting reference against the adjustment</t>
        </is>
      </c>
      <c r="F15" s="17" t="n">
        <v>22</v>
      </c>
      <c r="G15" s="16" t="inlineStr">
        <is>
          <t>Y</t>
        </is>
      </c>
      <c r="H15" s="16" t="inlineStr">
        <is>
          <t>Posting reference</t>
        </is>
      </c>
    </row>
    <row r="16">
      <c r="A16" s="16" t="inlineStr">
        <is>
          <t>BA-2201</t>
        </is>
      </c>
      <c r="B16" s="16" t="n">
        <v>4</v>
      </c>
      <c r="C16" s="16" t="inlineStr">
        <is>
          <t>Billing platform</t>
        </is>
      </c>
      <c r="D16" s="16" t="inlineStr">
        <is>
          <t>Case tool</t>
        </is>
      </c>
      <c r="E16" s="16" t="inlineStr">
        <is>
          <t>Write the case note and close</t>
        </is>
      </c>
      <c r="F16" s="17" t="n">
        <v>27</v>
      </c>
      <c r="G16" s="16" t="inlineStr">
        <is>
          <t>Y</t>
        </is>
      </c>
      <c r="H16" s="16" t="inlineStr">
        <is>
          <t>Adjustment amount</t>
        </is>
      </c>
    </row>
    <row r="17">
      <c r="A17" s="16" t="inlineStr">
        <is>
          <t>BA-2202</t>
        </is>
      </c>
      <c r="B17" s="16" t="n">
        <v>1</v>
      </c>
      <c r="C17" s="16" t="inlineStr">
        <is>
          <t>Case tool</t>
        </is>
      </c>
      <c r="D17" s="16" t="inlineStr">
        <is>
          <t>Billing platform</t>
        </is>
      </c>
      <c r="E17" s="16" t="inlineStr">
        <is>
          <t>Find the adjustment on the account</t>
        </is>
      </c>
      <c r="F17" s="17" t="n">
        <v>31</v>
      </c>
      <c r="G17" s="16" t="inlineStr">
        <is>
          <t>Y</t>
        </is>
      </c>
      <c r="H17" s="16" t="inlineStr">
        <is>
          <t>Account number</t>
        </is>
      </c>
    </row>
    <row r="18">
      <c r="A18" s="16" t="inlineStr">
        <is>
          <t>BA-2202</t>
        </is>
      </c>
      <c r="B18" s="16" t="n">
        <v>2</v>
      </c>
      <c r="C18" s="16" t="inlineStr">
        <is>
          <t>Billing platform</t>
        </is>
      </c>
      <c r="D18" s="16" t="inlineStr">
        <is>
          <t>Payment gateway</t>
        </is>
      </c>
      <c r="E18" s="16" t="inlineStr">
        <is>
          <t>Check whether the refund has actually posted</t>
        </is>
      </c>
      <c r="F18" s="17" t="n">
        <v>38</v>
      </c>
      <c r="G18" s="16" t="inlineStr">
        <is>
          <t>Y</t>
        </is>
      </c>
      <c r="H18" s="16" t="inlineStr">
        <is>
          <t>Transaction ID</t>
        </is>
      </c>
    </row>
    <row r="19">
      <c r="A19" s="16" t="inlineStr">
        <is>
          <t>BA-2202</t>
        </is>
      </c>
      <c r="B19" s="16" t="n">
        <v>3</v>
      </c>
      <c r="C19" s="16" t="inlineStr">
        <is>
          <t>Payment gateway</t>
        </is>
      </c>
      <c r="D19" s="16" t="inlineStr">
        <is>
          <t>Billing platform</t>
        </is>
      </c>
      <c r="E19" s="16" t="inlineStr">
        <is>
          <t>Record the posting reference against the adjustment</t>
        </is>
      </c>
      <c r="F19" s="17" t="n">
        <v>19</v>
      </c>
      <c r="G19" s="16" t="inlineStr">
        <is>
          <t>Y</t>
        </is>
      </c>
      <c r="H19" s="16" t="inlineStr">
        <is>
          <t>Posting reference</t>
        </is>
      </c>
    </row>
    <row r="20">
      <c r="A20" s="16" t="inlineStr">
        <is>
          <t>BA-2202</t>
        </is>
      </c>
      <c r="B20" s="16" t="n">
        <v>4</v>
      </c>
      <c r="C20" s="16" t="inlineStr">
        <is>
          <t>Billing platform</t>
        </is>
      </c>
      <c r="D20" s="16" t="inlineStr">
        <is>
          <t>Case tool</t>
        </is>
      </c>
      <c r="E20" s="16" t="inlineStr">
        <is>
          <t>Write the case note and close</t>
        </is>
      </c>
      <c r="F20" s="17" t="n">
        <v>24</v>
      </c>
      <c r="G20" s="16" t="inlineStr">
        <is>
          <t>Y</t>
        </is>
      </c>
      <c r="H20" s="16" t="inlineStr">
        <is>
          <t>Adjustment amount</t>
        </is>
      </c>
    </row>
    <row r="21" ht="66" customHeight="1">
      <c r="A21" s="16" t="inlineStr">
        <is>
          <t>BA-2203</t>
        </is>
      </c>
      <c r="B21" s="16" t="n">
        <v>1</v>
      </c>
      <c r="C21" s="16" t="inlineStr">
        <is>
          <t>Case tool</t>
        </is>
      </c>
      <c r="D21" s="16" t="inlineStr">
        <is>
          <t>Knowledge base</t>
        </is>
      </c>
      <c r="E21" s="16" t="inlineStr">
        <is>
          <t>Check whether this adjustment type needs a manager</t>
        </is>
      </c>
      <c r="F21" s="17" t="n">
        <v>46</v>
      </c>
      <c r="G21" s="16" t="inlineStr">
        <is>
          <t>N</t>
        </is>
      </c>
      <c r="H21" s="16" t="inlineStr">
        <is>
          <t>—</t>
        </is>
      </c>
      <c r="J21" s="4" t="inlineStr">
        <is>
          <t>HOW TO READ IT.  Ranked by total seconds, so the top bar is the integration to build first. The heaviest pair here takes 198 of 737 logged seconds — 26.9% of all the swivelling on one pair. Check the re-key column beside it: a hop that re-types data is both the waste and a defect opportunity.
SO:  Build the integration for the top pair first — 26.9% of all swivel time sits on one of them. Where the re-key column is ticked, count the defect opportunity in the FMEA too, because re-typing is both waste and a failure mode.</t>
        </is>
      </c>
    </row>
    <row r="22">
      <c r="A22" s="16" t="inlineStr">
        <is>
          <t>BA-2203</t>
        </is>
      </c>
      <c r="B22" s="16" t="n">
        <v>2</v>
      </c>
      <c r="C22" s="16" t="inlineStr">
        <is>
          <t>Knowledge base</t>
        </is>
      </c>
      <c r="D22" s="16" t="inlineStr">
        <is>
          <t>Case tool</t>
        </is>
      </c>
      <c r="E22" s="16" t="inlineStr">
        <is>
          <t>Back to the case</t>
        </is>
      </c>
      <c r="F22" s="17" t="n">
        <v>11</v>
      </c>
      <c r="G22" s="16" t="inlineStr">
        <is>
          <t>N</t>
        </is>
      </c>
      <c r="H22" s="16" t="inlineStr">
        <is>
          <t>—</t>
        </is>
      </c>
    </row>
    <row r="23">
      <c r="A23" s="16" t="inlineStr">
        <is>
          <t>BA-2203</t>
        </is>
      </c>
      <c r="B23" s="16" t="n">
        <v>3</v>
      </c>
      <c r="C23" s="16" t="inlineStr">
        <is>
          <t>Case tool</t>
        </is>
      </c>
      <c r="D23" s="16" t="inlineStr">
        <is>
          <t>Billing platform</t>
        </is>
      </c>
      <c r="E23" s="16" t="inlineStr">
        <is>
          <t>Find the adjustment on the account</t>
        </is>
      </c>
      <c r="F23" s="17" t="n">
        <v>36</v>
      </c>
      <c r="G23" s="16" t="inlineStr">
        <is>
          <t>Y</t>
        </is>
      </c>
      <c r="H23" s="16" t="inlineStr">
        <is>
          <t>Account number</t>
        </is>
      </c>
    </row>
    <row r="24">
      <c r="A24" s="16" t="inlineStr">
        <is>
          <t>BA-2203</t>
        </is>
      </c>
      <c r="B24" s="16" t="n">
        <v>4</v>
      </c>
      <c r="C24" s="16" t="inlineStr">
        <is>
          <t>Billing platform</t>
        </is>
      </c>
      <c r="D24" s="16" t="inlineStr">
        <is>
          <t>Case tool</t>
        </is>
      </c>
      <c r="E24" s="16" t="inlineStr">
        <is>
          <t>Write the case note and close</t>
        </is>
      </c>
      <c r="F24" s="17" t="n">
        <v>29</v>
      </c>
      <c r="G24" s="16" t="inlineStr">
        <is>
          <t>Y</t>
        </is>
      </c>
      <c r="H24" s="16" t="inlineStr">
        <is>
          <t>Adjustment amount</t>
        </is>
      </c>
    </row>
    <row r="25">
      <c r="A25" s="16" t="inlineStr">
        <is>
          <t>BA-2204</t>
        </is>
      </c>
      <c r="B25" s="16" t="n">
        <v>1</v>
      </c>
      <c r="C25" s="16" t="inlineStr">
        <is>
          <t>Case tool</t>
        </is>
      </c>
      <c r="D25" s="16" t="inlineStr">
        <is>
          <t>Billing platform</t>
        </is>
      </c>
      <c r="E25" s="16" t="inlineStr">
        <is>
          <t>Find the adjustment on the account</t>
        </is>
      </c>
      <c r="F25" s="17" t="n">
        <v>33</v>
      </c>
      <c r="G25" s="16" t="inlineStr">
        <is>
          <t>Y</t>
        </is>
      </c>
      <c r="H25" s="16" t="inlineStr">
        <is>
          <t>Account number</t>
        </is>
      </c>
    </row>
    <row r="26">
      <c r="A26" s="16" t="inlineStr">
        <is>
          <t>BA-2204</t>
        </is>
      </c>
      <c r="B26" s="16" t="n">
        <v>2</v>
      </c>
      <c r="C26" s="16" t="inlineStr">
        <is>
          <t>Billing platform</t>
        </is>
      </c>
      <c r="D26" s="16" t="inlineStr">
        <is>
          <t>Payment gateway</t>
        </is>
      </c>
      <c r="E26" s="16" t="inlineStr">
        <is>
          <t>Check whether the refund has actually posted</t>
        </is>
      </c>
      <c r="F26" s="17" t="n">
        <v>44</v>
      </c>
      <c r="G26" s="16" t="inlineStr">
        <is>
          <t>Y</t>
        </is>
      </c>
      <c r="H26" s="16" t="inlineStr">
        <is>
          <t>Transaction ID</t>
        </is>
      </c>
    </row>
    <row r="27">
      <c r="A27" s="16" t="inlineStr">
        <is>
          <t>BA-2204</t>
        </is>
      </c>
      <c r="B27" s="16" t="n">
        <v>3</v>
      </c>
      <c r="C27" s="16" t="inlineStr">
        <is>
          <t>Payment gateway</t>
        </is>
      </c>
      <c r="D27" s="16" t="inlineStr">
        <is>
          <t>Billing platform</t>
        </is>
      </c>
      <c r="E27" s="16" t="inlineStr">
        <is>
          <t>Record the posting reference against the adjustment</t>
        </is>
      </c>
      <c r="F27" s="17" t="n">
        <v>21</v>
      </c>
      <c r="G27" s="16" t="inlineStr">
        <is>
          <t>Y</t>
        </is>
      </c>
      <c r="H27" s="16" t="inlineStr">
        <is>
          <t>Posting reference</t>
        </is>
      </c>
    </row>
    <row r="28">
      <c r="A28" s="16" t="inlineStr">
        <is>
          <t>BA-2204</t>
        </is>
      </c>
      <c r="B28" s="16" t="n">
        <v>4</v>
      </c>
      <c r="C28" s="16" t="inlineStr">
        <is>
          <t>Billing platform</t>
        </is>
      </c>
      <c r="D28" s="16" t="inlineStr">
        <is>
          <t>Case tool</t>
        </is>
      </c>
      <c r="E28" s="16" t="inlineStr">
        <is>
          <t>Write the case note and close</t>
        </is>
      </c>
      <c r="F28" s="17" t="n">
        <v>26</v>
      </c>
      <c r="G28" s="16" t="inlineStr">
        <is>
          <t>Y</t>
        </is>
      </c>
      <c r="H28" s="16" t="inlineStr">
        <is>
          <t>Adjustment amount</t>
        </is>
      </c>
    </row>
    <row r="29">
      <c r="A29" s="16" t="inlineStr">
        <is>
          <t>BA-2205</t>
        </is>
      </c>
      <c r="B29" s="16" t="n">
        <v>1</v>
      </c>
      <c r="C29" s="16" t="inlineStr">
        <is>
          <t>Case tool</t>
        </is>
      </c>
      <c r="D29" s="16" t="inlineStr">
        <is>
          <t>Billing platform</t>
        </is>
      </c>
      <c r="E29" s="16" t="inlineStr">
        <is>
          <t>Find the adjustment on the account</t>
        </is>
      </c>
      <c r="F29" s="17" t="n">
        <v>29</v>
      </c>
      <c r="G29" s="16" t="inlineStr">
        <is>
          <t>Y</t>
        </is>
      </c>
      <c r="H29" s="16" t="inlineStr">
        <is>
          <t>Account number</t>
        </is>
      </c>
    </row>
    <row r="30">
      <c r="A30" s="16" t="inlineStr">
        <is>
          <t>BA-2205</t>
        </is>
      </c>
      <c r="B30" s="16" t="n">
        <v>2</v>
      </c>
      <c r="C30" s="16" t="inlineStr">
        <is>
          <t>Billing platform</t>
        </is>
      </c>
      <c r="D30" s="16" t="inlineStr">
        <is>
          <t>Payment gateway</t>
        </is>
      </c>
      <c r="E30" s="16" t="inlineStr">
        <is>
          <t>Check whether the refund has actually posted</t>
        </is>
      </c>
      <c r="F30" s="17" t="n">
        <v>52</v>
      </c>
      <c r="G30" s="16" t="inlineStr">
        <is>
          <t>Y</t>
        </is>
      </c>
      <c r="H30" s="16" t="inlineStr">
        <is>
          <t>Transaction ID</t>
        </is>
      </c>
    </row>
    <row r="31">
      <c r="A31" s="16" t="inlineStr">
        <is>
          <t>BA-2205</t>
        </is>
      </c>
      <c r="B31" s="16" t="n">
        <v>3</v>
      </c>
      <c r="C31" s="16" t="inlineStr">
        <is>
          <t>Payment gateway</t>
        </is>
      </c>
      <c r="D31" s="16" t="inlineStr">
        <is>
          <t>Billing platform</t>
        </is>
      </c>
      <c r="E31" s="16" t="inlineStr">
        <is>
          <t>Record the posting reference against the adjustment</t>
        </is>
      </c>
      <c r="F31" s="17" t="n">
        <v>24</v>
      </c>
      <c r="G31" s="16" t="inlineStr">
        <is>
          <t>Y</t>
        </is>
      </c>
      <c r="H31" s="16" t="inlineStr">
        <is>
          <t>Posting reference</t>
        </is>
      </c>
    </row>
    <row r="32">
      <c r="A32" s="16" t="inlineStr">
        <is>
          <t>BA-2205</t>
        </is>
      </c>
      <c r="B32" s="16" t="n">
        <v>4</v>
      </c>
      <c r="C32" s="16" t="inlineStr">
        <is>
          <t>Billing platform</t>
        </is>
      </c>
      <c r="D32" s="16" t="inlineStr">
        <is>
          <t>Case tool</t>
        </is>
      </c>
      <c r="E32" s="16" t="inlineStr">
        <is>
          <t>Write the case note and close</t>
        </is>
      </c>
      <c r="F32" s="17" t="n">
        <v>31</v>
      </c>
      <c r="G32" s="16" t="inlineStr">
        <is>
          <t>Y</t>
        </is>
      </c>
      <c r="H32" s="16" t="inlineStr">
        <is>
          <t>Adjustment amount</t>
        </is>
      </c>
    </row>
    <row r="33">
      <c r="A33" s="16" t="inlineStr">
        <is>
          <t>BA-2206</t>
        </is>
      </c>
      <c r="B33" s="16" t="n">
        <v>1</v>
      </c>
      <c r="C33" s="16" t="inlineStr">
        <is>
          <t>Case tool</t>
        </is>
      </c>
      <c r="D33" s="16" t="inlineStr">
        <is>
          <t>Billing platform</t>
        </is>
      </c>
      <c r="E33" s="16" t="inlineStr">
        <is>
          <t>Find the adjustment on the account</t>
        </is>
      </c>
      <c r="F33" s="17" t="n">
        <v>35</v>
      </c>
      <c r="G33" s="16" t="inlineStr">
        <is>
          <t>Y</t>
        </is>
      </c>
      <c r="H33" s="16" t="inlineStr">
        <is>
          <t>Account number</t>
        </is>
      </c>
    </row>
    <row r="34">
      <c r="A34" s="16" t="inlineStr">
        <is>
          <t>BA-2206</t>
        </is>
      </c>
      <c r="B34" s="16" t="n">
        <v>2</v>
      </c>
      <c r="C34" s="16" t="inlineStr">
        <is>
          <t>Billing platform</t>
        </is>
      </c>
      <c r="D34" s="16" t="inlineStr">
        <is>
          <t>Payment gateway</t>
        </is>
      </c>
      <c r="E34" s="16" t="inlineStr">
        <is>
          <t>Check whether the refund has actually posted</t>
        </is>
      </c>
      <c r="F34" s="17" t="n">
        <v>39</v>
      </c>
      <c r="G34" s="16" t="inlineStr">
        <is>
          <t>Y</t>
        </is>
      </c>
      <c r="H34" s="16" t="inlineStr">
        <is>
          <t>Transaction ID</t>
        </is>
      </c>
    </row>
    <row r="35">
      <c r="A35" s="16" t="inlineStr">
        <is>
          <t>BA-2206</t>
        </is>
      </c>
      <c r="B35" s="16" t="n">
        <v>3</v>
      </c>
      <c r="C35" s="16" t="inlineStr">
        <is>
          <t>Payment gateway</t>
        </is>
      </c>
      <c r="D35" s="16" t="inlineStr">
        <is>
          <t>Billing platform</t>
        </is>
      </c>
      <c r="E35" s="16" t="inlineStr">
        <is>
          <t>Record the posting reference against the adjustment</t>
        </is>
      </c>
      <c r="F35" s="17" t="n">
        <v>20</v>
      </c>
      <c r="G35" s="16" t="inlineStr">
        <is>
          <t>Y</t>
        </is>
      </c>
      <c r="H35" s="16" t="inlineStr">
        <is>
          <t>Posting reference</t>
        </is>
      </c>
    </row>
    <row r="36">
      <c r="A36" s="16" t="inlineStr">
        <is>
          <t>BA-2206</t>
        </is>
      </c>
      <c r="B36" s="16" t="n">
        <v>4</v>
      </c>
      <c r="C36" s="16" t="inlineStr">
        <is>
          <t>Billing platform</t>
        </is>
      </c>
      <c r="D36" s="16" t="inlineStr">
        <is>
          <t>Case tool</t>
        </is>
      </c>
      <c r="E36" s="16" t="inlineStr">
        <is>
          <t>Write the case note and close</t>
        </is>
      </c>
      <c r="F36" s="17" t="n">
        <v>25</v>
      </c>
      <c r="G36" s="16" t="inlineStr">
        <is>
          <t>Y</t>
        </is>
      </c>
      <c r="H36" s="16" t="inlineStr">
        <is>
          <t>Adjustment amount</t>
        </is>
      </c>
    </row>
    <row r="37" ht="66" customHeight="1">
      <c r="A37" s="12" t="inlineStr">
        <is>
          <t>Time the hop, not the task. The seconds here are the ones between leaving one screen and being able to work in the next — the load, the second login, the search that finds the account again. The work the agent does once they arrive is not a hop and belongs in the handle time above. DATA RE-KEYED means the agent typed something into the second system that the first one already knew, which is both the waste and the defect: every re-key is a chance to mistype an account number.</t>
        </is>
      </c>
      <c r="J37" s="4" t="inlineStr">
        <is>
          <t>HOW TO READ IT.  One bar per contact, so the shape tells you whether the swivel is universal or concentrated. Even bars mean every contact pays it and the fix is worth the whole volume; a few tall bars mean a subset of cases is doing something the others are not, and that subset is the thing to define.
SO:  Even bars mean fix it for everyone and size the benefit on full volume. A few tall bars mean define what those contacts have in common before building anything.</t>
        </is>
      </c>
    </row>
    <row r="38"/>
    <row r="39" ht="36" customHeight="1">
      <c r="A39" s="18" t="inlineStr">
        <is>
          <t>STEP 1 — how much of each contact went on moving between systems  ·  Key:
• Share of handle time = the swivel measured against the whole contact, which is the number to take to anyone who owns the handle-time target.</t>
        </is>
      </c>
      <c r="B39" s="9" t="n"/>
      <c r="C39" s="9" t="n"/>
      <c r="D39" s="9" t="n"/>
      <c r="E39" s="9" t="n"/>
      <c r="F39" s="9" t="n"/>
      <c r="G39" s="9" t="n"/>
      <c r="H39" s="9" t="n"/>
    </row>
    <row r="40" ht="30" customHeight="1">
      <c r="A40" s="15" t="inlineStr">
        <is>
          <t>Level</t>
        </is>
      </c>
      <c r="B40" s="15" t="inlineStr">
        <is>
          <t>Contact ref</t>
        </is>
      </c>
      <c r="C40" s="15" t="inlineStr">
        <is>
          <t>Seconds in hops</t>
        </is>
      </c>
      <c r="D40" s="15" t="inlineStr">
        <is>
          <t>Share of handle time</t>
        </is>
      </c>
      <c r="E40" s="15" t="inlineStr">
        <is>
          <t>Hops</t>
        </is>
      </c>
      <c r="F40" s="15" t="inlineStr">
        <is>
          <t>Hops that re-keyed data</t>
        </is>
      </c>
      <c r="G40" s="15" t="inlineStr"/>
      <c r="H40" s="15" t="inlineStr"/>
      <c r="I40" s="7" t="inlineStr">
        <is>
          <t>Mean seconds per contact</t>
        </is>
      </c>
    </row>
    <row r="41">
      <c r="A41" t="inlineStr">
        <is>
          <t>Contact</t>
        </is>
      </c>
      <c r="B41" s="16" t="inlineStr">
        <is>
          <t>BA-2201</t>
        </is>
      </c>
      <c r="C41" s="19">
        <f>SUMIF($A$13:$A$36,$B41,$F$13:$F$36)</f>
        <v/>
      </c>
      <c r="D41" s="20">
        <f>IFERROR(C41/$B$7,"")</f>
        <v/>
      </c>
      <c r="E41" s="21">
        <f>COUNTIF($A$13:$A$36,$B41)</f>
        <v/>
      </c>
      <c r="F41" s="21">
        <f>COUNTIFS($A$13:$A$36,$B41,$G$13:$G$36,"Y")</f>
        <v/>
      </c>
      <c r="I41" s="7">
        <f>IF(COUNT($C$41:$C$46)=0,"",AVERAGE($C$41:$C$46))</f>
        <v/>
      </c>
    </row>
    <row r="42">
      <c r="A42" t="inlineStr">
        <is>
          <t>Contact</t>
        </is>
      </c>
      <c r="B42" s="16" t="inlineStr">
        <is>
          <t>BA-2202</t>
        </is>
      </c>
      <c r="C42" s="19">
        <f>SUMIF($A$13:$A$36,$B42,$F$13:$F$36)</f>
        <v/>
      </c>
      <c r="D42" s="20">
        <f>IFERROR(C42/$B$7,"")</f>
        <v/>
      </c>
      <c r="E42" s="21">
        <f>COUNTIF($A$13:$A$36,$B42)</f>
        <v/>
      </c>
      <c r="F42" s="21">
        <f>COUNTIFS($A$13:$A$36,$B42,$G$13:$G$36,"Y")</f>
        <v/>
      </c>
      <c r="I42" s="7">
        <f>IF(COUNT($C$41:$C$46)=0,"",AVERAGE($C$41:$C$46))</f>
        <v/>
      </c>
    </row>
    <row r="43">
      <c r="A43" t="inlineStr">
        <is>
          <t>Contact</t>
        </is>
      </c>
      <c r="B43" s="16" t="inlineStr">
        <is>
          <t>BA-2203</t>
        </is>
      </c>
      <c r="C43" s="19">
        <f>SUMIF($A$13:$A$36,$B43,$F$13:$F$36)</f>
        <v/>
      </c>
      <c r="D43" s="20">
        <f>IFERROR(C43/$B$7,"")</f>
        <v/>
      </c>
      <c r="E43" s="21">
        <f>COUNTIF($A$13:$A$36,$B43)</f>
        <v/>
      </c>
      <c r="F43" s="21">
        <f>COUNTIFS($A$13:$A$36,$B43,$G$13:$G$36,"Y")</f>
        <v/>
      </c>
      <c r="I43" s="7">
        <f>IF(COUNT($C$41:$C$46)=0,"",AVERAGE($C$41:$C$46))</f>
        <v/>
      </c>
    </row>
    <row r="44">
      <c r="A44" t="inlineStr">
        <is>
          <t>Contact</t>
        </is>
      </c>
      <c r="B44" s="16" t="inlineStr">
        <is>
          <t>BA-2204</t>
        </is>
      </c>
      <c r="C44" s="19">
        <f>SUMIF($A$13:$A$36,$B44,$F$13:$F$36)</f>
        <v/>
      </c>
      <c r="D44" s="20">
        <f>IFERROR(C44/$B$7,"")</f>
        <v/>
      </c>
      <c r="E44" s="21">
        <f>COUNTIF($A$13:$A$36,$B44)</f>
        <v/>
      </c>
      <c r="F44" s="21">
        <f>COUNTIFS($A$13:$A$36,$B44,$G$13:$G$36,"Y")</f>
        <v/>
      </c>
      <c r="I44" s="7">
        <f>IF(COUNT($C$41:$C$46)=0,"",AVERAGE($C$41:$C$46))</f>
        <v/>
      </c>
    </row>
    <row r="45">
      <c r="A45" t="inlineStr">
        <is>
          <t>Contact</t>
        </is>
      </c>
      <c r="B45" s="16" t="inlineStr">
        <is>
          <t>BA-2205</t>
        </is>
      </c>
      <c r="C45" s="19">
        <f>SUMIF($A$13:$A$36,$B45,$F$13:$F$36)</f>
        <v/>
      </c>
      <c r="D45" s="20">
        <f>IFERROR(C45/$B$7,"")</f>
        <v/>
      </c>
      <c r="E45" s="21">
        <f>COUNTIF($A$13:$A$36,$B45)</f>
        <v/>
      </c>
      <c r="F45" s="21">
        <f>COUNTIFS($A$13:$A$36,$B45,$G$13:$G$36,"Y")</f>
        <v/>
      </c>
      <c r="I45" s="7">
        <f>IF(COUNT($C$41:$C$46)=0,"",AVERAGE($C$41:$C$46))</f>
        <v/>
      </c>
    </row>
    <row r="46">
      <c r="A46" t="inlineStr">
        <is>
          <t>Contact</t>
        </is>
      </c>
      <c r="B46" s="16" t="inlineStr">
        <is>
          <t>BA-2206</t>
        </is>
      </c>
      <c r="C46" s="19">
        <f>SUMIF($A$13:$A$36,$B46,$F$13:$F$36)</f>
        <v/>
      </c>
      <c r="D46" s="20">
        <f>IFERROR(C46/$B$7,"")</f>
        <v/>
      </c>
      <c r="E46" s="21">
        <f>COUNTIF($A$13:$A$36,$B46)</f>
        <v/>
      </c>
      <c r="F46" s="21">
        <f>COUNTIFS($A$13:$A$36,$B46,$G$13:$G$36,"Y")</f>
        <v/>
      </c>
      <c r="I46" s="7">
        <f>IF(COUNT($C$41:$C$46)=0,"",AVERAGE($C$41:$C$46))</f>
        <v/>
      </c>
    </row>
    <row r="47" ht="45" customHeight="1">
      <c r="A47" s="12" t="inlineStr">
        <is>
          <t>Look at the spread before you quote the average. If one contact carries most of the hopping you have found an exception to investigate, not a process to redesign — and a business case built on the mean would be wrong in the direction that gets it withdrawn.</t>
        </is>
      </c>
    </row>
    <row r="48"/>
    <row r="49">
      <c r="A49" s="8" t="inlineStr">
        <is>
          <t>STEP 2 — what the hopping costs across a year</t>
        </is>
      </c>
      <c r="B49" s="9" t="n"/>
      <c r="C49" s="9" t="n"/>
      <c r="D49" s="9" t="n"/>
      <c r="E49" s="9" t="n"/>
      <c r="F49" s="9" t="n"/>
      <c r="G49" s="9" t="n"/>
      <c r="H49" s="9" t="n"/>
    </row>
    <row r="50" ht="30" customHeight="1">
      <c r="A50" s="10" t="inlineStr">
        <is>
          <t>Contacts observed</t>
        </is>
      </c>
      <c r="B50" s="21">
        <f>COUNTA($B$41:$B$46)</f>
        <v/>
      </c>
      <c r="C50" s="12" t="inlineStr">
        <is>
          <t>Six is enough to size a problem and nowhere near enough to price one. Treat everything below as an order of magnitude until you have watched thirty.</t>
        </is>
      </c>
    </row>
    <row r="51" ht="15" customHeight="1">
      <c r="A51" s="10" t="inlineStr">
        <is>
          <t>Hops logged</t>
        </is>
      </c>
      <c r="B51" s="21">
        <f>SUM($E$41:$E$46)</f>
        <v/>
      </c>
      <c r="C51" s="12" t="inlineStr">
        <is>
          <t>Every move, across every contact you watched.</t>
        </is>
      </c>
    </row>
    <row r="52" ht="30" customHeight="1">
      <c r="A52" s="10" t="inlineStr">
        <is>
          <t>Hops per contact</t>
        </is>
      </c>
      <c r="B52" s="22">
        <f>IFERROR(B51/B50,"")</f>
        <v/>
      </c>
      <c r="C52" s="12" t="inlineStr">
        <is>
          <t>The number people remember. It is also the one that makes a process owner uncomfortable enough to look at the log.</t>
        </is>
      </c>
    </row>
    <row r="53" ht="15" customHeight="1">
      <c r="A53" s="10" t="inlineStr">
        <is>
          <t>Seconds per contact spent hopping</t>
        </is>
      </c>
      <c r="B53" s="21">
        <f>IFERROR(SUM($C$41:$C$46)/B50,"")</f>
        <v/>
      </c>
      <c r="C53" s="12" t="inlineStr">
        <is>
          <t>Total hop time divided by contacts observed.</t>
        </is>
      </c>
    </row>
    <row r="54" ht="30" customHeight="1">
      <c r="A54" s="10" t="inlineStr">
        <is>
          <t>Share of handle time</t>
        </is>
      </c>
      <c r="B54" s="20">
        <f>IFERROR(B53/B7,"")</f>
        <v/>
      </c>
      <c r="C54" s="12" t="inlineStr">
        <is>
          <t>Against the platform's mean handle time above, not against the contacts you watched — an observed agent works faster, and the share would flatter you.</t>
        </is>
      </c>
    </row>
    <row r="55" ht="30" customHeight="1">
      <c r="A55" s="10" t="inlineStr">
        <is>
          <t>Share of hops that re-key data</t>
        </is>
      </c>
      <c r="B55" s="20">
        <f>IFERROR(SUM($F$41:$F$46)/B51,"")</f>
        <v/>
      </c>
      <c r="C55" s="12" t="inlineStr">
        <is>
          <t>The part of the waste that is also a defect risk. A hop that carries data across by hand can carry it across wrong.</t>
        </is>
      </c>
    </row>
    <row r="56" ht="15" customHeight="1">
      <c r="A56" s="10" t="inlineStr">
        <is>
          <t>Agent hours a year spent hopping</t>
        </is>
      </c>
      <c r="B56" s="19">
        <f>IFERROR(B53*B8/3600,"")</f>
        <v/>
      </c>
      <c r="C56" s="12" t="inlineStr">
        <is>
          <t>Seconds per contact times contacts a year. This is capacity, not cash.</t>
        </is>
      </c>
    </row>
    <row r="57" ht="30" customHeight="1">
      <c r="A57" s="10" t="inlineStr">
        <is>
          <t>What that time costs a year</t>
        </is>
      </c>
      <c r="B57" s="23">
        <f>IFERROR(B56*B9,"")</f>
        <v/>
      </c>
      <c r="C57" s="12" t="inlineStr">
        <is>
          <t>Hours at the loaded rate. It becomes a saving only when something is harvested — 01-project-charter.md will not accept it without a named mechanism.</t>
        </is>
      </c>
    </row>
    <row r="58" ht="105" customHeight="1">
      <c r="A58" s="12" t="inlineStr">
        <is>
          <t>The tool library says to expect 15-30% of handle time here. Treat that as a rule of thumb to test, not a published benchmark to be judged against: it is the range the method usually turns up, and it is not evidence about your queue. What decides whether there is a project is the cost on the line above and how many of these hops somebody who knows the systems believes are avoidable. A queue at a fifth of handle time where every hop is unavoidable has nothing in it; one at eight per cent where half the hops exist only because two systems were never joined up has a great deal.</t>
        </is>
      </c>
    </row>
    <row r="59"/>
    <row r="60" ht="36" customHeight="1">
      <c r="A60" s="18" t="inlineStr">
        <is>
          <t>STEP 3 — which hop to attack  ·  Key:
• Share of hop time = that system pair's seconds as a percentage of all the time spent moving between systems — a share of the SWIVEL, not of the contact.</t>
        </is>
      </c>
      <c r="B60" s="9" t="n"/>
      <c r="C60" s="9" t="n"/>
      <c r="D60" s="9" t="n"/>
      <c r="E60" s="9" t="n"/>
      <c r="F60" s="9" t="n"/>
      <c r="G60" s="9" t="n"/>
      <c r="H60" s="9" t="n"/>
    </row>
    <row r="61" ht="30" customHeight="1">
      <c r="A61" s="15" t="inlineStr">
        <is>
          <t>From system</t>
        </is>
      </c>
      <c r="B61" s="15" t="inlineStr">
        <is>
          <t>To system</t>
        </is>
      </c>
      <c r="C61" s="15" t="inlineStr">
        <is>
          <t>The pair</t>
        </is>
      </c>
      <c r="D61" s="15" t="inlineStr">
        <is>
          <t>Hops</t>
        </is>
      </c>
      <c r="E61" s="15" t="inlineStr">
        <is>
          <t>Total seconds</t>
        </is>
      </c>
      <c r="F61" s="15" t="inlineStr">
        <is>
          <t>Seconds per contact</t>
        </is>
      </c>
      <c r="G61" s="15" t="inlineStr">
        <is>
          <t>Share of hop time</t>
        </is>
      </c>
      <c r="H61" s="15" t="inlineStr">
        <is>
          <t>Any re-keying?</t>
        </is>
      </c>
      <c r="I61" s="7" t="inlineStr">
        <is>
          <t>Mean seconds per pair</t>
        </is>
      </c>
    </row>
    <row r="62">
      <c r="A62" s="16" t="inlineStr">
        <is>
          <t>Case tool</t>
        </is>
      </c>
      <c r="B62" s="16" t="inlineStr">
        <is>
          <t>Billing platform</t>
        </is>
      </c>
      <c r="C62" s="24">
        <f>IF($A62="","",$A62&amp;" → "&amp;$B62)</f>
        <v/>
      </c>
      <c r="D62" s="21">
        <f>COUNTIFS($C$13:$C$36,$A62,$D$13:$D$36,$B62)</f>
        <v/>
      </c>
      <c r="E62" s="19">
        <f>SUMIFS($F$13:$F$36,$C$13:$C$36,$A62,$D$13:$D$36,$B62)</f>
        <v/>
      </c>
      <c r="F62" s="22">
        <f>IFERROR(E62/$B$50,"")</f>
        <v/>
      </c>
      <c r="G62" s="20">
        <f>IFERROR(E62/SUM($E$62:$E$67),"")</f>
        <v/>
      </c>
      <c r="H62" s="24">
        <f>IF(COUNTIFS($C$13:$C$36,$A62,$D$13:$D$36,$B62,$G$13:$G$36,"Y")&gt;0,"yes","no")</f>
        <v/>
      </c>
      <c r="I62" s="7">
        <f>IF(COUNT($E$62:$E$67)=0,"",AVERAGE($E$62:$E$67))</f>
        <v/>
      </c>
    </row>
    <row r="63">
      <c r="A63" s="16" t="inlineStr">
        <is>
          <t>Billing platform</t>
        </is>
      </c>
      <c r="B63" s="16" t="inlineStr">
        <is>
          <t>Payment gateway</t>
        </is>
      </c>
      <c r="C63" s="24">
        <f>IF($A63="","",$A63&amp;" → "&amp;$B63)</f>
        <v/>
      </c>
      <c r="D63" s="21">
        <f>COUNTIFS($C$13:$C$36,$A63,$D$13:$D$36,$B63)</f>
        <v/>
      </c>
      <c r="E63" s="19">
        <f>SUMIFS($F$13:$F$36,$C$13:$C$36,$A63,$D$13:$D$36,$B63)</f>
        <v/>
      </c>
      <c r="F63" s="22">
        <f>IFERROR(E63/$B$50,"")</f>
        <v/>
      </c>
      <c r="G63" s="20">
        <f>IFERROR(E63/SUM($E$62:$E$67),"")</f>
        <v/>
      </c>
      <c r="H63" s="24">
        <f>IF(COUNTIFS($C$13:$C$36,$A63,$D$13:$D$36,$B63,$G$13:$G$36,"Y")&gt;0,"yes","no")</f>
        <v/>
      </c>
      <c r="I63" s="7">
        <f>IF(COUNT($E$62:$E$67)=0,"",AVERAGE($E$62:$E$67))</f>
        <v/>
      </c>
    </row>
    <row r="64">
      <c r="A64" s="16" t="inlineStr">
        <is>
          <t>Payment gateway</t>
        </is>
      </c>
      <c r="B64" s="16" t="inlineStr">
        <is>
          <t>Billing platform</t>
        </is>
      </c>
      <c r="C64" s="24">
        <f>IF($A64="","",$A64&amp;" → "&amp;$B64)</f>
        <v/>
      </c>
      <c r="D64" s="21">
        <f>COUNTIFS($C$13:$C$36,$A64,$D$13:$D$36,$B64)</f>
        <v/>
      </c>
      <c r="E64" s="19">
        <f>SUMIFS($F$13:$F$36,$C$13:$C$36,$A64,$D$13:$D$36,$B64)</f>
        <v/>
      </c>
      <c r="F64" s="22">
        <f>IFERROR(E64/$B$50,"")</f>
        <v/>
      </c>
      <c r="G64" s="20">
        <f>IFERROR(E64/SUM($E$62:$E$67),"")</f>
        <v/>
      </c>
      <c r="H64" s="24">
        <f>IF(COUNTIFS($C$13:$C$36,$A64,$D$13:$D$36,$B64,$G$13:$G$36,"Y")&gt;0,"yes","no")</f>
        <v/>
      </c>
      <c r="I64" s="7">
        <f>IF(COUNT($E$62:$E$67)=0,"",AVERAGE($E$62:$E$67))</f>
        <v/>
      </c>
    </row>
    <row r="65">
      <c r="A65" s="16" t="inlineStr">
        <is>
          <t>Billing platform</t>
        </is>
      </c>
      <c r="B65" s="16" t="inlineStr">
        <is>
          <t>Case tool</t>
        </is>
      </c>
      <c r="C65" s="24">
        <f>IF($A65="","",$A65&amp;" → "&amp;$B65)</f>
        <v/>
      </c>
      <c r="D65" s="21">
        <f>COUNTIFS($C$13:$C$36,$A65,$D$13:$D$36,$B65)</f>
        <v/>
      </c>
      <c r="E65" s="19">
        <f>SUMIFS($F$13:$F$36,$C$13:$C$36,$A65,$D$13:$D$36,$B65)</f>
        <v/>
      </c>
      <c r="F65" s="22">
        <f>IFERROR(E65/$B$50,"")</f>
        <v/>
      </c>
      <c r="G65" s="20">
        <f>IFERROR(E65/SUM($E$62:$E$67),"")</f>
        <v/>
      </c>
      <c r="H65" s="24">
        <f>IF(COUNTIFS($C$13:$C$36,$A65,$D$13:$D$36,$B65,$G$13:$G$36,"Y")&gt;0,"yes","no")</f>
        <v/>
      </c>
      <c r="I65" s="7">
        <f>IF(COUNT($E$62:$E$67)=0,"",AVERAGE($E$62:$E$67))</f>
        <v/>
      </c>
    </row>
    <row r="66">
      <c r="A66" s="16" t="inlineStr">
        <is>
          <t>Case tool</t>
        </is>
      </c>
      <c r="B66" s="16" t="inlineStr">
        <is>
          <t>Knowledge base</t>
        </is>
      </c>
      <c r="C66" s="24">
        <f>IF($A66="","",$A66&amp;" → "&amp;$B66)</f>
        <v/>
      </c>
      <c r="D66" s="21">
        <f>COUNTIFS($C$13:$C$36,$A66,$D$13:$D$36,$B66)</f>
        <v/>
      </c>
      <c r="E66" s="19">
        <f>SUMIFS($F$13:$F$36,$C$13:$C$36,$A66,$D$13:$D$36,$B66)</f>
        <v/>
      </c>
      <c r="F66" s="22">
        <f>IFERROR(E66/$B$50,"")</f>
        <v/>
      </c>
      <c r="G66" s="20">
        <f>IFERROR(E66/SUM($E$62:$E$67),"")</f>
        <v/>
      </c>
      <c r="H66" s="24">
        <f>IF(COUNTIFS($C$13:$C$36,$A66,$D$13:$D$36,$B66,$G$13:$G$36,"Y")&gt;0,"yes","no")</f>
        <v/>
      </c>
      <c r="I66" s="7">
        <f>IF(COUNT($E$62:$E$67)=0,"",AVERAGE($E$62:$E$67))</f>
        <v/>
      </c>
    </row>
    <row r="67">
      <c r="A67" s="16" t="inlineStr">
        <is>
          <t>Knowledge base</t>
        </is>
      </c>
      <c r="B67" s="16" t="inlineStr">
        <is>
          <t>Case tool</t>
        </is>
      </c>
      <c r="C67" s="24">
        <f>IF($A67="","",$A67&amp;" → "&amp;$B67)</f>
        <v/>
      </c>
      <c r="D67" s="21">
        <f>COUNTIFS($C$13:$C$36,$A67,$D$13:$D$36,$B67)</f>
        <v/>
      </c>
      <c r="E67" s="19">
        <f>SUMIFS($F$13:$F$36,$C$13:$C$36,$A67,$D$13:$D$36,$B67)</f>
        <v/>
      </c>
      <c r="F67" s="22">
        <f>IFERROR(E67/$B$50,"")</f>
        <v/>
      </c>
      <c r="G67" s="20">
        <f>IFERROR(E67/SUM($E$62:$E$67),"")</f>
        <v/>
      </c>
      <c r="H67" s="24">
        <f>IF(COUNTIFS($C$13:$C$36,$A67,$D$13:$D$36,$B67,$G$13:$G$36,"Y")&gt;0,"yes","no")</f>
        <v/>
      </c>
      <c r="I67" s="7">
        <f>IF(COUNT($E$62:$E$67)=0,"",AVERAGE($E$62:$E$67))</f>
        <v/>
      </c>
    </row>
    <row r="68" ht="60" customHeight="1">
      <c r="A68" s="12" t="inlineStr">
        <is>
          <t>One row per direction, because they are different problems: leaving the case tool for the billing platform is a lookup, and coming back is a write-up. Add a pair by inserting a row inside this block — the formulas above and below it will follow. Sort the block by total seconds if you want the chart ranked; it plots the order you typed.</t>
        </is>
      </c>
    </row>
    <row r="69"/>
    <row r="70">
      <c r="A70" s="8" t="inlineStr">
        <is>
          <t>STEP 4 — the verdict</t>
        </is>
      </c>
      <c r="B70" s="9" t="n"/>
      <c r="C70" s="9" t="n"/>
      <c r="D70" s="9" t="n"/>
      <c r="E70" s="9" t="n"/>
      <c r="F70" s="9" t="n"/>
      <c r="G70" s="9" t="n"/>
      <c r="H70" s="9" t="n"/>
    </row>
    <row r="71" ht="30" customHeight="1">
      <c r="A71" s="10" t="inlineStr">
        <is>
          <t>The pair costing the most time</t>
        </is>
      </c>
      <c r="B71" s="24">
        <f>IFERROR(INDEX($C$62:$C$67,MATCH(MAX($E$62:$E$67),$E$62:$E$67,0)),"")</f>
        <v/>
      </c>
      <c r="C71" s="12" t="inlineStr">
        <is>
          <t>Where an integration, a deep link or a copied field would buy the most. It is not always the slowest single hop — a fast hop made on every contact beats a slow one made on a tenth of them.</t>
        </is>
      </c>
    </row>
    <row r="72" ht="30" customHeight="1">
      <c r="A72" s="10" t="inlineStr">
        <is>
          <t>What that one pair costs a year</t>
        </is>
      </c>
      <c r="B72" s="23">
        <f>IFERROR(MAX($E$62:$E$67)/B50*B8/3600*B9,"")</f>
        <v/>
      </c>
      <c r="C72" s="12" t="inlineStr">
        <is>
          <t>Seconds per contact on that pair, annualised at the loaded rate. Take this to the system owner, not the contact-centre manager — it is their backlog it belongs in.</t>
        </is>
      </c>
    </row>
    <row r="73" ht="30" customHeight="1">
      <c r="A73" s="10" t="inlineStr">
        <is>
          <t>Does that pair re-key data?</t>
        </is>
      </c>
      <c r="B73" s="24">
        <f>IFERROR(INDEX($H$62:$H$67,MATCH(MAX($E$62:$E$67),$E$62:$E$67,0)),"")</f>
        <v/>
      </c>
      <c r="C73" s="12" t="inlineStr">
        <is>
          <t>If yes, the case is stronger than the time alone: you are also arguing about accuracy, and a mistyped account number costs far more than the forty seconds it took to type.</t>
        </is>
      </c>
    </row>
    <row r="74" ht="60" customHeight="1">
      <c r="A74" s="12" t="inlineStr">
        <is>
          <t>Removing a hop does not return all of its seconds. Some of that time is the agent thinking, and thinking moves to whatever is on the screen next. Halve the figure above before you put it in a charter, say in the charter that you halved it, and then prove the real number in a pilot (16-pilot-protocol.md) against a control group.</t>
        </is>
      </c>
    </row>
  </sheetData>
  <mergeCells count="31">
    <mergeCell ref="C54:H54"/>
    <mergeCell ref="A39:H39"/>
    <mergeCell ref="C55:H55"/>
    <mergeCell ref="C50:H50"/>
    <mergeCell ref="C9:H9"/>
    <mergeCell ref="A60:H60"/>
    <mergeCell ref="A11:H11"/>
    <mergeCell ref="A49:H49"/>
    <mergeCell ref="A1:H1"/>
    <mergeCell ref="C56:H56"/>
    <mergeCell ref="A70:H70"/>
    <mergeCell ref="C51:H51"/>
    <mergeCell ref="C71:H71"/>
    <mergeCell ref="C52:H52"/>
    <mergeCell ref="C8:H8"/>
    <mergeCell ref="A37:H37"/>
    <mergeCell ref="C7:H7"/>
    <mergeCell ref="J21:R21"/>
    <mergeCell ref="C72:H72"/>
    <mergeCell ref="A74:H74"/>
    <mergeCell ref="C57:H57"/>
    <mergeCell ref="A2:H2"/>
    <mergeCell ref="C53:H53"/>
    <mergeCell ref="A47:H47"/>
    <mergeCell ref="A4:H4"/>
    <mergeCell ref="C6:H6"/>
    <mergeCell ref="C5:H5"/>
    <mergeCell ref="J37:R37"/>
    <mergeCell ref="A68:H68"/>
    <mergeCell ref="C73:H73"/>
    <mergeCell ref="A58:H58"/>
  </mergeCells>
  <dataValidations count="2">
    <dataValidation sqref="F13:F36" showDropDown="0" showInputMessage="0" showErrorMessage="0" allowBlank="1" type="whole" operator="greaterThan">
      <formula1>0</formula1>
    </dataValidation>
    <dataValidation sqref="G13:G36" showDropDown="0" showInputMessage="0" showErrorMessage="0" allowBlank="1" type="list">
      <formula1>"Y,N"</formula1>
    </dataValidation>
  </dataValidations>
  <printOptions horizontalCentered="1"/>
  <pageMargins left="0.4" right="0.4" top="0.5" bottom="0.5" header="0.5" footer="0.5"/>
  <pageSetup orientation="landscape" fitToHeight="0" fitToWidth="1"/>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six-sigma-blackbelt-support-ops</dc:creator>
  <dcterms:created xsi:type="dcterms:W3CDTF">2026-01-01T00:00:00Z</dcterms:created>
  <dcterms:modified xsi:type="dcterms:W3CDTF">2026-01-01T00:00:00Z</dcterms:modified>
  <cp:lastModifiedBy>six-sigma-blackbelt-support-ops</cp:lastModifiedBy>
</cp:coreProperties>
</file>